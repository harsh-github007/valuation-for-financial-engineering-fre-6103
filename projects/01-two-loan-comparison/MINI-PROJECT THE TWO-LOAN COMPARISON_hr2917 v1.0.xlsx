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13_ncr:1_{C08EF8B4-3067-4568-9564-384FEF3AB339}" xr6:coauthVersionLast="47" xr6:coauthVersionMax="47" xr10:uidLastSave="{00000000-0000-0000-0000-000000000000}"/>
  <bookViews>
    <workbookView xWindow="-120" yWindow="-120" windowWidth="51840" windowHeight="21120" activeTab="3" xr2:uid="{BCE3BD84-6B3A-4B0C-8BFB-C1B1B18409A7}"/>
  </bookViews>
  <sheets>
    <sheet name="Sheet 1 - Amortization &amp; Charts" sheetId="1" r:id="rId1"/>
    <sheet name="Sheet 2 - Payoff Analysis" sheetId="3" r:id="rId2"/>
    <sheet name="Sheet 3 - Bank's View" sheetId="5" r:id="rId3"/>
    <sheet name="Sheet 4 - Executive Summary" sheetId="7" r:id="rId4"/>
  </sheets>
  <definedNames>
    <definedName name="_xlnm.Print_Area" localSheetId="3">'Sheet 4 - Executive Summary'!$A$1:$D$27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4" i="1" l="1"/>
  <c r="B11" i="7"/>
  <c r="C10" i="7"/>
  <c r="C12" i="7"/>
  <c r="B12" i="7"/>
  <c r="C14" i="7"/>
  <c r="C18" i="7"/>
  <c r="B18" i="7"/>
  <c r="C13" i="7"/>
  <c r="B13" i="7"/>
  <c r="B14" i="7"/>
  <c r="B87" i="5"/>
  <c r="C87" i="5" s="1"/>
  <c r="B86" i="5"/>
  <c r="C86" i="5" s="1"/>
  <c r="B85" i="5"/>
  <c r="C85" i="5" s="1"/>
  <c r="B84" i="5"/>
  <c r="C84" i="5" s="1"/>
  <c r="B83" i="5"/>
  <c r="C83" i="5" s="1"/>
  <c r="B82" i="5"/>
  <c r="C82" i="5" s="1"/>
  <c r="B81" i="5"/>
  <c r="C81" i="5" s="1"/>
  <c r="B80" i="5"/>
  <c r="C80" i="5" s="1"/>
  <c r="B50" i="5"/>
  <c r="D50" i="5" s="1"/>
  <c r="B22" i="5"/>
  <c r="B18" i="5"/>
  <c r="B106" i="5" s="1"/>
  <c r="B17" i="5"/>
  <c r="B14" i="5"/>
  <c r="N50" i="5" s="1"/>
  <c r="B10" i="5"/>
  <c r="F22" i="5" s="1"/>
  <c r="B8" i="5"/>
  <c r="I46" i="3"/>
  <c r="C46" i="3"/>
  <c r="C17" i="3"/>
  <c r="D13" i="3"/>
  <c r="B13" i="3"/>
  <c r="D11" i="3"/>
  <c r="B11" i="3"/>
  <c r="C18" i="3" s="1"/>
  <c r="D13" i="1"/>
  <c r="B13" i="1"/>
  <c r="B19" i="1" s="1"/>
  <c r="B10" i="7" s="1"/>
  <c r="B11" i="1"/>
  <c r="D11" i="1"/>
  <c r="D14" i="7" l="1"/>
  <c r="E87" i="5"/>
  <c r="Z87" i="5"/>
  <c r="V86" i="5"/>
  <c r="W86" i="5"/>
  <c r="AB86" i="5"/>
  <c r="X86" i="5"/>
  <c r="AA86" i="5"/>
  <c r="S86" i="5"/>
  <c r="T86" i="5"/>
  <c r="Z86" i="5"/>
  <c r="Y86" i="5"/>
  <c r="U86" i="5"/>
  <c r="M80" i="5"/>
  <c r="H80" i="5"/>
  <c r="E80" i="5"/>
  <c r="F80" i="5"/>
  <c r="I80" i="5"/>
  <c r="L80" i="5"/>
  <c r="J80" i="5"/>
  <c r="K80" i="5"/>
  <c r="G80" i="5"/>
  <c r="T85" i="5"/>
  <c r="R85" i="5"/>
  <c r="Q85" i="5"/>
  <c r="O85" i="5"/>
  <c r="S85" i="5"/>
  <c r="M85" i="5"/>
  <c r="L85" i="5"/>
  <c r="U85" i="5"/>
  <c r="N85" i="5"/>
  <c r="P85" i="5"/>
  <c r="K85" i="5"/>
  <c r="Q81" i="5"/>
  <c r="N81" i="5"/>
  <c r="T81" i="5"/>
  <c r="R81" i="5"/>
  <c r="P81" i="5"/>
  <c r="U81" i="5"/>
  <c r="O81" i="5"/>
  <c r="S81" i="5"/>
  <c r="M81" i="5"/>
  <c r="L81" i="5"/>
  <c r="K81" i="5"/>
  <c r="X82" i="5"/>
  <c r="AB82" i="5"/>
  <c r="T82" i="5"/>
  <c r="U82" i="5"/>
  <c r="AA82" i="5"/>
  <c r="Y82" i="5"/>
  <c r="Z82" i="5"/>
  <c r="W82" i="5"/>
  <c r="V82" i="5"/>
  <c r="S82" i="5"/>
  <c r="E83" i="5"/>
  <c r="AB83" i="5"/>
  <c r="AA83" i="5"/>
  <c r="M84" i="5"/>
  <c r="K84" i="5"/>
  <c r="F84" i="5"/>
  <c r="H84" i="5"/>
  <c r="L84" i="5"/>
  <c r="J84" i="5"/>
  <c r="I84" i="5"/>
  <c r="E84" i="5"/>
  <c r="G84" i="5"/>
  <c r="AA87" i="5"/>
  <c r="F83" i="5"/>
  <c r="N84" i="5"/>
  <c r="V85" i="5"/>
  <c r="F87" i="5"/>
  <c r="N80" i="5"/>
  <c r="P84" i="5"/>
  <c r="AB87" i="5"/>
  <c r="Q84" i="5"/>
  <c r="G83" i="5"/>
  <c r="R80" i="5"/>
  <c r="Z81" i="5"/>
  <c r="J83" i="5"/>
  <c r="R84" i="5"/>
  <c r="Z85" i="5"/>
  <c r="J87" i="5"/>
  <c r="X81" i="5"/>
  <c r="Q80" i="5"/>
  <c r="AA81" i="5"/>
  <c r="S84" i="5"/>
  <c r="AA85" i="5"/>
  <c r="K87" i="5"/>
  <c r="AB81" i="5"/>
  <c r="H83" i="5"/>
  <c r="I83" i="5"/>
  <c r="L87" i="5"/>
  <c r="E82" i="5"/>
  <c r="T80" i="5"/>
  <c r="V80" i="5"/>
  <c r="F82" i="5"/>
  <c r="N83" i="5"/>
  <c r="V84" i="5"/>
  <c r="F86" i="5"/>
  <c r="N87" i="5"/>
  <c r="W80" i="5"/>
  <c r="G82" i="5"/>
  <c r="O83" i="5"/>
  <c r="W84" i="5"/>
  <c r="G86" i="5"/>
  <c r="O87" i="5"/>
  <c r="AB85" i="5"/>
  <c r="U84" i="5"/>
  <c r="P87" i="5"/>
  <c r="I82" i="5"/>
  <c r="Y84" i="5"/>
  <c r="Q87" i="5"/>
  <c r="E86" i="5"/>
  <c r="X84" i="5"/>
  <c r="Y80" i="5"/>
  <c r="Q83" i="5"/>
  <c r="I86" i="5"/>
  <c r="Z80" i="5"/>
  <c r="J82" i="5"/>
  <c r="R83" i="5"/>
  <c r="Z84" i="5"/>
  <c r="J86" i="5"/>
  <c r="R87" i="5"/>
  <c r="W85" i="5"/>
  <c r="I87" i="5"/>
  <c r="K86" i="5"/>
  <c r="G87" i="5"/>
  <c r="L83" i="5"/>
  <c r="U80" i="5"/>
  <c r="M83" i="5"/>
  <c r="S83" i="5"/>
  <c r="L82" i="5"/>
  <c r="Y85" i="5"/>
  <c r="S80" i="5"/>
  <c r="X80" i="5"/>
  <c r="AA84" i="5"/>
  <c r="E81" i="5"/>
  <c r="M82" i="5"/>
  <c r="U83" i="5"/>
  <c r="E85" i="5"/>
  <c r="M86" i="5"/>
  <c r="U87" i="5"/>
  <c r="W81" i="5"/>
  <c r="X85" i="5"/>
  <c r="Y81" i="5"/>
  <c r="H82" i="5"/>
  <c r="T83" i="5"/>
  <c r="L86" i="5"/>
  <c r="F81" i="5"/>
  <c r="N82" i="5"/>
  <c r="V83" i="5"/>
  <c r="F85" i="5"/>
  <c r="N86" i="5"/>
  <c r="V87" i="5"/>
  <c r="P80" i="5"/>
  <c r="K83" i="5"/>
  <c r="T84" i="5"/>
  <c r="AA80" i="5"/>
  <c r="S87" i="5"/>
  <c r="G81" i="5"/>
  <c r="O82" i="5"/>
  <c r="W83" i="5"/>
  <c r="G85" i="5"/>
  <c r="O86" i="5"/>
  <c r="W87" i="5"/>
  <c r="V81" i="5"/>
  <c r="O84" i="5"/>
  <c r="H86" i="5"/>
  <c r="K82" i="5"/>
  <c r="H81" i="5"/>
  <c r="P82" i="5"/>
  <c r="X83" i="5"/>
  <c r="H85" i="5"/>
  <c r="P86" i="5"/>
  <c r="X87" i="5"/>
  <c r="H87" i="5"/>
  <c r="M87" i="5"/>
  <c r="P83" i="5"/>
  <c r="AB80" i="5"/>
  <c r="AB84" i="5"/>
  <c r="T87" i="5"/>
  <c r="I81" i="5"/>
  <c r="Q82" i="5"/>
  <c r="Y83" i="5"/>
  <c r="I85" i="5"/>
  <c r="Q86" i="5"/>
  <c r="Y87" i="5"/>
  <c r="O80" i="5"/>
  <c r="J81" i="5"/>
  <c r="R82" i="5"/>
  <c r="Z83" i="5"/>
  <c r="J85" i="5"/>
  <c r="R86" i="5"/>
  <c r="C19" i="1"/>
  <c r="D14" i="1"/>
  <c r="L33" i="1" s="1"/>
  <c r="F50" i="5"/>
  <c r="G50" i="5" s="1"/>
  <c r="J19" i="1"/>
  <c r="N45" i="5"/>
  <c r="N62" i="5"/>
  <c r="N61" i="5"/>
  <c r="N59" i="5"/>
  <c r="N57" i="5"/>
  <c r="N55" i="5"/>
  <c r="N60" i="5"/>
  <c r="N54" i="5"/>
  <c r="N53" i="5"/>
  <c r="N52" i="5"/>
  <c r="N58" i="5"/>
  <c r="N56" i="5"/>
  <c r="N63" i="5"/>
  <c r="N66" i="5"/>
  <c r="N68" i="5"/>
  <c r="N73" i="5"/>
  <c r="N65" i="5"/>
  <c r="N67" i="5"/>
  <c r="N72" i="5"/>
  <c r="N64" i="5"/>
  <c r="N69" i="5"/>
  <c r="N70" i="5"/>
  <c r="N71" i="5"/>
  <c r="B14" i="1"/>
  <c r="C50" i="5"/>
  <c r="E50" i="5" s="1"/>
  <c r="N51" i="5"/>
  <c r="N22" i="5"/>
  <c r="N24" i="5"/>
  <c r="N30" i="5"/>
  <c r="N31" i="5"/>
  <c r="N28" i="5"/>
  <c r="N32" i="5"/>
  <c r="N33" i="5"/>
  <c r="D22" i="5"/>
  <c r="N25" i="5"/>
  <c r="N34" i="5"/>
  <c r="C22" i="5"/>
  <c r="N23" i="5"/>
  <c r="N26" i="5"/>
  <c r="N27" i="5"/>
  <c r="N29" i="5"/>
  <c r="N35" i="5"/>
  <c r="G22" i="5"/>
  <c r="N42" i="5"/>
  <c r="B12" i="5"/>
  <c r="N36" i="5"/>
  <c r="N43" i="5"/>
  <c r="N37" i="5"/>
  <c r="N38" i="5"/>
  <c r="N40" i="5"/>
  <c r="N44" i="5"/>
  <c r="N39" i="5"/>
  <c r="N41" i="5"/>
  <c r="D14" i="3"/>
  <c r="B14" i="3"/>
  <c r="K19" i="1" l="1"/>
  <c r="C11" i="7"/>
  <c r="D11" i="7" s="1"/>
  <c r="B16" i="7"/>
  <c r="B17" i="7" s="1"/>
  <c r="D42" i="1"/>
  <c r="D87" i="5"/>
  <c r="I92" i="5" s="1"/>
  <c r="D86" i="5"/>
  <c r="H94" i="5" s="1"/>
  <c r="D84" i="5"/>
  <c r="D82" i="5"/>
  <c r="D83" i="5"/>
  <c r="D85" i="5"/>
  <c r="D80" i="5"/>
  <c r="D81" i="5"/>
  <c r="H22" i="5"/>
  <c r="K22" i="5" s="1"/>
  <c r="D21" i="1"/>
  <c r="D19" i="1"/>
  <c r="E19" i="1" s="1"/>
  <c r="F19" i="1" s="1"/>
  <c r="L19" i="1"/>
  <c r="L22" i="1"/>
  <c r="L32" i="1"/>
  <c r="L26" i="1"/>
  <c r="L28" i="1"/>
  <c r="L27" i="1"/>
  <c r="L25" i="1"/>
  <c r="L35" i="1"/>
  <c r="L41" i="1"/>
  <c r="L23" i="1"/>
  <c r="L39" i="1"/>
  <c r="L37" i="1"/>
  <c r="L34" i="1"/>
  <c r="D27" i="1"/>
  <c r="L40" i="1"/>
  <c r="L36" i="1"/>
  <c r="D25" i="1"/>
  <c r="L21" i="1"/>
  <c r="L24" i="1"/>
  <c r="L38" i="1"/>
  <c r="L42" i="1"/>
  <c r="D23" i="1"/>
  <c r="L20" i="1"/>
  <c r="L31" i="1"/>
  <c r="I50" i="5"/>
  <c r="L29" i="1"/>
  <c r="I22" i="5"/>
  <c r="L30" i="1"/>
  <c r="D36" i="1"/>
  <c r="D26" i="1"/>
  <c r="D41" i="1"/>
  <c r="D35" i="1"/>
  <c r="D30" i="1"/>
  <c r="D20" i="1"/>
  <c r="D39" i="1"/>
  <c r="D33" i="1"/>
  <c r="D38" i="1"/>
  <c r="D32" i="1"/>
  <c r="D28" i="1"/>
  <c r="D37" i="1"/>
  <c r="D22" i="1"/>
  <c r="D40" i="1"/>
  <c r="D34" i="1"/>
  <c r="I30" i="3"/>
  <c r="I29" i="3"/>
  <c r="I28" i="3"/>
  <c r="I26" i="3"/>
  <c r="I25" i="3"/>
  <c r="I24" i="3"/>
  <c r="I27" i="3"/>
  <c r="I23" i="3"/>
  <c r="I32" i="3"/>
  <c r="I45" i="3"/>
  <c r="I31" i="3"/>
  <c r="I41" i="3"/>
  <c r="I34" i="3"/>
  <c r="I44" i="3"/>
  <c r="I40" i="3"/>
  <c r="I38" i="3"/>
  <c r="I36" i="3"/>
  <c r="I35" i="3"/>
  <c r="I42" i="3"/>
  <c r="I43" i="3"/>
  <c r="I39" i="3"/>
  <c r="I37" i="3"/>
  <c r="I33" i="3"/>
  <c r="D31" i="1"/>
  <c r="D24" i="1"/>
  <c r="D29" i="1"/>
  <c r="H50" i="5"/>
  <c r="E22" i="5"/>
  <c r="B23" i="5" s="1"/>
  <c r="D23" i="5" s="1"/>
  <c r="C40" i="3"/>
  <c r="C35" i="3"/>
  <c r="C33" i="3"/>
  <c r="C31" i="3"/>
  <c r="C27" i="3"/>
  <c r="C45" i="3"/>
  <c r="C43" i="3"/>
  <c r="C41" i="3"/>
  <c r="C39" i="3"/>
  <c r="C38" i="3"/>
  <c r="C36" i="3"/>
  <c r="C34" i="3"/>
  <c r="C32" i="3"/>
  <c r="C30" i="3"/>
  <c r="C29" i="3"/>
  <c r="C23" i="3"/>
  <c r="C44" i="3"/>
  <c r="C42" i="3"/>
  <c r="C37" i="3"/>
  <c r="C28" i="3"/>
  <c r="C26" i="3"/>
  <c r="C25" i="3"/>
  <c r="C24" i="3"/>
  <c r="M19" i="1" l="1"/>
  <c r="N19" i="1" s="1"/>
  <c r="H23" i="3" s="1"/>
  <c r="J23" i="3" s="1"/>
  <c r="H95" i="5"/>
  <c r="H99" i="5"/>
  <c r="H92" i="5"/>
  <c r="H93" i="5"/>
  <c r="H97" i="5"/>
  <c r="H100" i="5"/>
  <c r="H96" i="5"/>
  <c r="I95" i="5"/>
  <c r="H98" i="5"/>
  <c r="I100" i="5"/>
  <c r="I96" i="5"/>
  <c r="I99" i="5"/>
  <c r="I97" i="5"/>
  <c r="I98" i="5"/>
  <c r="I93" i="5"/>
  <c r="I94" i="5"/>
  <c r="B97" i="5"/>
  <c r="B99" i="5"/>
  <c r="B95" i="5"/>
  <c r="B94" i="5"/>
  <c r="B98" i="5"/>
  <c r="B93" i="5"/>
  <c r="B96" i="5"/>
  <c r="B92" i="5"/>
  <c r="B100" i="5"/>
  <c r="E98" i="5"/>
  <c r="E99" i="5"/>
  <c r="E95" i="5"/>
  <c r="E96" i="5"/>
  <c r="E94" i="5"/>
  <c r="E100" i="5"/>
  <c r="E97" i="5"/>
  <c r="E93" i="5"/>
  <c r="E92" i="5"/>
  <c r="F99" i="5"/>
  <c r="F95" i="5"/>
  <c r="F97" i="5"/>
  <c r="F94" i="5"/>
  <c r="F98" i="5"/>
  <c r="F100" i="5"/>
  <c r="F93" i="5"/>
  <c r="F96" i="5"/>
  <c r="F92" i="5"/>
  <c r="D97" i="5"/>
  <c r="D99" i="5"/>
  <c r="D95" i="5"/>
  <c r="D100" i="5"/>
  <c r="D96" i="5"/>
  <c r="D98" i="5"/>
  <c r="D94" i="5"/>
  <c r="D93" i="5"/>
  <c r="D92" i="5"/>
  <c r="C99" i="5"/>
  <c r="C95" i="5"/>
  <c r="C98" i="5"/>
  <c r="C94" i="5"/>
  <c r="C92" i="5"/>
  <c r="C100" i="5"/>
  <c r="C96" i="5"/>
  <c r="C97" i="5"/>
  <c r="C93" i="5"/>
  <c r="G99" i="5"/>
  <c r="G95" i="5"/>
  <c r="G92" i="5"/>
  <c r="G100" i="5"/>
  <c r="G98" i="5"/>
  <c r="G94" i="5"/>
  <c r="G97" i="5"/>
  <c r="G93" i="5"/>
  <c r="G96" i="5"/>
  <c r="J22" i="5"/>
  <c r="L43" i="1"/>
  <c r="C23" i="5"/>
  <c r="E23" i="5" s="1"/>
  <c r="B24" i="5" s="1"/>
  <c r="D43" i="1"/>
  <c r="J20" i="1"/>
  <c r="K20" i="1" s="1"/>
  <c r="M20" i="1" s="1"/>
  <c r="N20" i="1" s="1"/>
  <c r="B20" i="1"/>
  <c r="C20" i="1" s="1"/>
  <c r="E20" i="1" s="1"/>
  <c r="B23" i="3"/>
  <c r="D23" i="3" s="1"/>
  <c r="J50" i="5"/>
  <c r="K50" i="5"/>
  <c r="L50" i="5" s="1"/>
  <c r="F23" i="5"/>
  <c r="L22" i="5"/>
  <c r="D12" i="7" l="1"/>
  <c r="C16" i="7"/>
  <c r="D24" i="5"/>
  <c r="C24" i="5"/>
  <c r="J21" i="1"/>
  <c r="K21" i="1" s="1"/>
  <c r="M21" i="1" s="1"/>
  <c r="N21" i="1" s="1"/>
  <c r="H24" i="3"/>
  <c r="J24" i="3" s="1"/>
  <c r="M22" i="5"/>
  <c r="O22" i="5" s="1"/>
  <c r="M50" i="5"/>
  <c r="O50" i="5" s="1"/>
  <c r="F51" i="5"/>
  <c r="G23" i="5"/>
  <c r="F20" i="1"/>
  <c r="D16" i="7" l="1"/>
  <c r="C17" i="7"/>
  <c r="D17" i="7" s="1"/>
  <c r="E24" i="5"/>
  <c r="B25" i="5" s="1"/>
  <c r="J22" i="1"/>
  <c r="K22" i="1" s="1"/>
  <c r="H25" i="3"/>
  <c r="J25" i="3" s="1"/>
  <c r="B21" i="1"/>
  <c r="C21" i="1" s="1"/>
  <c r="B24" i="3"/>
  <c r="D24" i="3" s="1"/>
  <c r="G51" i="5"/>
  <c r="H23" i="5"/>
  <c r="I23" i="5"/>
  <c r="D25" i="5" l="1"/>
  <c r="C25" i="5"/>
  <c r="H51" i="5"/>
  <c r="J23" i="5"/>
  <c r="K23" i="5"/>
  <c r="M22" i="1"/>
  <c r="E21" i="1"/>
  <c r="E25" i="5" l="1"/>
  <c r="B26" i="5" s="1"/>
  <c r="C26" i="5" s="1"/>
  <c r="K51" i="5"/>
  <c r="F24" i="5"/>
  <c r="L23" i="5"/>
  <c r="N22" i="1"/>
  <c r="F21" i="1"/>
  <c r="D26" i="5" l="1"/>
  <c r="E26" i="5" s="1"/>
  <c r="B27" i="5" s="1"/>
  <c r="C27" i="5" s="1"/>
  <c r="B22" i="1"/>
  <c r="C22" i="1" s="1"/>
  <c r="B25" i="3"/>
  <c r="D25" i="3" s="1"/>
  <c r="J23" i="1"/>
  <c r="K23" i="1" s="1"/>
  <c r="H26" i="3"/>
  <c r="J26" i="3" s="1"/>
  <c r="M23" i="5"/>
  <c r="O23" i="5" s="1"/>
  <c r="F52" i="5"/>
  <c r="G24" i="5"/>
  <c r="E22" i="1"/>
  <c r="D27" i="5" l="1"/>
  <c r="E27" i="5" s="1"/>
  <c r="B28" i="5" s="1"/>
  <c r="C28" i="5" s="1"/>
  <c r="G52" i="5"/>
  <c r="H24" i="5"/>
  <c r="I24" i="5"/>
  <c r="M23" i="1"/>
  <c r="F22" i="1"/>
  <c r="D28" i="5" l="1"/>
  <c r="E28" i="5"/>
  <c r="B29" i="5" s="1"/>
  <c r="B23" i="1"/>
  <c r="B26" i="3"/>
  <c r="D26" i="3" s="1"/>
  <c r="H52" i="5"/>
  <c r="J24" i="5"/>
  <c r="K24" i="5"/>
  <c r="N23" i="1"/>
  <c r="C23" i="1"/>
  <c r="E23" i="1" s="1"/>
  <c r="C29" i="5" l="1"/>
  <c r="D29" i="5"/>
  <c r="J24" i="1"/>
  <c r="H27" i="3"/>
  <c r="J27" i="3" s="1"/>
  <c r="K52" i="5"/>
  <c r="L24" i="5"/>
  <c r="F25" i="5"/>
  <c r="K24" i="1"/>
  <c r="M24" i="1" s="1"/>
  <c r="F23" i="1"/>
  <c r="E29" i="5" l="1"/>
  <c r="B30" i="5" s="1"/>
  <c r="C30" i="5" s="1"/>
  <c r="B24" i="1"/>
  <c r="C24" i="1" s="1"/>
  <c r="E24" i="1" s="1"/>
  <c r="F24" i="1" s="1"/>
  <c r="B27" i="3"/>
  <c r="D27" i="3" s="1"/>
  <c r="M24" i="5"/>
  <c r="O24" i="5" s="1"/>
  <c r="F53" i="5"/>
  <c r="G25" i="5"/>
  <c r="N24" i="1"/>
  <c r="D30" i="5" l="1"/>
  <c r="E30" i="5" s="1"/>
  <c r="B31" i="5" s="1"/>
  <c r="D31" i="5" s="1"/>
  <c r="B25" i="1"/>
  <c r="B28" i="3"/>
  <c r="D28" i="3" s="1"/>
  <c r="J25" i="1"/>
  <c r="K25" i="1" s="1"/>
  <c r="M25" i="1" s="1"/>
  <c r="N25" i="1" s="1"/>
  <c r="H28" i="3"/>
  <c r="J28" i="3" s="1"/>
  <c r="B51" i="5"/>
  <c r="G53" i="5"/>
  <c r="I25" i="5"/>
  <c r="H25" i="5"/>
  <c r="C25" i="1"/>
  <c r="E25" i="1" s="1"/>
  <c r="F25" i="1" s="1"/>
  <c r="C31" i="5" l="1"/>
  <c r="E31" i="5" s="1"/>
  <c r="B32" i="5" s="1"/>
  <c r="C32" i="5" s="1"/>
  <c r="J26" i="1"/>
  <c r="K26" i="1" s="1"/>
  <c r="M26" i="1" s="1"/>
  <c r="N26" i="1" s="1"/>
  <c r="H29" i="3"/>
  <c r="J29" i="3" s="1"/>
  <c r="B26" i="1"/>
  <c r="C26" i="1" s="1"/>
  <c r="E26" i="1" s="1"/>
  <c r="F26" i="1" s="1"/>
  <c r="B29" i="3"/>
  <c r="D29" i="3" s="1"/>
  <c r="C51" i="5"/>
  <c r="I51" i="5" s="1"/>
  <c r="D51" i="5"/>
  <c r="H53" i="5"/>
  <c r="J25" i="5"/>
  <c r="K25" i="5"/>
  <c r="D32" i="5" l="1"/>
  <c r="E32" i="5" s="1"/>
  <c r="B33" i="5" s="1"/>
  <c r="J27" i="1"/>
  <c r="H30" i="3"/>
  <c r="J30" i="3" s="1"/>
  <c r="B27" i="1"/>
  <c r="B30" i="3"/>
  <c r="D30" i="3" s="1"/>
  <c r="J51" i="5"/>
  <c r="L51" i="5"/>
  <c r="E51" i="5"/>
  <c r="B52" i="5" s="1"/>
  <c r="K53" i="5"/>
  <c r="F26" i="5"/>
  <c r="L25" i="5"/>
  <c r="K27" i="1"/>
  <c r="M27" i="1" s="1"/>
  <c r="N27" i="1" s="1"/>
  <c r="C27" i="1"/>
  <c r="E27" i="1" s="1"/>
  <c r="F27" i="1" s="1"/>
  <c r="D33" i="5" l="1"/>
  <c r="C33" i="5"/>
  <c r="B28" i="1"/>
  <c r="C28" i="1" s="1"/>
  <c r="E28" i="1" s="1"/>
  <c r="F28" i="1" s="1"/>
  <c r="B31" i="3"/>
  <c r="D31" i="3" s="1"/>
  <c r="J28" i="1"/>
  <c r="K28" i="1" s="1"/>
  <c r="M28" i="1" s="1"/>
  <c r="N28" i="1" s="1"/>
  <c r="H31" i="3"/>
  <c r="J31" i="3" s="1"/>
  <c r="M25" i="5"/>
  <c r="O25" i="5" s="1"/>
  <c r="C52" i="5"/>
  <c r="D52" i="5"/>
  <c r="L52" i="5" s="1"/>
  <c r="M51" i="5"/>
  <c r="F54" i="5"/>
  <c r="G26" i="5"/>
  <c r="E33" i="5" l="1"/>
  <c r="B34" i="5" s="1"/>
  <c r="J29" i="1"/>
  <c r="K29" i="1" s="1"/>
  <c r="M29" i="1" s="1"/>
  <c r="N29" i="1" s="1"/>
  <c r="H32" i="3"/>
  <c r="J32" i="3" s="1"/>
  <c r="B29" i="1"/>
  <c r="C29" i="1" s="1"/>
  <c r="E29" i="1" s="1"/>
  <c r="F29" i="1" s="1"/>
  <c r="B32" i="3"/>
  <c r="D32" i="3" s="1"/>
  <c r="E52" i="5"/>
  <c r="B53" i="5" s="1"/>
  <c r="O51" i="5"/>
  <c r="I52" i="5"/>
  <c r="J52" i="5"/>
  <c r="G54" i="5"/>
  <c r="I26" i="5"/>
  <c r="H26" i="5"/>
  <c r="D34" i="5" l="1"/>
  <c r="C34" i="5"/>
  <c r="J30" i="1"/>
  <c r="K30" i="1" s="1"/>
  <c r="M30" i="1" s="1"/>
  <c r="N30" i="1" s="1"/>
  <c r="H33" i="3"/>
  <c r="J33" i="3" s="1"/>
  <c r="B30" i="1"/>
  <c r="B33" i="3"/>
  <c r="D33" i="3" s="1"/>
  <c r="C53" i="5"/>
  <c r="I53" i="5" s="1"/>
  <c r="D53" i="5"/>
  <c r="L53" i="5" s="1"/>
  <c r="M52" i="5"/>
  <c r="H54" i="5"/>
  <c r="J26" i="5"/>
  <c r="K26" i="5"/>
  <c r="E34" i="5" l="1"/>
  <c r="B35" i="5" s="1"/>
  <c r="C35" i="5" s="1"/>
  <c r="J53" i="5"/>
  <c r="M53" i="5" s="1"/>
  <c r="O53" i="5" s="1"/>
  <c r="J31" i="1"/>
  <c r="K31" i="1" s="1"/>
  <c r="M31" i="1" s="1"/>
  <c r="N31" i="1" s="1"/>
  <c r="H34" i="3"/>
  <c r="J34" i="3" s="1"/>
  <c r="C30" i="1"/>
  <c r="E30" i="1" s="1"/>
  <c r="F30" i="1" s="1"/>
  <c r="E53" i="5"/>
  <c r="B54" i="5" s="1"/>
  <c r="C54" i="5" s="1"/>
  <c r="O52" i="5"/>
  <c r="K54" i="5"/>
  <c r="L26" i="5"/>
  <c r="F27" i="5"/>
  <c r="D35" i="5" l="1"/>
  <c r="E35" i="5"/>
  <c r="B36" i="5" s="1"/>
  <c r="C36" i="5" s="1"/>
  <c r="D54" i="5"/>
  <c r="L54" i="5" s="1"/>
  <c r="I54" i="5"/>
  <c r="J54" i="5"/>
  <c r="B31" i="1"/>
  <c r="C31" i="1" s="1"/>
  <c r="E31" i="1" s="1"/>
  <c r="F31" i="1" s="1"/>
  <c r="B34" i="3"/>
  <c r="D34" i="3" s="1"/>
  <c r="J32" i="1"/>
  <c r="K32" i="1" s="1"/>
  <c r="M32" i="1" s="1"/>
  <c r="N32" i="1" s="1"/>
  <c r="H35" i="3"/>
  <c r="J35" i="3" s="1"/>
  <c r="M26" i="5"/>
  <c r="O26" i="5" s="1"/>
  <c r="F55" i="5"/>
  <c r="G27" i="5"/>
  <c r="D36" i="5" l="1"/>
  <c r="E36" i="5" s="1"/>
  <c r="B37" i="5" s="1"/>
  <c r="E54" i="5"/>
  <c r="B55" i="5" s="1"/>
  <c r="M54" i="5"/>
  <c r="O54" i="5" s="1"/>
  <c r="J33" i="1"/>
  <c r="H36" i="3"/>
  <c r="J36" i="3" s="1"/>
  <c r="B32" i="1"/>
  <c r="C32" i="1" s="1"/>
  <c r="E32" i="1" s="1"/>
  <c r="F32" i="1" s="1"/>
  <c r="B35" i="3"/>
  <c r="D35" i="3" s="1"/>
  <c r="G55" i="5"/>
  <c r="I27" i="5"/>
  <c r="H27" i="5"/>
  <c r="K33" i="1"/>
  <c r="M33" i="1" s="1"/>
  <c r="N33" i="1" s="1"/>
  <c r="D55" i="5" l="1"/>
  <c r="C55" i="5"/>
  <c r="I55" i="5" s="1"/>
  <c r="D37" i="5"/>
  <c r="C37" i="5"/>
  <c r="B33" i="1"/>
  <c r="B36" i="3"/>
  <c r="D36" i="3" s="1"/>
  <c r="J34" i="1"/>
  <c r="K34" i="1" s="1"/>
  <c r="M34" i="1" s="1"/>
  <c r="N34" i="1" s="1"/>
  <c r="H37" i="3"/>
  <c r="J37" i="3" s="1"/>
  <c r="H55" i="5"/>
  <c r="J27" i="5"/>
  <c r="K27" i="5"/>
  <c r="E37" i="5" l="1"/>
  <c r="B38" i="5" s="1"/>
  <c r="D38" i="5" s="1"/>
  <c r="E55" i="5"/>
  <c r="B56" i="5" s="1"/>
  <c r="J35" i="1"/>
  <c r="K35" i="1" s="1"/>
  <c r="M35" i="1" s="1"/>
  <c r="N35" i="1" s="1"/>
  <c r="H38" i="3"/>
  <c r="J38" i="3" s="1"/>
  <c r="C33" i="1"/>
  <c r="E33" i="1" s="1"/>
  <c r="F33" i="1" s="1"/>
  <c r="J55" i="5"/>
  <c r="K55" i="5"/>
  <c r="L27" i="5"/>
  <c r="M27" i="5" s="1"/>
  <c r="F28" i="5"/>
  <c r="C38" i="5" l="1"/>
  <c r="E38" i="5" s="1"/>
  <c r="B39" i="5" s="1"/>
  <c r="C39" i="5" s="1"/>
  <c r="D56" i="5"/>
  <c r="C56" i="5"/>
  <c r="B34" i="1"/>
  <c r="C34" i="1" s="1"/>
  <c r="E34" i="1" s="1"/>
  <c r="F34" i="1" s="1"/>
  <c r="B37" i="3"/>
  <c r="D37" i="3" s="1"/>
  <c r="J36" i="1"/>
  <c r="K36" i="1" s="1"/>
  <c r="M36" i="1" s="1"/>
  <c r="N36" i="1" s="1"/>
  <c r="H39" i="3"/>
  <c r="J39" i="3" s="1"/>
  <c r="O27" i="5"/>
  <c r="F56" i="5"/>
  <c r="L55" i="5"/>
  <c r="M55" i="5" s="1"/>
  <c r="G28" i="5"/>
  <c r="D39" i="5" l="1"/>
  <c r="E39" i="5" s="1"/>
  <c r="B40" i="5" s="1"/>
  <c r="D40" i="5" s="1"/>
  <c r="C40" i="5"/>
  <c r="E40" i="5" s="1"/>
  <c r="B41" i="5" s="1"/>
  <c r="C41" i="5" s="1"/>
  <c r="E56" i="5"/>
  <c r="B57" i="5" s="1"/>
  <c r="D57" i="5" s="1"/>
  <c r="J37" i="1"/>
  <c r="H40" i="3"/>
  <c r="J40" i="3" s="1"/>
  <c r="B35" i="1"/>
  <c r="C35" i="1" s="1"/>
  <c r="B38" i="3"/>
  <c r="D38" i="3" s="1"/>
  <c r="O55" i="5"/>
  <c r="G56" i="5"/>
  <c r="I28" i="5"/>
  <c r="H28" i="5"/>
  <c r="K37" i="1"/>
  <c r="M37" i="1" s="1"/>
  <c r="N37" i="1" s="1"/>
  <c r="D41" i="5" l="1"/>
  <c r="E41" i="5" s="1"/>
  <c r="B42" i="5" s="1"/>
  <c r="C57" i="5"/>
  <c r="E57" i="5"/>
  <c r="B58" i="5" s="1"/>
  <c r="D58" i="5" s="1"/>
  <c r="C42" i="5"/>
  <c r="D42" i="5"/>
  <c r="J38" i="1"/>
  <c r="H41" i="3"/>
  <c r="J41" i="3" s="1"/>
  <c r="E35" i="1"/>
  <c r="I56" i="5"/>
  <c r="H56" i="5"/>
  <c r="J28" i="5"/>
  <c r="K28" i="5"/>
  <c r="K38" i="1"/>
  <c r="M38" i="1" s="1"/>
  <c r="N38" i="1" s="1"/>
  <c r="E42" i="5" l="1"/>
  <c r="B43" i="5" s="1"/>
  <c r="D43" i="5" s="1"/>
  <c r="C58" i="5"/>
  <c r="E58" i="5" s="1"/>
  <c r="B59" i="5" s="1"/>
  <c r="J39" i="1"/>
  <c r="H42" i="3"/>
  <c r="J42" i="3" s="1"/>
  <c r="F35" i="1"/>
  <c r="J56" i="5"/>
  <c r="K56" i="5"/>
  <c r="L28" i="5"/>
  <c r="M28" i="5" s="1"/>
  <c r="F29" i="5"/>
  <c r="K39" i="1"/>
  <c r="M39" i="1" s="1"/>
  <c r="N39" i="1" s="1"/>
  <c r="C43" i="5" l="1"/>
  <c r="E43" i="5" s="1"/>
  <c r="B44" i="5" s="1"/>
  <c r="D44" i="5" s="1"/>
  <c r="C59" i="5"/>
  <c r="D59" i="5"/>
  <c r="J40" i="1"/>
  <c r="H43" i="3"/>
  <c r="J43" i="3" s="1"/>
  <c r="B36" i="1"/>
  <c r="B39" i="3"/>
  <c r="D39" i="3" s="1"/>
  <c r="O28" i="5"/>
  <c r="F57" i="5"/>
  <c r="L56" i="5"/>
  <c r="M56" i="5" s="1"/>
  <c r="O56" i="5" s="1"/>
  <c r="G29" i="5"/>
  <c r="K40" i="1"/>
  <c r="M40" i="1" s="1"/>
  <c r="N40" i="1" s="1"/>
  <c r="C44" i="5" l="1"/>
  <c r="E59" i="5"/>
  <c r="B60" i="5" s="1"/>
  <c r="E44" i="5"/>
  <c r="B45" i="5" s="1"/>
  <c r="C45" i="5" s="1"/>
  <c r="C46" i="5" s="1"/>
  <c r="J41" i="1"/>
  <c r="H44" i="3"/>
  <c r="J44" i="3" s="1"/>
  <c r="C36" i="1"/>
  <c r="G57" i="5"/>
  <c r="I29" i="5"/>
  <c r="H29" i="5"/>
  <c r="K41" i="1"/>
  <c r="M41" i="1" s="1"/>
  <c r="N41" i="1" s="1"/>
  <c r="C60" i="5" l="1"/>
  <c r="D60" i="5"/>
  <c r="D45" i="5"/>
  <c r="D46" i="5" s="1"/>
  <c r="J42" i="1"/>
  <c r="H45" i="3"/>
  <c r="J45" i="3" s="1"/>
  <c r="E36" i="1"/>
  <c r="I57" i="5"/>
  <c r="H57" i="5"/>
  <c r="J29" i="5"/>
  <c r="K29" i="5"/>
  <c r="K42" i="1"/>
  <c r="E45" i="5" l="1"/>
  <c r="E60" i="5"/>
  <c r="B61" i="5" s="1"/>
  <c r="C61" i="5" s="1"/>
  <c r="F36" i="1"/>
  <c r="J57" i="5"/>
  <c r="K57" i="5"/>
  <c r="L29" i="5"/>
  <c r="M29" i="5" s="1"/>
  <c r="O29" i="5" s="1"/>
  <c r="F30" i="5"/>
  <c r="M42" i="1"/>
  <c r="K43" i="1"/>
  <c r="D61" i="5" l="1"/>
  <c r="E61" i="5" s="1"/>
  <c r="B62" i="5" s="1"/>
  <c r="D62" i="5" s="1"/>
  <c r="B37" i="1"/>
  <c r="C37" i="1" s="1"/>
  <c r="B40" i="3"/>
  <c r="D40" i="3" s="1"/>
  <c r="F58" i="5"/>
  <c r="L57" i="5"/>
  <c r="M57" i="5" s="1"/>
  <c r="O57" i="5" s="1"/>
  <c r="G30" i="5"/>
  <c r="M43" i="1"/>
  <c r="N42" i="1"/>
  <c r="H46" i="3" s="1"/>
  <c r="J46" i="3" s="1"/>
  <c r="C62" i="5" l="1"/>
  <c r="E62" i="5" s="1"/>
  <c r="B63" i="5" s="1"/>
  <c r="E37" i="1"/>
  <c r="G58" i="5"/>
  <c r="H30" i="5"/>
  <c r="I30" i="5"/>
  <c r="D63" i="5" l="1"/>
  <c r="C63" i="5"/>
  <c r="F37" i="1"/>
  <c r="I58" i="5"/>
  <c r="H58" i="5"/>
  <c r="J30" i="5"/>
  <c r="K30" i="5"/>
  <c r="E63" i="5" l="1"/>
  <c r="B64" i="5" s="1"/>
  <c r="C64" i="5" s="1"/>
  <c r="B38" i="1"/>
  <c r="C38" i="1" s="1"/>
  <c r="B41" i="3"/>
  <c r="D41" i="3" s="1"/>
  <c r="J58" i="5"/>
  <c r="K58" i="5"/>
  <c r="F31" i="5"/>
  <c r="L30" i="5"/>
  <c r="M30" i="5" s="1"/>
  <c r="O30" i="5" s="1"/>
  <c r="D64" i="5" l="1"/>
  <c r="E64" i="5" s="1"/>
  <c r="B65" i="5" s="1"/>
  <c r="E38" i="1"/>
  <c r="F59" i="5"/>
  <c r="L58" i="5"/>
  <c r="M58" i="5" s="1"/>
  <c r="O58" i="5" s="1"/>
  <c r="G31" i="5"/>
  <c r="C65" i="5" l="1"/>
  <c r="D65" i="5"/>
  <c r="F38" i="1"/>
  <c r="G59" i="5"/>
  <c r="I31" i="5"/>
  <c r="H31" i="5"/>
  <c r="E65" i="5" l="1"/>
  <c r="B66" i="5" s="1"/>
  <c r="B39" i="1"/>
  <c r="C39" i="1" s="1"/>
  <c r="B42" i="3"/>
  <c r="D42" i="3" s="1"/>
  <c r="H59" i="5"/>
  <c r="I59" i="5"/>
  <c r="J31" i="5"/>
  <c r="K31" i="5"/>
  <c r="C66" i="5" l="1"/>
  <c r="D66" i="5"/>
  <c r="E39" i="1"/>
  <c r="J59" i="5"/>
  <c r="K59" i="5"/>
  <c r="F32" i="5"/>
  <c r="L31" i="5"/>
  <c r="M31" i="5" s="1"/>
  <c r="O31" i="5" s="1"/>
  <c r="E66" i="5" l="1"/>
  <c r="B67" i="5" s="1"/>
  <c r="C67" i="5" s="1"/>
  <c r="F39" i="1"/>
  <c r="F60" i="5"/>
  <c r="L59" i="5"/>
  <c r="M59" i="5" s="1"/>
  <c r="O59" i="5" s="1"/>
  <c r="G32" i="5"/>
  <c r="D67" i="5" l="1"/>
  <c r="E67" i="5" s="1"/>
  <c r="B68" i="5" s="1"/>
  <c r="D68" i="5" s="1"/>
  <c r="B40" i="1"/>
  <c r="C40" i="1" s="1"/>
  <c r="E40" i="1" s="1"/>
  <c r="F40" i="1" s="1"/>
  <c r="B43" i="3"/>
  <c r="D43" i="3" s="1"/>
  <c r="G60" i="5"/>
  <c r="I32" i="5"/>
  <c r="H32" i="5"/>
  <c r="C68" i="5" l="1"/>
  <c r="E68" i="5" s="1"/>
  <c r="B69" i="5" s="1"/>
  <c r="B41" i="1"/>
  <c r="C41" i="1" s="1"/>
  <c r="E41" i="1" s="1"/>
  <c r="F41" i="1" s="1"/>
  <c r="B44" i="3"/>
  <c r="D44" i="3" s="1"/>
  <c r="I60" i="5"/>
  <c r="H60" i="5"/>
  <c r="J32" i="5"/>
  <c r="K32" i="5"/>
  <c r="C69" i="5" l="1"/>
  <c r="D69" i="5"/>
  <c r="B42" i="1"/>
  <c r="B45" i="3"/>
  <c r="D45" i="3" s="1"/>
  <c r="J60" i="5"/>
  <c r="K60" i="5"/>
  <c r="L32" i="5"/>
  <c r="M32" i="5" s="1"/>
  <c r="O32" i="5" s="1"/>
  <c r="F33" i="5"/>
  <c r="E69" i="5" l="1"/>
  <c r="B70" i="5" s="1"/>
  <c r="C70" i="5" s="1"/>
  <c r="C42" i="1"/>
  <c r="F61" i="5"/>
  <c r="L60" i="5"/>
  <c r="M60" i="5" s="1"/>
  <c r="O60" i="5" s="1"/>
  <c r="G33" i="5"/>
  <c r="D70" i="5" l="1"/>
  <c r="E70" i="5" s="1"/>
  <c r="B71" i="5" s="1"/>
  <c r="E42" i="1"/>
  <c r="C43" i="1"/>
  <c r="G61" i="5"/>
  <c r="I33" i="5"/>
  <c r="H33" i="5"/>
  <c r="D71" i="5" l="1"/>
  <c r="C71" i="5"/>
  <c r="E43" i="1"/>
  <c r="F42" i="1"/>
  <c r="B46" i="3" s="1"/>
  <c r="D46" i="3" s="1"/>
  <c r="H61" i="5"/>
  <c r="I61" i="5"/>
  <c r="J33" i="5"/>
  <c r="K33" i="5"/>
  <c r="E71" i="5" l="1"/>
  <c r="B72" i="5" s="1"/>
  <c r="D72" i="5" s="1"/>
  <c r="J61" i="5"/>
  <c r="K61" i="5"/>
  <c r="L33" i="5"/>
  <c r="M33" i="5" s="1"/>
  <c r="O33" i="5" s="1"/>
  <c r="F34" i="5"/>
  <c r="C72" i="5" l="1"/>
  <c r="E72" i="5" s="1"/>
  <c r="B73" i="5" s="1"/>
  <c r="D73" i="5" s="1"/>
  <c r="D74" i="5" s="1"/>
  <c r="F62" i="5"/>
  <c r="L61" i="5"/>
  <c r="M61" i="5" s="1"/>
  <c r="O61" i="5" s="1"/>
  <c r="G34" i="5"/>
  <c r="C73" i="5" l="1"/>
  <c r="E73" i="5" s="1"/>
  <c r="G62" i="5"/>
  <c r="I34" i="5"/>
  <c r="H34" i="5"/>
  <c r="C74" i="5" l="1"/>
  <c r="I62" i="5"/>
  <c r="H62" i="5"/>
  <c r="J34" i="5"/>
  <c r="K34" i="5"/>
  <c r="J62" i="5" l="1"/>
  <c r="K62" i="5"/>
  <c r="F35" i="5"/>
  <c r="L34" i="5"/>
  <c r="M34" i="5" s="1"/>
  <c r="O34" i="5" s="1"/>
  <c r="F63" i="5" l="1"/>
  <c r="L62" i="5"/>
  <c r="M62" i="5" s="1"/>
  <c r="O62" i="5" s="1"/>
  <c r="G35" i="5"/>
  <c r="G63" i="5" l="1"/>
  <c r="I35" i="5"/>
  <c r="H35" i="5"/>
  <c r="I63" i="5" l="1"/>
  <c r="H63" i="5"/>
  <c r="J35" i="5"/>
  <c r="K35" i="5"/>
  <c r="J63" i="5" l="1"/>
  <c r="K63" i="5"/>
  <c r="F36" i="5"/>
  <c r="L35" i="5"/>
  <c r="M35" i="5" s="1"/>
  <c r="O35" i="5" s="1"/>
  <c r="F64" i="5" l="1"/>
  <c r="L63" i="5"/>
  <c r="M63" i="5" s="1"/>
  <c r="O63" i="5" s="1"/>
  <c r="G36" i="5"/>
  <c r="C15" i="7" l="1"/>
  <c r="G64" i="5"/>
  <c r="I36" i="5"/>
  <c r="H36" i="5"/>
  <c r="B15" i="7" l="1"/>
  <c r="D15" i="7" s="1"/>
  <c r="D13" i="7"/>
  <c r="I64" i="5"/>
  <c r="H64" i="5"/>
  <c r="J36" i="5"/>
  <c r="K36" i="5"/>
  <c r="D18" i="7" l="1"/>
  <c r="A19" i="7" s="1"/>
  <c r="B4" i="7"/>
  <c r="J64" i="5"/>
  <c r="K64" i="5"/>
  <c r="F37" i="5"/>
  <c r="L36" i="5"/>
  <c r="M36" i="5" s="1"/>
  <c r="O36" i="5" s="1"/>
  <c r="F65" i="5" l="1"/>
  <c r="L64" i="5"/>
  <c r="M64" i="5" s="1"/>
  <c r="O64" i="5" s="1"/>
  <c r="G37" i="5"/>
  <c r="G65" i="5" l="1"/>
  <c r="I37" i="5"/>
  <c r="H37" i="5"/>
  <c r="H65" i="5" l="1"/>
  <c r="I65" i="5"/>
  <c r="J37" i="5"/>
  <c r="K37" i="5"/>
  <c r="J65" i="5" l="1"/>
  <c r="K65" i="5"/>
  <c r="F38" i="5"/>
  <c r="L37" i="5"/>
  <c r="M37" i="5" s="1"/>
  <c r="O37" i="5" s="1"/>
  <c r="F66" i="5" l="1"/>
  <c r="L65" i="5"/>
  <c r="M65" i="5" s="1"/>
  <c r="O65" i="5" s="1"/>
  <c r="G38" i="5"/>
  <c r="G66" i="5" l="1"/>
  <c r="I38" i="5"/>
  <c r="H38" i="5"/>
  <c r="H66" i="5" l="1"/>
  <c r="I66" i="5"/>
  <c r="J38" i="5"/>
  <c r="K38" i="5"/>
  <c r="J66" i="5" l="1"/>
  <c r="K66" i="5"/>
  <c r="F39" i="5"/>
  <c r="L38" i="5"/>
  <c r="M38" i="5" s="1"/>
  <c r="O38" i="5" s="1"/>
  <c r="F67" i="5" l="1"/>
  <c r="L66" i="5"/>
  <c r="M66" i="5" s="1"/>
  <c r="O66" i="5" s="1"/>
  <c r="G39" i="5"/>
  <c r="G67" i="5" l="1"/>
  <c r="H39" i="5"/>
  <c r="I39" i="5"/>
  <c r="H67" i="5" l="1"/>
  <c r="I67" i="5"/>
  <c r="J39" i="5"/>
  <c r="K39" i="5"/>
  <c r="J67" i="5" l="1"/>
  <c r="K67" i="5"/>
  <c r="F40" i="5"/>
  <c r="L39" i="5"/>
  <c r="M39" i="5" s="1"/>
  <c r="O39" i="5" s="1"/>
  <c r="F68" i="5" l="1"/>
  <c r="L67" i="5"/>
  <c r="M67" i="5" s="1"/>
  <c r="O67" i="5" s="1"/>
  <c r="G40" i="5"/>
  <c r="G68" i="5" l="1"/>
  <c r="H40" i="5"/>
  <c r="I40" i="5"/>
  <c r="I68" i="5" l="1"/>
  <c r="H68" i="5"/>
  <c r="J40" i="5"/>
  <c r="K40" i="5"/>
  <c r="J68" i="5" l="1"/>
  <c r="K68" i="5"/>
  <c r="F41" i="5"/>
  <c r="L40" i="5"/>
  <c r="M40" i="5" s="1"/>
  <c r="O40" i="5" s="1"/>
  <c r="F69" i="5" l="1"/>
  <c r="L68" i="5"/>
  <c r="M68" i="5" s="1"/>
  <c r="O68" i="5" s="1"/>
  <c r="G41" i="5"/>
  <c r="G69" i="5" l="1"/>
  <c r="I41" i="5"/>
  <c r="H41" i="5"/>
  <c r="H69" i="5" l="1"/>
  <c r="I69" i="5"/>
  <c r="J41" i="5"/>
  <c r="K41" i="5"/>
  <c r="J69" i="5" l="1"/>
  <c r="K69" i="5"/>
  <c r="F42" i="5"/>
  <c r="L41" i="5"/>
  <c r="M41" i="5" s="1"/>
  <c r="O41" i="5" s="1"/>
  <c r="F70" i="5" l="1"/>
  <c r="L69" i="5"/>
  <c r="M69" i="5" s="1"/>
  <c r="O69" i="5" s="1"/>
  <c r="G42" i="5"/>
  <c r="G70" i="5" l="1"/>
  <c r="H42" i="5"/>
  <c r="I42" i="5"/>
  <c r="H70" i="5" l="1"/>
  <c r="I70" i="5"/>
  <c r="J42" i="5"/>
  <c r="K42" i="5"/>
  <c r="J70" i="5" l="1"/>
  <c r="K70" i="5"/>
  <c r="F43" i="5"/>
  <c r="L42" i="5"/>
  <c r="M42" i="5" s="1"/>
  <c r="O42" i="5" s="1"/>
  <c r="F71" i="5" l="1"/>
  <c r="L70" i="5"/>
  <c r="M70" i="5" s="1"/>
  <c r="O70" i="5" s="1"/>
  <c r="G43" i="5"/>
  <c r="G71" i="5" l="1"/>
  <c r="I43" i="5"/>
  <c r="H43" i="5"/>
  <c r="I71" i="5" l="1"/>
  <c r="H71" i="5"/>
  <c r="J43" i="5"/>
  <c r="K43" i="5"/>
  <c r="J71" i="5" l="1"/>
  <c r="K71" i="5"/>
  <c r="F44" i="5"/>
  <c r="L43" i="5"/>
  <c r="M43" i="5" s="1"/>
  <c r="O43" i="5" s="1"/>
  <c r="F72" i="5" l="1"/>
  <c r="L71" i="5"/>
  <c r="M71" i="5" s="1"/>
  <c r="O71" i="5" s="1"/>
  <c r="G44" i="5"/>
  <c r="G72" i="5" l="1"/>
  <c r="I44" i="5"/>
  <c r="H44" i="5"/>
  <c r="H72" i="5" l="1"/>
  <c r="I72" i="5"/>
  <c r="J44" i="5"/>
  <c r="K44" i="5"/>
  <c r="J72" i="5" l="1"/>
  <c r="K72" i="5"/>
  <c r="F45" i="5"/>
  <c r="L44" i="5"/>
  <c r="M44" i="5" s="1"/>
  <c r="O44" i="5" s="1"/>
  <c r="F73" i="5" l="1"/>
  <c r="L72" i="5"/>
  <c r="M72" i="5" s="1"/>
  <c r="O72" i="5" s="1"/>
  <c r="G45" i="5"/>
  <c r="G73" i="5" l="1"/>
  <c r="H45" i="5"/>
  <c r="I45" i="5"/>
  <c r="I46" i="5" s="1"/>
  <c r="I73" i="5" l="1"/>
  <c r="I74" i="5" s="1"/>
  <c r="H73" i="5"/>
  <c r="J45" i="5"/>
  <c r="J46" i="5" s="1"/>
  <c r="K45" i="5"/>
  <c r="L45" i="5" s="1"/>
  <c r="M45" i="5" l="1"/>
  <c r="O45" i="5" s="1"/>
  <c r="O46" i="5" s="1"/>
  <c r="B105" i="5" s="1"/>
  <c r="B107" i="5" s="1"/>
  <c r="B108" i="5" s="1"/>
  <c r="L46" i="5"/>
  <c r="J73" i="5"/>
  <c r="J74" i="5" s="1"/>
  <c r="K73" i="5"/>
  <c r="L73" i="5" s="1"/>
  <c r="L74" i="5" s="1"/>
  <c r="M46" i="5" l="1"/>
  <c r="B104" i="5" s="1"/>
  <c r="M73" i="5"/>
  <c r="O73" i="5" l="1"/>
  <c r="O74" i="5" s="1"/>
  <c r="M74" i="5"/>
</calcChain>
</file>

<file path=xl/sharedStrings.xml><?xml version="1.0" encoding="utf-8"?>
<sst xmlns="http://schemas.openxmlformats.org/spreadsheetml/2006/main" count="142" uniqueCount="97">
  <si>
    <t xml:space="preserve">MINI-PROJECT: THE TWO-LOAN COMPARISON </t>
  </si>
  <si>
    <t>Bank : Chase Bank</t>
  </si>
  <si>
    <t>Bank : Wells Fargo Bank</t>
  </si>
  <si>
    <t>Term (months)</t>
  </si>
  <si>
    <t>Loans Options</t>
  </si>
  <si>
    <t>Simple annual rate</t>
  </si>
  <si>
    <t>Monthly rate</t>
  </si>
  <si>
    <t>Origination fee (% of loan)</t>
  </si>
  <si>
    <t>Amount financed ($)</t>
  </si>
  <si>
    <t>Monthly Payment</t>
  </si>
  <si>
    <t>Borrower Loan Requirement</t>
  </si>
  <si>
    <t>Cash ($)</t>
  </si>
  <si>
    <t>Borrower needs $5,000 for 2 years, monthly payments. All rates are simple annual rates divided by 12.</t>
  </si>
  <si>
    <t>LOAN A - CHASE BANK: 24-month amortization</t>
  </si>
  <si>
    <t>Period i</t>
  </si>
  <si>
    <t>Beginning balance V(i) ($)</t>
  </si>
  <si>
    <t>Interest r*V(i) ($)</t>
  </si>
  <si>
    <t>Payment C ($)</t>
  </si>
  <si>
    <t>Principal reduction C - r*V(i) ($)</t>
  </si>
  <si>
    <t>Ending balance V(i+1) ($)</t>
  </si>
  <si>
    <t>Total</t>
  </si>
  <si>
    <t>LOAN B - WELLS FARGO BANK: 24-month amortization</t>
  </si>
  <si>
    <t>Note: the fee is financed, so Wells Fargo lends $5,100 of principal while the borrower receives $5,000 in cash.</t>
  </si>
  <si>
    <t>MINI-PROJECT: Early Payoff Analysis (payoff balance vs. PV of remaining payments)</t>
  </si>
  <si>
    <t>DISCOUNT RATE</t>
  </si>
  <si>
    <t>Note: As per Part © both loan are discounted at chase bank rate</t>
  </si>
  <si>
    <t>Chase - payoff balance ($)</t>
  </si>
  <si>
    <t>LOAN A - CHASE BANK</t>
  </si>
  <si>
    <t>Chase - PV of remaining payments ($)</t>
  </si>
  <si>
    <t>Chase - balance less PV ($)</t>
  </si>
  <si>
    <t>Wells Fargo - payoff balance ($)</t>
  </si>
  <si>
    <t>Wells Fargo - PV of remaining payments ($)</t>
  </si>
  <si>
    <t>Wells Fargo - balance less PV ($)</t>
  </si>
  <si>
    <t>LOAN B - WELLS FARGO BANK</t>
  </si>
  <si>
    <t>MINI-PROJECT: The Bank's View: Wells Fargo's portfolio of 1,000 loans</t>
  </si>
  <si>
    <t>Wells Fargo funds the loans at 2%/year, loses 0.5% of the pool per month to default (zero recovery) and 1% of the pool per month to prepayment (paid off in full).</t>
  </si>
  <si>
    <t>Number of loans in the pool</t>
  </si>
  <si>
    <t>Cash advanced per borrower ($)</t>
  </si>
  <si>
    <t>Origination fee (% of loan, financed)</t>
  </si>
  <si>
    <t>Amount financed per loan ($)</t>
  </si>
  <si>
    <t>Monthly payment per loan ($)</t>
  </si>
  <si>
    <t>Wells Fargo cost of funds - annual</t>
  </si>
  <si>
    <t>Wells Fargo cost of funds - monthly</t>
  </si>
  <si>
    <t>Default rate (% of pool per month, zero recovery)</t>
  </si>
  <si>
    <t>Prepayment rate (% of pool per month, paid in full)</t>
  </si>
  <si>
    <t>Monthly survival factor</t>
  </si>
  <si>
    <t>Total cash advanced by the bank ($)</t>
  </si>
  <si>
    <t xml:space="preserve">Simple annual rate contract rate </t>
  </si>
  <si>
    <t xml:space="preserve">Monthly rate contract rate </t>
  </si>
  <si>
    <t>Month t</t>
  </si>
  <si>
    <t>Loans at start</t>
  </si>
  <si>
    <t>Defaults (loans)</t>
  </si>
  <si>
    <t>Prepayments (loans)</t>
  </si>
  <si>
    <t>Loans at end</t>
  </si>
  <si>
    <t>Beginning balance per loan ($)</t>
  </si>
  <si>
    <t>Interest per loan ($)</t>
  </si>
  <si>
    <t>Scheduled principal per loan ($)</t>
  </si>
  <si>
    <t>AGGREGATE interest collected ($)</t>
  </si>
  <si>
    <t>AGGREGATE scheduled principal ($)</t>
  </si>
  <si>
    <t>Ending balance per loan ($)</t>
  </si>
  <si>
    <t>AGGREGATE prepayment principal ($)</t>
  </si>
  <si>
    <t>TOTAL cash to bank ($)</t>
  </si>
  <si>
    <t>Discount factor</t>
  </si>
  <si>
    <t>PV of cash ($)</t>
  </si>
  <si>
    <t>Contract rate (annual)</t>
  </si>
  <si>
    <t>Monthly payment at 0% fee ($)</t>
  </si>
  <si>
    <t>PV at 0% fee ($)</t>
  </si>
  <si>
    <t>Origination fee  \  Contract rate</t>
  </si>
  <si>
    <t>TWO-WAY DATA TABLE 1 - PV of the loan portfolio to Wells Fargo ($)</t>
  </si>
  <si>
    <t>Total cash collected over 24 months ($)</t>
  </si>
  <si>
    <t>PV of the loan portfolio at the 2%/yr cost of funds ($)</t>
  </si>
  <si>
    <t>Less: cash advanced to borrowers ($)</t>
  </si>
  <si>
    <t>NPV to Wells Fargo ($)</t>
  </si>
  <si>
    <t>NPV per $1 advanced</t>
  </si>
  <si>
    <t>BASE-CASE VALUE OF THE PORTFOLIO TO WELLS FARGO</t>
  </si>
  <si>
    <t>Executive summary</t>
  </si>
  <si>
    <t>Recommended loan</t>
  </si>
  <si>
    <t>Metric</t>
  </si>
  <si>
    <t>Chase</t>
  </si>
  <si>
    <t>Wells Fargo</t>
  </si>
  <si>
    <t>Monthly payment ($)</t>
  </si>
  <si>
    <t>Total interest paid ($)</t>
  </si>
  <si>
    <t>Origination fee ($)</t>
  </si>
  <si>
    <t>Interest plus fee ($)</t>
  </si>
  <si>
    <t>Total payments ($)</t>
  </si>
  <si>
    <t>Take the Wells Fargo loan. Despite the $100 origination fee, it is the cheaper loan on every measure that matters: lower monthly payment, lower total cash out, and a materially lower effective APR. The 3-percentage-point rate advantage is worth far more over 24 months than the 2% fee costs.</t>
  </si>
  <si>
    <t>Cash received by the borrower ($)</t>
  </si>
  <si>
    <t>Advantage to Wells Fargo</t>
  </si>
  <si>
    <t>-</t>
  </si>
  <si>
    <t>Effective monthly rate (IRR on cash received)</t>
  </si>
  <si>
    <t>Effective APR - nominal (monthly IRR x 12)</t>
  </si>
  <si>
    <t>Effective APR is the monthly cash-flow rate multiplied by 12, using $5,000 received and 24 monthly payments. It includes the financed origination fee.</t>
  </si>
  <si>
    <t>For Chase the two are identical at every date (column D is $0.00 throughout), because an amortising balance is by construction the PV of its remaining payments discounted at the loan's own rate. Prepaying Chase is therefore a zero-NPV transaction — no payoff date is better than another.</t>
  </si>
  <si>
    <t>The payoff balance and the PV of remaining payments answer two different questions: what the bank demands to close the loan today, versus what the payments you escape are worth at your opportunity cost of 10%.</t>
  </si>
  <si>
    <t>For Wells Fargo the balance exceeds the PV at every date, by $140.19 in month 1 falling to $0.00 by month 24. A 7% payment stream discounted at 10% is worth less than the balance that generated it, and that gap is the value of borrowing below market.</t>
  </si>
  <si>
    <t>Conclusion: do not prepay the Wells Fargo loan from funds that could earn 10%; settling at par destroys the rate advantage. The general rule is to prepay only when your discount rate is below the contract rate.</t>
  </si>
  <si>
    <t>* Taking roundoff of Default and Prepayment to make it practical : Primary model uses expected (fractional) loan counts; the block below rounds to whole loans as a practicality check, and the $1,443 difference in PV confirms rounding is immaterial.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</si>
</sst>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164" formatCode="\$#,##0.00;&quot;($&quot;#,##0.00\);&quot;$0.00&quot;"/>
    <numFmt numFmtId="165" formatCode="&quot;$&quot;#,##0.00"/>
    <numFmt numFmtId="166" formatCode="0.0%"/>
    <numFmt numFmtId="167" formatCode="0.000000"/>
    <numFmt numFmtId="168" formatCode="0.0000%"/>
    <numFmt numFmtId="169" formatCode="\$#,##0;&quot;($&quot;#,##0\);&quot;$0&quot;"/>
    <numFmt numFmtId="170" formatCode="\$#,##0.00;\(\$#,##0.00\);\$0.00"/>
    <numFmt numFmtId="171" formatCode="\$#,##0.00;&quot;($&quot;#,##0.00\);&quot;$0&quot;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rgb="FFFFFFFF"/>
      <name val="Arial"/>
      <charset val="1"/>
    </font>
    <font>
      <sz val="10"/>
      <color rgb="FF000000"/>
      <name val="Arial"/>
      <family val="2"/>
    </font>
    <font>
      <i/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i/>
      <sz val="8"/>
      <color rgb="FFFF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rgb="FF000000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FF0000"/>
      <name val="Arial"/>
      <family val="2"/>
    </font>
    <font>
      <sz val="11"/>
      <name val="Carlito"/>
    </font>
    <font>
      <sz val="10"/>
      <color rgb="FF18283D"/>
      <name val="Arial"/>
      <family val="2"/>
    </font>
    <font>
      <b/>
      <sz val="15"/>
      <color rgb="FF18283D"/>
      <name val="Arial"/>
      <family val="2"/>
    </font>
    <font>
      <b/>
      <sz val="12"/>
      <color rgb="FF18283D"/>
      <name val="Arial"/>
      <family val="2"/>
    </font>
    <font>
      <b/>
      <sz val="10"/>
      <color rgb="FFFFFFFF"/>
      <name val="Arial"/>
      <family val="2"/>
    </font>
    <font>
      <sz val="10"/>
      <color rgb="FF00B050"/>
      <name val="Arial"/>
      <family val="2"/>
    </font>
    <font>
      <sz val="10"/>
      <color theme="1"/>
      <name val="Arial"/>
      <family val="2"/>
    </font>
    <font>
      <b/>
      <i/>
      <sz val="10"/>
      <color theme="9" tint="-0.499984740745262"/>
      <name val="Calibri"/>
      <family val="2"/>
      <scheme val="minor"/>
    </font>
    <font>
      <i/>
      <sz val="9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rgb="FFD9D9D9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203864"/>
      </patternFill>
    </fill>
    <fill>
      <patternFill patternType="solid">
        <fgColor rgb="FFF2F5F9"/>
      </patternFill>
    </fill>
  </fills>
  <borders count="2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19" fillId="0" borderId="0"/>
  </cellStyleXfs>
  <cellXfs count="115">
    <xf numFmtId="0" fontId="0" fillId="0" borderId="0" xfId="0"/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5" fillId="0" borderId="2" xfId="0" applyFont="1" applyBorder="1"/>
    <xf numFmtId="0" fontId="6" fillId="0" borderId="0" xfId="0" applyFont="1"/>
    <xf numFmtId="0" fontId="8" fillId="7" borderId="9" xfId="0" applyFont="1" applyFill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0" fontId="7" fillId="0" borderId="9" xfId="0" applyFont="1" applyBorder="1"/>
    <xf numFmtId="164" fontId="7" fillId="0" borderId="9" xfId="0" applyNumberFormat="1" applyFont="1" applyBorder="1"/>
    <xf numFmtId="0" fontId="6" fillId="8" borderId="0" xfId="0" applyFont="1" applyFill="1"/>
    <xf numFmtId="0" fontId="10" fillId="8" borderId="0" xfId="0" applyFont="1" applyFill="1"/>
    <xf numFmtId="0" fontId="11" fillId="0" borderId="2" xfId="0" applyFont="1" applyBorder="1"/>
    <xf numFmtId="0" fontId="12" fillId="0" borderId="2" xfId="0" applyFont="1" applyBorder="1" applyAlignment="1">
      <alignment horizontal="left" vertical="center"/>
    </xf>
    <xf numFmtId="4" fontId="5" fillId="0" borderId="9" xfId="0" applyNumberFormat="1" applyFont="1" applyBorder="1"/>
    <xf numFmtId="167" fontId="5" fillId="0" borderId="9" xfId="0" applyNumberFormat="1" applyFont="1" applyBorder="1"/>
    <xf numFmtId="4" fontId="7" fillId="0" borderId="9" xfId="0" applyNumberFormat="1" applyFont="1" applyBorder="1"/>
    <xf numFmtId="0" fontId="13" fillId="0" borderId="0" xfId="0" applyFont="1"/>
    <xf numFmtId="0" fontId="14" fillId="7" borderId="2" xfId="0" applyFont="1" applyFill="1" applyBorder="1" applyAlignment="1">
      <alignment horizontal="center" vertical="center" wrapText="1"/>
    </xf>
    <xf numFmtId="10" fontId="14" fillId="7" borderId="2" xfId="0" applyNumberFormat="1" applyFont="1" applyFill="1" applyBorder="1" applyAlignment="1">
      <alignment horizontal="center" vertical="center" wrapText="1"/>
    </xf>
    <xf numFmtId="10" fontId="15" fillId="9" borderId="2" xfId="0" applyNumberFormat="1" applyFont="1" applyFill="1" applyBorder="1"/>
    <xf numFmtId="1" fontId="14" fillId="7" borderId="2" xfId="0" applyNumberFormat="1" applyFont="1" applyFill="1" applyBorder="1" applyAlignment="1">
      <alignment horizontal="center" vertical="center" wrapText="1"/>
    </xf>
    <xf numFmtId="168" fontId="16" fillId="0" borderId="2" xfId="0" applyNumberFormat="1" applyFont="1" applyBorder="1"/>
    <xf numFmtId="164" fontId="16" fillId="0" borderId="2" xfId="0" applyNumberFormat="1" applyFont="1" applyBorder="1"/>
    <xf numFmtId="169" fontId="17" fillId="0" borderId="2" xfId="0" applyNumberFormat="1" applyFont="1" applyBorder="1"/>
    <xf numFmtId="169" fontId="5" fillId="0" borderId="2" xfId="0" applyNumberFormat="1" applyFont="1" applyBorder="1"/>
    <xf numFmtId="0" fontId="7" fillId="0" borderId="2" xfId="0" applyFont="1" applyBorder="1"/>
    <xf numFmtId="169" fontId="7" fillId="0" borderId="2" xfId="0" applyNumberFormat="1" applyFont="1" applyBorder="1"/>
    <xf numFmtId="10" fontId="5" fillId="0" borderId="2" xfId="0" applyNumberFormat="1" applyFont="1" applyBorder="1"/>
    <xf numFmtId="0" fontId="20" fillId="0" borderId="0" xfId="5" applyFont="1" applyAlignment="1">
      <alignment vertical="center"/>
    </xf>
    <xf numFmtId="0" fontId="19" fillId="0" borderId="0" xfId="5"/>
    <xf numFmtId="0" fontId="22" fillId="0" borderId="2" xfId="5" applyFont="1" applyBorder="1" applyAlignment="1">
      <alignment vertical="center"/>
    </xf>
    <xf numFmtId="0" fontId="23" fillId="10" borderId="0" xfId="5" applyFont="1" applyFill="1" applyAlignment="1">
      <alignment horizontal="left" vertical="center" wrapText="1"/>
    </xf>
    <xf numFmtId="0" fontId="20" fillId="11" borderId="0" xfId="5" applyFont="1" applyFill="1" applyAlignment="1">
      <alignment horizontal="left" vertical="center"/>
    </xf>
    <xf numFmtId="170" fontId="20" fillId="11" borderId="0" xfId="5" applyNumberFormat="1" applyFont="1" applyFill="1" applyAlignment="1">
      <alignment horizontal="left" vertical="center"/>
    </xf>
    <xf numFmtId="0" fontId="20" fillId="0" borderId="0" xfId="5" applyFont="1" applyAlignment="1">
      <alignment horizontal="left" vertical="center"/>
    </xf>
    <xf numFmtId="170" fontId="20" fillId="0" borderId="0" xfId="5" applyNumberFormat="1" applyFont="1" applyAlignment="1">
      <alignment horizontal="left" vertical="center"/>
    </xf>
    <xf numFmtId="10" fontId="20" fillId="11" borderId="0" xfId="5" applyNumberFormat="1" applyFont="1" applyFill="1" applyAlignment="1">
      <alignment horizontal="left" vertical="center"/>
    </xf>
    <xf numFmtId="170" fontId="18" fillId="11" borderId="0" xfId="5" applyNumberFormat="1" applyFont="1" applyFill="1" applyAlignment="1">
      <alignment horizontal="left" vertical="center"/>
    </xf>
    <xf numFmtId="170" fontId="24" fillId="11" borderId="0" xfId="5" applyNumberFormat="1" applyFont="1" applyFill="1" applyAlignment="1">
      <alignment horizontal="left" vertical="center"/>
    </xf>
    <xf numFmtId="170" fontId="24" fillId="0" borderId="0" xfId="5" applyNumberFormat="1" applyFont="1" applyAlignment="1">
      <alignment horizontal="left" vertical="center"/>
    </xf>
    <xf numFmtId="0" fontId="6" fillId="0" borderId="0" xfId="5" applyFont="1" applyAlignment="1">
      <alignment vertical="center"/>
    </xf>
    <xf numFmtId="170" fontId="25" fillId="11" borderId="0" xfId="5" applyNumberFormat="1" applyFont="1" applyFill="1" applyAlignment="1">
      <alignment horizontal="left" vertical="center"/>
    </xf>
    <xf numFmtId="170" fontId="18" fillId="0" borderId="0" xfId="5" applyNumberFormat="1" applyFont="1" applyAlignment="1">
      <alignment horizontal="left" vertical="center"/>
    </xf>
    <xf numFmtId="10" fontId="24" fillId="11" borderId="0" xfId="5" applyNumberFormat="1" applyFont="1" applyFill="1" applyAlignment="1">
      <alignment horizontal="left" vertical="center"/>
    </xf>
    <xf numFmtId="10" fontId="20" fillId="0" borderId="0" xfId="5" applyNumberFormat="1" applyFont="1" applyAlignment="1">
      <alignment horizontal="left" vertical="center"/>
    </xf>
    <xf numFmtId="0" fontId="25" fillId="0" borderId="2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/>
    <xf numFmtId="171" fontId="16" fillId="0" borderId="2" xfId="0" applyNumberFormat="1" applyFont="1" applyBorder="1"/>
    <xf numFmtId="171" fontId="18" fillId="0" borderId="2" xfId="0" applyNumberFormat="1" applyFont="1" applyBorder="1"/>
    <xf numFmtId="0" fontId="3" fillId="3" borderId="2" xfId="3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6" fontId="0" fillId="6" borderId="3" xfId="0" applyNumberFormat="1" applyFill="1" applyBorder="1" applyAlignment="1">
      <alignment horizontal="center" vertical="center"/>
    </xf>
    <xf numFmtId="6" fontId="0" fillId="6" borderId="4" xfId="0" applyNumberFormat="1" applyFill="1" applyBorder="1" applyAlignment="1">
      <alignment horizontal="center" vertical="center"/>
    </xf>
    <xf numFmtId="6" fontId="0" fillId="6" borderId="5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3" fillId="3" borderId="10" xfId="3" applyBorder="1" applyAlignment="1">
      <alignment horizontal="center" vertical="center"/>
    </xf>
    <xf numFmtId="0" fontId="3" fillId="3" borderId="0" xfId="3" applyBorder="1" applyAlignment="1">
      <alignment horizontal="center" vertical="center"/>
    </xf>
    <xf numFmtId="165" fontId="2" fillId="2" borderId="1" xfId="2" applyNumberForma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0" fontId="0" fillId="6" borderId="2" xfId="1" applyNumberFormat="1" applyFont="1" applyFill="1" applyBorder="1" applyAlignment="1">
      <alignment horizontal="center" vertical="center"/>
    </xf>
    <xf numFmtId="9" fontId="0" fillId="6" borderId="2" xfId="1" applyFont="1" applyFill="1" applyBorder="1" applyAlignment="1">
      <alignment horizontal="center" vertical="center"/>
    </xf>
    <xf numFmtId="0" fontId="1" fillId="4" borderId="6" xfId="4" applyBorder="1" applyAlignment="1">
      <alignment horizontal="center" vertical="center"/>
    </xf>
    <xf numFmtId="0" fontId="3" fillId="3" borderId="3" xfId="3" applyBorder="1" applyAlignment="1">
      <alignment horizontal="center" vertical="center"/>
    </xf>
    <xf numFmtId="0" fontId="3" fillId="3" borderId="4" xfId="3" applyBorder="1" applyAlignment="1">
      <alignment horizontal="center" vertical="center"/>
    </xf>
    <xf numFmtId="0" fontId="3" fillId="3" borderId="5" xfId="3" applyBorder="1" applyAlignment="1">
      <alignment horizontal="center" vertical="center"/>
    </xf>
    <xf numFmtId="0" fontId="0" fillId="4" borderId="7" xfId="4" applyFont="1" applyBorder="1" applyAlignment="1">
      <alignment horizontal="center" vertical="center"/>
    </xf>
    <xf numFmtId="0" fontId="1" fillId="4" borderId="8" xfId="4" applyBorder="1" applyAlignment="1">
      <alignment horizontal="center" vertical="center"/>
    </xf>
    <xf numFmtId="0" fontId="3" fillId="3" borderId="11" xfId="3" applyBorder="1" applyAlignment="1">
      <alignment horizontal="center" vertical="center"/>
    </xf>
    <xf numFmtId="0" fontId="3" fillId="3" borderId="12" xfId="3" applyBorder="1" applyAlignment="1">
      <alignment horizontal="center" vertical="center"/>
    </xf>
    <xf numFmtId="9" fontId="0" fillId="6" borderId="3" xfId="0" applyNumberFormat="1" applyFill="1" applyBorder="1" applyAlignment="1">
      <alignment horizontal="center" vertical="center"/>
    </xf>
    <xf numFmtId="10" fontId="0" fillId="6" borderId="3" xfId="0" applyNumberFormat="1" applyFill="1" applyBorder="1" applyAlignment="1">
      <alignment horizontal="center" vertical="center"/>
    </xf>
    <xf numFmtId="44" fontId="2" fillId="2" borderId="1" xfId="2" applyNumberFormat="1" applyAlignment="1">
      <alignment horizontal="left" vertical="center"/>
    </xf>
    <xf numFmtId="44" fontId="2" fillId="2" borderId="1" xfId="2" applyNumberFormat="1" applyAlignment="1">
      <alignment horizontal="center" vertical="center"/>
    </xf>
    <xf numFmtId="0" fontId="2" fillId="2" borderId="1" xfId="2" applyAlignment="1">
      <alignment horizontal="center" vertical="center"/>
    </xf>
    <xf numFmtId="166" fontId="0" fillId="6" borderId="3" xfId="1" applyNumberFormat="1" applyFont="1" applyFill="1" applyBorder="1" applyAlignment="1">
      <alignment horizontal="center" vertical="center"/>
    </xf>
    <xf numFmtId="166" fontId="0" fillId="6" borderId="4" xfId="1" applyNumberFormat="1" applyFont="1" applyFill="1" applyBorder="1" applyAlignment="1">
      <alignment horizontal="center" vertical="center"/>
    </xf>
    <xf numFmtId="166" fontId="0" fillId="6" borderId="5" xfId="1" applyNumberFormat="1" applyFont="1" applyFill="1" applyBorder="1" applyAlignment="1">
      <alignment horizontal="center" vertical="center"/>
    </xf>
    <xf numFmtId="9" fontId="0" fillId="6" borderId="4" xfId="0" applyNumberFormat="1" applyFill="1" applyBorder="1" applyAlignment="1">
      <alignment horizontal="center" vertical="center"/>
    </xf>
    <xf numFmtId="9" fontId="0" fillId="6" borderId="5" xfId="0" applyNumberFormat="1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3" fontId="0" fillId="6" borderId="4" xfId="0" applyNumberFormat="1" applyFill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165" fontId="0" fillId="6" borderId="3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9" fontId="0" fillId="6" borderId="3" xfId="1" applyFont="1" applyFill="1" applyBorder="1" applyAlignment="1">
      <alignment horizontal="center" vertical="center"/>
    </xf>
    <xf numFmtId="9" fontId="0" fillId="6" borderId="4" xfId="1" applyFont="1" applyFill="1" applyBorder="1" applyAlignment="1">
      <alignment horizontal="center" vertical="center"/>
    </xf>
    <xf numFmtId="9" fontId="0" fillId="6" borderId="5" xfId="1" applyFont="1" applyFill="1" applyBorder="1" applyAlignment="1">
      <alignment horizontal="center" vertical="center"/>
    </xf>
    <xf numFmtId="10" fontId="2" fillId="2" borderId="3" xfId="2" applyNumberFormat="1" applyBorder="1" applyAlignment="1">
      <alignment horizontal="center" vertical="center"/>
    </xf>
    <xf numFmtId="10" fontId="2" fillId="2" borderId="4" xfId="2" applyNumberFormat="1" applyBorder="1" applyAlignment="1">
      <alignment horizontal="center" vertical="center"/>
    </xf>
    <xf numFmtId="10" fontId="2" fillId="2" borderId="16" xfId="2" applyNumberFormat="1" applyBorder="1" applyAlignment="1">
      <alignment horizontal="center" vertical="center"/>
    </xf>
    <xf numFmtId="165" fontId="2" fillId="2" borderId="3" xfId="2" applyNumberFormat="1" applyBorder="1" applyAlignment="1">
      <alignment horizontal="center" vertical="center"/>
    </xf>
    <xf numFmtId="165" fontId="2" fillId="2" borderId="4" xfId="2" applyNumberFormat="1" applyBorder="1" applyAlignment="1">
      <alignment horizontal="center" vertical="center"/>
    </xf>
    <xf numFmtId="165" fontId="2" fillId="2" borderId="16" xfId="2" applyNumberFormat="1" applyBorder="1" applyAlignment="1">
      <alignment horizontal="center" vertical="center"/>
    </xf>
    <xf numFmtId="0" fontId="7" fillId="7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165" fontId="2" fillId="2" borderId="13" xfId="2" applyNumberFormat="1" applyBorder="1" applyAlignment="1">
      <alignment horizontal="center" vertical="center"/>
    </xf>
    <xf numFmtId="165" fontId="2" fillId="2" borderId="14" xfId="2" applyNumberFormat="1" applyBorder="1" applyAlignment="1">
      <alignment horizontal="center" vertical="center"/>
    </xf>
    <xf numFmtId="165" fontId="2" fillId="2" borderId="15" xfId="2" applyNumberFormat="1" applyBorder="1" applyAlignment="1">
      <alignment horizontal="center" vertical="center"/>
    </xf>
    <xf numFmtId="10" fontId="2" fillId="2" borderId="17" xfId="2" applyNumberFormat="1" applyBorder="1" applyAlignment="1">
      <alignment horizontal="center" vertical="center"/>
    </xf>
    <xf numFmtId="10" fontId="2" fillId="2" borderId="18" xfId="2" applyNumberFormat="1" applyBorder="1" applyAlignment="1">
      <alignment horizontal="center" vertical="center"/>
    </xf>
    <xf numFmtId="10" fontId="2" fillId="2" borderId="19" xfId="2" applyNumberFormat="1" applyBorder="1" applyAlignment="1">
      <alignment horizontal="center" vertical="center"/>
    </xf>
    <xf numFmtId="0" fontId="20" fillId="0" borderId="0" xfId="5" applyFont="1" applyAlignment="1">
      <alignment vertical="center" wrapText="1"/>
    </xf>
    <xf numFmtId="0" fontId="21" fillId="0" borderId="20" xfId="5" applyFont="1" applyBorder="1" applyAlignment="1">
      <alignment horizontal="center" vertical="center"/>
    </xf>
    <xf numFmtId="0" fontId="21" fillId="0" borderId="21" xfId="5" applyFont="1" applyBorder="1" applyAlignment="1">
      <alignment horizontal="center" vertical="center"/>
    </xf>
    <xf numFmtId="0" fontId="21" fillId="0" borderId="22" xfId="5" applyFont="1" applyBorder="1" applyAlignment="1">
      <alignment horizontal="center" vertical="center"/>
    </xf>
    <xf numFmtId="0" fontId="22" fillId="0" borderId="2" xfId="5" applyFont="1" applyBorder="1" applyAlignment="1">
      <alignment horizontal="center" vertical="center"/>
    </xf>
    <xf numFmtId="0" fontId="20" fillId="0" borderId="23" xfId="5" applyFont="1" applyBorder="1" applyAlignment="1">
      <alignment horizontal="center" vertical="center" wrapText="1"/>
    </xf>
    <xf numFmtId="0" fontId="20" fillId="0" borderId="0" xfId="5" applyFont="1" applyAlignment="1">
      <alignment horizontal="center" vertical="center" wrapText="1"/>
    </xf>
  </cellXfs>
  <cellStyles count="6">
    <cellStyle name="20% - Accent1" xfId="4" builtinId="30"/>
    <cellStyle name="Accent1" xfId="3" builtinId="29"/>
    <cellStyle name="Calculation" xfId="2" builtinId="22"/>
    <cellStyle name="Normal" xfId="0" builtinId="0"/>
    <cellStyle name="Normal 2" xfId="5" xr:uid="{B9FCD5ED-D457-4858-8DE0-DD805D20E33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Chase Bank : Interest vs. Principal split of each payment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'Sheet 1 - Amortization &amp; Charts'!$E$18</c:f>
              <c:strCache>
                <c:ptCount val="1"/>
                <c:pt idx="0">
                  <c:v>Principal reduction C - r*V(i)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'Sheet 1 - Amortization &amp; Charts'!$E$19:$E$42</c:f>
              <c:numCache>
                <c:formatCode>\$#,##0.00;"($"#,##0.00\);"$0.00"</c:formatCode>
                <c:ptCount val="24"/>
                <c:pt idx="0">
                  <c:v>189.05796502091681</c:v>
                </c:pt>
                <c:pt idx="1">
                  <c:v>190.63344806275776</c:v>
                </c:pt>
                <c:pt idx="2">
                  <c:v>192.22206012994741</c:v>
                </c:pt>
                <c:pt idx="3">
                  <c:v>193.82391063103032</c:v>
                </c:pt>
                <c:pt idx="4">
                  <c:v>195.43910988628892</c:v>
                </c:pt>
                <c:pt idx="5">
                  <c:v>197.06776913534131</c:v>
                </c:pt>
                <c:pt idx="6">
                  <c:v>198.71000054480248</c:v>
                </c:pt>
                <c:pt idx="7">
                  <c:v>200.36591721600917</c:v>
                </c:pt>
                <c:pt idx="8">
                  <c:v>202.03563319280926</c:v>
                </c:pt>
                <c:pt idx="9">
                  <c:v>203.71926346941598</c:v>
                </c:pt>
                <c:pt idx="10">
                  <c:v>205.4169239983278</c:v>
                </c:pt>
                <c:pt idx="11">
                  <c:v>207.12873169831386</c:v>
                </c:pt>
                <c:pt idx="12">
                  <c:v>208.85480446246646</c:v>
                </c:pt>
                <c:pt idx="13">
                  <c:v>210.59526116632037</c:v>
                </c:pt>
                <c:pt idx="14">
                  <c:v>212.35022167603969</c:v>
                </c:pt>
                <c:pt idx="15">
                  <c:v>214.11980685667336</c:v>
                </c:pt>
                <c:pt idx="16">
                  <c:v>215.90413858047896</c:v>
                </c:pt>
                <c:pt idx="17">
                  <c:v>217.70333973531629</c:v>
                </c:pt>
                <c:pt idx="18">
                  <c:v>219.51753423311061</c:v>
                </c:pt>
                <c:pt idx="19">
                  <c:v>221.34684701838651</c:v>
                </c:pt>
                <c:pt idx="20">
                  <c:v>223.19140407687308</c:v>
                </c:pt>
                <c:pt idx="21">
                  <c:v>225.05133244418036</c:v>
                </c:pt>
                <c:pt idx="22">
                  <c:v>226.92676021454852</c:v>
                </c:pt>
                <c:pt idx="23">
                  <c:v>228.81781654966974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22-4577-9540-2F3BA3859D90}"/>
            </c:ext>
          </c:extLst>
        </c:ser>
        <c:ser>
          <c:idx val="0"/>
          <c:order val="1"/>
          <c:tx>
            <c:strRef>
              <c:f>'Sheet 1 - Amortization &amp; Charts'!$C$18</c:f>
              <c:strCache>
                <c:ptCount val="1"/>
                <c:pt idx="0">
                  <c:v>Interest r*V(i)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'Sheet 1 - Amortization &amp; Charts'!$C$19:$C$42</c:f>
              <c:numCache>
                <c:formatCode>\$#,##0.00;"($"#,##0.00\);"$0.00"</c:formatCode>
                <c:ptCount val="24"/>
                <c:pt idx="0">
                  <c:v>41.666666666666664</c:v>
                </c:pt>
                <c:pt idx="1">
                  <c:v>40.091183624825696</c:v>
                </c:pt>
                <c:pt idx="2">
                  <c:v>38.502571557636053</c:v>
                </c:pt>
                <c:pt idx="3">
                  <c:v>36.900721056553152</c:v>
                </c:pt>
                <c:pt idx="4">
                  <c:v>35.285521801294564</c:v>
                </c:pt>
                <c:pt idx="5">
                  <c:v>33.65686255224216</c:v>
                </c:pt>
                <c:pt idx="6">
                  <c:v>32.014631142780985</c:v>
                </c:pt>
                <c:pt idx="7">
                  <c:v>30.358714471574295</c:v>
                </c:pt>
                <c:pt idx="8">
                  <c:v>28.688998494774221</c:v>
                </c:pt>
                <c:pt idx="9">
                  <c:v>27.005368218167476</c:v>
                </c:pt>
                <c:pt idx="10">
                  <c:v>25.307707689255675</c:v>
                </c:pt>
                <c:pt idx="11">
                  <c:v>23.595899989269608</c:v>
                </c:pt>
                <c:pt idx="12">
                  <c:v>21.869827225116993</c:v>
                </c:pt>
                <c:pt idx="13">
                  <c:v>20.129370521263109</c:v>
                </c:pt>
                <c:pt idx="14">
                  <c:v>18.374410011543773</c:v>
                </c:pt>
                <c:pt idx="15">
                  <c:v>16.604824830910111</c:v>
                </c:pt>
                <c:pt idx="16">
                  <c:v>14.820493107104497</c:v>
                </c:pt>
                <c:pt idx="17">
                  <c:v>13.021291952267173</c:v>
                </c:pt>
                <c:pt idx="18">
                  <c:v>11.207097454472869</c:v>
                </c:pt>
                <c:pt idx="19">
                  <c:v>9.3777846691969486</c:v>
                </c:pt>
                <c:pt idx="20">
                  <c:v>7.5332276107103944</c:v>
                </c:pt>
                <c:pt idx="21">
                  <c:v>5.6732992434031191</c:v>
                </c:pt>
                <c:pt idx="22">
                  <c:v>3.7978714730349488</c:v>
                </c:pt>
                <c:pt idx="23">
                  <c:v>1.9068151379137113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2-4577-9540-2F3BA3859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1863533"/>
        <c:axId val="26808255"/>
      </c:barChart>
      <c:catAx>
        <c:axId val="41863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Payment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08255"/>
        <c:crosses val="autoZero"/>
        <c:auto val="1"/>
        <c:lblAlgn val="ctr"/>
        <c:lblOffset val="100"/>
        <c:noMultiLvlLbl val="0"/>
      </c:catAx>
      <c:valAx>
        <c:axId val="26808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Dollars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&quot;$0.00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8635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Wells Fargo  Bank : Interest vs. Principal split of each payment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'Sheet 1 - Amortization &amp; Charts'!$M$18</c:f>
              <c:strCache>
                <c:ptCount val="1"/>
                <c:pt idx="0">
                  <c:v>Principal reduction C - r*V(i) ($)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val>
            <c:numRef>
              <c:f>'Sheet 1 - Amortization &amp; Charts'!$M$19:$M$42</c:f>
              <c:numCache>
                <c:formatCode>\$#,##0.00;"($"#,##0.00\);"$0.00"</c:formatCode>
                <c:ptCount val="24"/>
                <c:pt idx="0">
                  <c:v>198.59015342604093</c:v>
                </c:pt>
                <c:pt idx="1">
                  <c:v>199.74859598769282</c:v>
                </c:pt>
                <c:pt idx="2">
                  <c:v>200.91379613095438</c:v>
                </c:pt>
                <c:pt idx="3">
                  <c:v>202.0857932750516</c:v>
                </c:pt>
                <c:pt idx="4">
                  <c:v>203.26462706915606</c:v>
                </c:pt>
                <c:pt idx="5">
                  <c:v>204.45033739372616</c:v>
                </c:pt>
                <c:pt idx="6">
                  <c:v>205.64296436185623</c:v>
                </c:pt>
                <c:pt idx="7">
                  <c:v>206.84254832063371</c:v>
                </c:pt>
                <c:pt idx="8">
                  <c:v>208.04912985250408</c:v>
                </c:pt>
                <c:pt idx="9">
                  <c:v>209.26274977664369</c:v>
                </c:pt>
                <c:pt idx="10">
                  <c:v>210.48344915034079</c:v>
                </c:pt>
                <c:pt idx="11">
                  <c:v>211.71126927038443</c:v>
                </c:pt>
                <c:pt idx="12">
                  <c:v>212.94625167446168</c:v>
                </c:pt>
                <c:pt idx="13">
                  <c:v>214.18843814256269</c:v>
                </c:pt>
                <c:pt idx="14">
                  <c:v>215.43787069839431</c:v>
                </c:pt>
                <c:pt idx="15">
                  <c:v>216.69459161080161</c:v>
                </c:pt>
                <c:pt idx="16">
                  <c:v>217.95864339519795</c:v>
                </c:pt>
                <c:pt idx="17">
                  <c:v>219.23006881500328</c:v>
                </c:pt>
                <c:pt idx="18">
                  <c:v>220.50891088309081</c:v>
                </c:pt>
                <c:pt idx="19">
                  <c:v>221.79521286324217</c:v>
                </c:pt>
                <c:pt idx="20">
                  <c:v>223.08901827161108</c:v>
                </c:pt>
                <c:pt idx="21">
                  <c:v>224.39037087819548</c:v>
                </c:pt>
                <c:pt idx="22">
                  <c:v>225.69931470831827</c:v>
                </c:pt>
                <c:pt idx="23">
                  <c:v>227.01589404411681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1-43CD-AFB9-F0D51FA72753}"/>
            </c:ext>
          </c:extLst>
        </c:ser>
        <c:ser>
          <c:idx val="0"/>
          <c:order val="1"/>
          <c:tx>
            <c:strRef>
              <c:f>'Sheet 1 - Amortization &amp; Charts'!$K$18</c:f>
              <c:strCache>
                <c:ptCount val="1"/>
                <c:pt idx="0">
                  <c:v>Interest r*V(i) ($)</c:v>
                </c:pt>
              </c:strCache>
            </c:strRef>
          </c:tx>
          <c:invertIfNegative val="0"/>
          <c:val>
            <c:numRef>
              <c:f>'Sheet 1 - Amortization &amp; Charts'!$K$19:$K$42</c:f>
              <c:numCache>
                <c:formatCode>\$#,##0.00;"($"#,##0.00\);"$0.00"</c:formatCode>
                <c:ptCount val="24"/>
                <c:pt idx="0">
                  <c:v>29.75</c:v>
                </c:pt>
                <c:pt idx="1">
                  <c:v>28.591557438348094</c:v>
                </c:pt>
                <c:pt idx="2">
                  <c:v>27.426357295086554</c:v>
                </c:pt>
                <c:pt idx="3">
                  <c:v>26.254360150989317</c:v>
                </c:pt>
                <c:pt idx="4">
                  <c:v>25.075526356884851</c:v>
                </c:pt>
                <c:pt idx="5">
                  <c:v>23.889816032314773</c:v>
                </c:pt>
                <c:pt idx="6">
                  <c:v>22.697189064184702</c:v>
                </c:pt>
                <c:pt idx="7">
                  <c:v>21.49760510540721</c:v>
                </c:pt>
                <c:pt idx="8">
                  <c:v>20.291023573536844</c:v>
                </c:pt>
                <c:pt idx="9">
                  <c:v>19.077403649397237</c:v>
                </c:pt>
                <c:pt idx="10">
                  <c:v>17.85670427570015</c:v>
                </c:pt>
                <c:pt idx="11">
                  <c:v>16.628884155656497</c:v>
                </c:pt>
                <c:pt idx="12">
                  <c:v>15.393901751579252</c:v>
                </c:pt>
                <c:pt idx="13">
                  <c:v>14.151715283478227</c:v>
                </c:pt>
                <c:pt idx="14">
                  <c:v>12.902282727646611</c:v>
                </c:pt>
                <c:pt idx="15">
                  <c:v>11.645561815239311</c:v>
                </c:pt>
                <c:pt idx="16">
                  <c:v>10.381510030842968</c:v>
                </c:pt>
                <c:pt idx="17">
                  <c:v>9.1100846110376477</c:v>
                </c:pt>
                <c:pt idx="18">
                  <c:v>7.831242542950128</c:v>
                </c:pt>
                <c:pt idx="19">
                  <c:v>6.5449405627987653</c:v>
                </c:pt>
                <c:pt idx="20">
                  <c:v>5.2511351544298535</c:v>
                </c:pt>
                <c:pt idx="21">
                  <c:v>3.9497825478454556</c:v>
                </c:pt>
                <c:pt idx="22">
                  <c:v>2.6408387177226484</c:v>
                </c:pt>
                <c:pt idx="23">
                  <c:v>1.3242593819241251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B1-43CD-AFB9-F0D51FA72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41863533"/>
        <c:axId val="26808255"/>
      </c:barChart>
      <c:catAx>
        <c:axId val="418635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Payment number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08255"/>
        <c:crosses val="autoZero"/>
        <c:auto val="1"/>
        <c:lblAlgn val="ctr"/>
        <c:lblOffset val="100"/>
        <c:noMultiLvlLbl val="0"/>
      </c:catAx>
      <c:valAx>
        <c:axId val="2680825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Dollars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&quot;$0.00&quot;" sourceLinked="1"/>
        <c:majorTickMark val="none"/>
        <c:minorTickMark val="none"/>
        <c:tickLblPos val="nextTo"/>
        <c:crossAx val="418635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Outstanding balance over the life of each loan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1 - Amortization &amp; Charts'!$A$17:$F$17</c:f>
              <c:strCache>
                <c:ptCount val="1"/>
                <c:pt idx="0">
                  <c:v>LOAN A - CHASE BANK: 24-month amortization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Lit>
              <c:formatCode>General</c:formatCode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</c:numLit>
          </c:cat>
          <c:val>
            <c:numRef>
              <c:f>'Sheet 1 - Amortization &amp; Charts'!$B$19:$B$42</c:f>
              <c:numCache>
                <c:formatCode>\$#,##0.00;"($"#,##0.00\);"$0.00"</c:formatCode>
                <c:ptCount val="24"/>
                <c:pt idx="0">
                  <c:v>5000</c:v>
                </c:pt>
                <c:pt idx="1">
                  <c:v>4810.9420349790835</c:v>
                </c:pt>
                <c:pt idx="2">
                  <c:v>4620.308586916326</c:v>
                </c:pt>
                <c:pt idx="3">
                  <c:v>4428.0865267863783</c:v>
                </c:pt>
                <c:pt idx="4">
                  <c:v>4234.262616155348</c:v>
                </c:pt>
                <c:pt idx="5">
                  <c:v>4038.8235062690592</c:v>
                </c:pt>
                <c:pt idx="6">
                  <c:v>3841.755737133718</c:v>
                </c:pt>
                <c:pt idx="7">
                  <c:v>3643.0457365889156</c:v>
                </c:pt>
                <c:pt idx="8">
                  <c:v>3442.6798193729064</c:v>
                </c:pt>
                <c:pt idx="9">
                  <c:v>3240.6441861800972</c:v>
                </c:pt>
                <c:pt idx="10">
                  <c:v>3036.9249227106811</c:v>
                </c:pt>
                <c:pt idx="11">
                  <c:v>2831.5079987123531</c:v>
                </c:pt>
                <c:pt idx="12">
                  <c:v>2624.3792670140392</c:v>
                </c:pt>
                <c:pt idx="13">
                  <c:v>2415.5244625515729</c:v>
                </c:pt>
                <c:pt idx="14">
                  <c:v>2204.9292013852528</c:v>
                </c:pt>
                <c:pt idx="15">
                  <c:v>1992.5789797092132</c:v>
                </c:pt>
                <c:pt idx="16">
                  <c:v>1778.4591728525397</c:v>
                </c:pt>
                <c:pt idx="17">
                  <c:v>1562.5550342720608</c:v>
                </c:pt>
                <c:pt idx="18">
                  <c:v>1344.8516945367444</c:v>
                </c:pt>
                <c:pt idx="19">
                  <c:v>1125.3341603036338</c:v>
                </c:pt>
                <c:pt idx="20">
                  <c:v>903.9873132852473</c:v>
                </c:pt>
                <c:pt idx="21">
                  <c:v>680.79590920837427</c:v>
                </c:pt>
                <c:pt idx="22">
                  <c:v>455.74457676419388</c:v>
                </c:pt>
                <c:pt idx="23">
                  <c:v>228.81781654964536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84-40DD-BEF3-6751174E3F7A}"/>
            </c:ext>
          </c:extLst>
        </c:ser>
        <c:ser>
          <c:idx val="1"/>
          <c:order val="1"/>
          <c:tx>
            <c:strRef>
              <c:f>'Sheet 1 - Amortization &amp; Charts'!$I$17:$N$17</c:f>
              <c:strCache>
                <c:ptCount val="1"/>
                <c:pt idx="0">
                  <c:v>LOAN B - WELLS FARGO BANK: 24-month amortization</c:v>
                </c:pt>
              </c:strCache>
            </c:strRef>
          </c:tx>
          <c:spPr>
            <a:ln>
              <a:solidFill>
                <a:schemeClr val="accent6">
                  <a:lumMod val="50000"/>
                </a:schemeClr>
              </a:solidFill>
            </a:ln>
          </c:spPr>
          <c:marker>
            <c:symbol val="none"/>
          </c:marker>
          <c:cat>
            <c:numLit>
              <c:formatCode>General</c:formatCode>
              <c:ptCount val="2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</c:numLit>
          </c:cat>
          <c:val>
            <c:numRef>
              <c:f>'Sheet 1 - Amortization &amp; Charts'!$J$19:$J$42</c:f>
              <c:numCache>
                <c:formatCode>\$#,##0.00;"($"#,##0.00\);"$0.00"</c:formatCode>
                <c:ptCount val="24"/>
                <c:pt idx="0">
                  <c:v>5100</c:v>
                </c:pt>
                <c:pt idx="1">
                  <c:v>4901.4098465739589</c:v>
                </c:pt>
                <c:pt idx="2">
                  <c:v>4701.6612505862659</c:v>
                </c:pt>
                <c:pt idx="3">
                  <c:v>4500.7474544553115</c:v>
                </c:pt>
                <c:pt idx="4">
                  <c:v>4298.6616611802601</c:v>
                </c:pt>
                <c:pt idx="5">
                  <c:v>4095.3970341111039</c:v>
                </c:pt>
                <c:pt idx="6">
                  <c:v>3890.9466967173776</c:v>
                </c:pt>
                <c:pt idx="7">
                  <c:v>3685.3037323555213</c:v>
                </c:pt>
                <c:pt idx="8">
                  <c:v>3478.4611840348875</c:v>
                </c:pt>
                <c:pt idx="9">
                  <c:v>3270.4120541823836</c:v>
                </c:pt>
                <c:pt idx="10">
                  <c:v>3061.1493044057397</c:v>
                </c:pt>
                <c:pt idx="11">
                  <c:v>2850.665855255399</c:v>
                </c:pt>
                <c:pt idx="12">
                  <c:v>2638.9545859850145</c:v>
                </c:pt>
                <c:pt idx="13">
                  <c:v>2426.008334310553</c:v>
                </c:pt>
                <c:pt idx="14">
                  <c:v>2211.8198961679905</c:v>
                </c:pt>
                <c:pt idx="15">
                  <c:v>1996.3820254695961</c:v>
                </c:pt>
                <c:pt idx="16">
                  <c:v>1779.6874338587945</c:v>
                </c:pt>
                <c:pt idx="17">
                  <c:v>1561.7287904635966</c:v>
                </c:pt>
                <c:pt idx="18">
                  <c:v>1342.4987216485933</c:v>
                </c:pt>
                <c:pt idx="19">
                  <c:v>1121.9898107655026</c:v>
                </c:pt>
                <c:pt idx="20">
                  <c:v>900.19459790226051</c:v>
                </c:pt>
                <c:pt idx="21">
                  <c:v>677.10557963064946</c:v>
                </c:pt>
                <c:pt idx="22">
                  <c:v>452.71520875245398</c:v>
                </c:pt>
                <c:pt idx="23">
                  <c:v>227.01589404413571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84-40DD-BEF3-6751174E3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248948"/>
        <c:axId val="72919947"/>
      </c:lineChart>
      <c:catAx>
        <c:axId val="29248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919947"/>
        <c:crosses val="autoZero"/>
        <c:auto val="1"/>
        <c:lblAlgn val="ctr"/>
        <c:lblOffset val="100"/>
        <c:noMultiLvlLbl val="0"/>
      </c:catAx>
      <c:valAx>
        <c:axId val="72919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Outstanding 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&quot;$0.00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48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Chase: payoff and remaining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2 - Payoff Analysis'!$B$22</c:f>
              <c:strCache>
                <c:ptCount val="1"/>
                <c:pt idx="0">
                  <c:v>Chase - payoff balance ($)</c:v>
                </c:pt>
              </c:strCache>
            </c:strRef>
          </c:tx>
          <c:spPr>
            <a:ln w="19050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numRef>
              <c:f>'Sheet 2 - Payoff Analysis'!$A$23:$A$46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'Sheet 2 - Payoff Analysis'!$B$23:$B$46</c:f>
              <c:numCache>
                <c:formatCode>\$#,##0.00;"($"#,##0.00\);"$0.00"</c:formatCode>
                <c:ptCount val="24"/>
                <c:pt idx="0">
                  <c:v>4810.9420349790835</c:v>
                </c:pt>
                <c:pt idx="1">
                  <c:v>4620.308586916326</c:v>
                </c:pt>
                <c:pt idx="2">
                  <c:v>4428.0865267863783</c:v>
                </c:pt>
                <c:pt idx="3">
                  <c:v>4234.262616155348</c:v>
                </c:pt>
                <c:pt idx="4">
                  <c:v>4038.8235062690592</c:v>
                </c:pt>
                <c:pt idx="5">
                  <c:v>3841.755737133718</c:v>
                </c:pt>
                <c:pt idx="6">
                  <c:v>3643.0457365889156</c:v>
                </c:pt>
                <c:pt idx="7">
                  <c:v>3442.6798193729064</c:v>
                </c:pt>
                <c:pt idx="8">
                  <c:v>3240.6441861800972</c:v>
                </c:pt>
                <c:pt idx="9">
                  <c:v>3036.9249227106811</c:v>
                </c:pt>
                <c:pt idx="10">
                  <c:v>2831.5079987123531</c:v>
                </c:pt>
                <c:pt idx="11">
                  <c:v>2624.3792670140392</c:v>
                </c:pt>
                <c:pt idx="12">
                  <c:v>2415.5244625515729</c:v>
                </c:pt>
                <c:pt idx="13">
                  <c:v>2204.9292013852528</c:v>
                </c:pt>
                <c:pt idx="14">
                  <c:v>1992.5789797092132</c:v>
                </c:pt>
                <c:pt idx="15">
                  <c:v>1778.4591728525397</c:v>
                </c:pt>
                <c:pt idx="16">
                  <c:v>1562.5550342720608</c:v>
                </c:pt>
                <c:pt idx="17">
                  <c:v>1344.8516945367444</c:v>
                </c:pt>
                <c:pt idx="18">
                  <c:v>1125.3341603036338</c:v>
                </c:pt>
                <c:pt idx="19">
                  <c:v>903.9873132852473</c:v>
                </c:pt>
                <c:pt idx="20">
                  <c:v>680.79590920837427</c:v>
                </c:pt>
                <c:pt idx="21">
                  <c:v>455.74457676419388</c:v>
                </c:pt>
                <c:pt idx="22">
                  <c:v>228.81781654964536</c:v>
                </c:pt>
                <c:pt idx="23">
                  <c:v>-2.4385826691286638E-11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D-4A88-90F2-ABCA076AA3F2}"/>
            </c:ext>
          </c:extLst>
        </c:ser>
        <c:ser>
          <c:idx val="1"/>
          <c:order val="1"/>
          <c:tx>
            <c:strRef>
              <c:f>'Sheet 2 - Payoff Analysis'!$C$22</c:f>
              <c:strCache>
                <c:ptCount val="1"/>
                <c:pt idx="0">
                  <c:v>Chase - PV of remaining payments ($)</c:v>
                </c:pt>
              </c:strCache>
            </c:strRef>
          </c:tx>
          <c:spPr>
            <a:ln w="19050">
              <a:solidFill>
                <a:srgbClr val="ED7D31"/>
              </a:solidFill>
              <a:prstDash val="dash"/>
            </a:ln>
          </c:spPr>
          <c:marker>
            <c:symbol val="none"/>
          </c:marker>
          <c:cat>
            <c:numRef>
              <c:f>'Sheet 2 - Payoff Analysis'!$A$23:$A$46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'Sheet 2 - Payoff Analysis'!$C$23:$C$46</c:f>
              <c:numCache>
                <c:formatCode>\$#,##0.00;"($"#,##0.00\);"$0.00"</c:formatCode>
                <c:ptCount val="24"/>
                <c:pt idx="0">
                  <c:v>4810.9420349790835</c:v>
                </c:pt>
                <c:pt idx="1">
                  <c:v>4620.3085869163315</c:v>
                </c:pt>
                <c:pt idx="2">
                  <c:v>4428.0865267863774</c:v>
                </c:pt>
                <c:pt idx="3">
                  <c:v>4234.2626161553499</c:v>
                </c:pt>
                <c:pt idx="4">
                  <c:v>4038.823506269066</c:v>
                </c:pt>
                <c:pt idx="5">
                  <c:v>3841.7557371337243</c:v>
                </c:pt>
                <c:pt idx="6">
                  <c:v>3643.0457365889215</c:v>
                </c:pt>
                <c:pt idx="7">
                  <c:v>3442.6798193729146</c:v>
                </c:pt>
                <c:pt idx="8">
                  <c:v>3240.6441861801036</c:v>
                </c:pt>
                <c:pt idx="9">
                  <c:v>3036.9249227106884</c:v>
                </c:pt>
                <c:pt idx="10">
                  <c:v>2831.5079987123604</c:v>
                </c:pt>
                <c:pt idx="11">
                  <c:v>2624.3792670140533</c:v>
                </c:pt>
                <c:pt idx="12">
                  <c:v>2415.5244625515829</c:v>
                </c:pt>
                <c:pt idx="13">
                  <c:v>2204.9292013852664</c:v>
                </c:pt>
                <c:pt idx="14">
                  <c:v>1992.5789797092257</c:v>
                </c:pt>
                <c:pt idx="15">
                  <c:v>1778.4591728525545</c:v>
                </c:pt>
                <c:pt idx="16">
                  <c:v>1562.5550342720755</c:v>
                </c:pt>
                <c:pt idx="17">
                  <c:v>1344.8516945367614</c:v>
                </c:pt>
                <c:pt idx="18">
                  <c:v>1125.3341603036508</c:v>
                </c:pt>
                <c:pt idx="19">
                  <c:v>903.98731328526571</c:v>
                </c:pt>
                <c:pt idx="20">
                  <c:v>680.79590920839451</c:v>
                </c:pt>
                <c:pt idx="21">
                  <c:v>455.74457676421707</c:v>
                </c:pt>
                <c:pt idx="22">
                  <c:v>228.81781654966881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D-4A88-90F2-ABCA076AA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Payoff month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Value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050">
                <a:latin typeface="Arial"/>
                <a:ea typeface="Arial"/>
                <a:cs typeface="Arial"/>
              </a:rPr>
              <a:t>Wells Fargo: payoff and remaining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2 - Payoff Analysis'!$H$22</c:f>
              <c:strCache>
                <c:ptCount val="1"/>
                <c:pt idx="0">
                  <c:v>Wells Fargo - payoff balance ($)</c:v>
                </c:pt>
              </c:strCache>
            </c:strRef>
          </c:tx>
          <c:marker>
            <c:symbol val="none"/>
          </c:marker>
          <c:cat>
            <c:numRef>
              <c:f>'Sheet 2 - Payoff Analysis'!$G$23:$G$46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'Sheet 2 - Payoff Analysis'!$H$23:$H$46</c:f>
              <c:numCache>
                <c:formatCode>\$#,##0.00;"($"#,##0.00\);"$0.00"</c:formatCode>
                <c:ptCount val="24"/>
                <c:pt idx="0">
                  <c:v>4901.4098465739589</c:v>
                </c:pt>
                <c:pt idx="1">
                  <c:v>4701.6612505862659</c:v>
                </c:pt>
                <c:pt idx="2">
                  <c:v>4500.7474544553115</c:v>
                </c:pt>
                <c:pt idx="3">
                  <c:v>4298.6616611802601</c:v>
                </c:pt>
                <c:pt idx="4">
                  <c:v>4095.3970341111039</c:v>
                </c:pt>
                <c:pt idx="5">
                  <c:v>3890.9466967173776</c:v>
                </c:pt>
                <c:pt idx="6">
                  <c:v>3685.3037323555213</c:v>
                </c:pt>
                <c:pt idx="7">
                  <c:v>3478.4611840348875</c:v>
                </c:pt>
                <c:pt idx="8">
                  <c:v>3270.4120541823836</c:v>
                </c:pt>
                <c:pt idx="9">
                  <c:v>3061.1493044057397</c:v>
                </c:pt>
                <c:pt idx="10">
                  <c:v>2850.665855255399</c:v>
                </c:pt>
                <c:pt idx="11">
                  <c:v>2638.9545859850145</c:v>
                </c:pt>
                <c:pt idx="12">
                  <c:v>2426.008334310553</c:v>
                </c:pt>
                <c:pt idx="13">
                  <c:v>2211.8198961679905</c:v>
                </c:pt>
                <c:pt idx="14">
                  <c:v>1996.3820254695961</c:v>
                </c:pt>
                <c:pt idx="15">
                  <c:v>1779.6874338587945</c:v>
                </c:pt>
                <c:pt idx="16">
                  <c:v>1561.7287904635966</c:v>
                </c:pt>
                <c:pt idx="17">
                  <c:v>1342.4987216485933</c:v>
                </c:pt>
                <c:pt idx="18">
                  <c:v>1121.9898107655026</c:v>
                </c:pt>
                <c:pt idx="19">
                  <c:v>900.19459790226051</c:v>
                </c:pt>
                <c:pt idx="20">
                  <c:v>677.10557963064946</c:v>
                </c:pt>
                <c:pt idx="21">
                  <c:v>452.71520875245398</c:v>
                </c:pt>
                <c:pt idx="22">
                  <c:v>227.01589404413571</c:v>
                </c:pt>
                <c:pt idx="23">
                  <c:v>1.8900436771218665E-11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5-4364-BE6C-3E9422FDB68C}"/>
            </c:ext>
          </c:extLst>
        </c:ser>
        <c:ser>
          <c:idx val="1"/>
          <c:order val="1"/>
          <c:tx>
            <c:strRef>
              <c:f>'Sheet 2 - Payoff Analysis'!$I$22</c:f>
              <c:strCache>
                <c:ptCount val="1"/>
                <c:pt idx="0">
                  <c:v>Wells Fargo - PV of remaining payments ($)</c:v>
                </c:pt>
              </c:strCache>
            </c:strRef>
          </c:tx>
          <c:marker>
            <c:symbol val="none"/>
          </c:marker>
          <c:cat>
            <c:numRef>
              <c:f>'Sheet 2 - Payoff Analysis'!$G$23:$G$46</c:f>
              <c:numCache>
                <c:formatCode>0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'Sheet 2 - Payoff Analysis'!$I$23:$I$46</c:f>
              <c:numCache>
                <c:formatCode>\$#,##0.00;"($"#,##0.00\);"$0.00"</c:formatCode>
                <c:ptCount val="24"/>
                <c:pt idx="0">
                  <c:v>4761.2222169603383</c:v>
                </c:pt>
                <c:pt idx="1">
                  <c:v>4572.5589153423052</c:v>
                </c:pt>
                <c:pt idx="2">
                  <c:v>4382.32341954411</c:v>
                </c:pt>
                <c:pt idx="3">
                  <c:v>4190.502627947606</c:v>
                </c:pt>
                <c:pt idx="4">
                  <c:v>3997.0833297544668</c:v>
                </c:pt>
                <c:pt idx="5">
                  <c:v>3802.0522040763794</c:v>
                </c:pt>
                <c:pt idx="6">
                  <c:v>3605.3958190176409</c:v>
                </c:pt>
                <c:pt idx="7">
                  <c:v>3407.1006307500829</c:v>
                </c:pt>
                <c:pt idx="8">
                  <c:v>3207.1529825802909</c:v>
                </c:pt>
                <c:pt idx="9">
                  <c:v>3005.5391040090863</c:v>
                </c:pt>
                <c:pt idx="10">
                  <c:v>2802.2451097831208</c:v>
                </c:pt>
                <c:pt idx="11">
                  <c:v>2597.2569989386129</c:v>
                </c:pt>
                <c:pt idx="12">
                  <c:v>2390.5606538370562</c:v>
                </c:pt>
                <c:pt idx="13">
                  <c:v>2182.1418391929942</c:v>
                </c:pt>
                <c:pt idx="14">
                  <c:v>1971.9862010935606</c:v>
                </c:pt>
                <c:pt idx="15">
                  <c:v>1760.0792660099683</c:v>
                </c:pt>
                <c:pt idx="16">
                  <c:v>1546.4064398006767</c:v>
                </c:pt>
                <c:pt idx="17">
                  <c:v>1330.9530067063101</c:v>
                </c:pt>
                <c:pt idx="18">
                  <c:v>1113.7041283361552</c:v>
                </c:pt>
                <c:pt idx="19">
                  <c:v>894.64484264624991</c:v>
                </c:pt>
                <c:pt idx="20">
                  <c:v>673.76006290892963</c:v>
                </c:pt>
                <c:pt idx="21">
                  <c:v>451.03457667379905</c:v>
                </c:pt>
                <c:pt idx="22">
                  <c:v>226.45304472003983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5-4364-BE6C-3E9422FDB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Payoff month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Value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57977</xdr:rowOff>
    </xdr:from>
    <xdr:to>
      <xdr:col>6</xdr:col>
      <xdr:colOff>41413</xdr:colOff>
      <xdr:row>65</xdr:row>
      <xdr:rowOff>91108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AC91A8-A0AB-4371-98C9-C517253FC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612900</xdr:colOff>
      <xdr:row>45</xdr:row>
      <xdr:rowOff>66261</xdr:rowOff>
    </xdr:from>
    <xdr:to>
      <xdr:col>14</xdr:col>
      <xdr:colOff>74531</xdr:colOff>
      <xdr:row>65</xdr:row>
      <xdr:rowOff>124239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9A25DF-CBC9-4BAD-AA74-16E3AAA57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66</xdr:row>
      <xdr:rowOff>182217</xdr:rowOff>
    </xdr:from>
    <xdr:to>
      <xdr:col>14</xdr:col>
      <xdr:colOff>99391</xdr:colOff>
      <xdr:row>98</xdr:row>
      <xdr:rowOff>66260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555D42-6AB8-4487-ADCE-489F75186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0</xdr:rowOff>
    </xdr:from>
    <xdr:to>
      <xdr:col>4</xdr:col>
      <xdr:colOff>1187726</xdr:colOff>
      <xdr:row>81</xdr:row>
      <xdr:rowOff>114300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148E2669-D391-4A4B-90F7-49E1E83B4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1648239</xdr:colOff>
      <xdr:row>56</xdr:row>
      <xdr:rowOff>16566</xdr:rowOff>
    </xdr:from>
    <xdr:to>
      <xdr:col>10</xdr:col>
      <xdr:colOff>1005509</xdr:colOff>
      <xdr:row>81</xdr:row>
      <xdr:rowOff>54666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5FA58597-9BCE-402F-AF3A-BA7B51215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B75A-C8BC-4AC1-B213-C2473A62AC9A}">
  <dimension ref="A1:N44"/>
  <sheetViews>
    <sheetView showGridLines="0" zoomScale="115" zoomScaleNormal="115" workbookViewId="0">
      <selection activeCell="A44" sqref="A44"/>
    </sheetView>
  </sheetViews>
  <sheetFormatPr defaultRowHeight="15"/>
  <cols>
    <col min="1" max="1" width="22.42578125" style="1" customWidth="1"/>
    <col min="2" max="2" width="24" style="1" customWidth="1"/>
    <col min="3" max="3" width="19.5703125" style="1" customWidth="1"/>
    <col min="4" max="4" width="18.7109375" style="1" customWidth="1"/>
    <col min="5" max="5" width="30.85546875" style="1" customWidth="1"/>
    <col min="6" max="6" width="27.140625" style="1" customWidth="1"/>
    <col min="7" max="8" width="9.140625" style="1"/>
    <col min="9" max="9" width="13.140625" style="1" customWidth="1"/>
    <col min="10" max="10" width="23.28515625" style="1" customWidth="1"/>
    <col min="11" max="11" width="25.7109375" style="1" customWidth="1"/>
    <col min="12" max="12" width="21" style="1" customWidth="1"/>
    <col min="13" max="13" width="33.5703125" style="1" customWidth="1"/>
    <col min="14" max="14" width="31" style="1" customWidth="1"/>
    <col min="15" max="15" width="9.140625" style="1" customWidth="1"/>
    <col min="16" max="16384" width="9.140625" style="1"/>
  </cols>
  <sheetData>
    <row r="1" spans="1:6" ht="16.5">
      <c r="A1" s="63" t="s">
        <v>0</v>
      </c>
      <c r="B1" s="64"/>
      <c r="C1" s="64"/>
      <c r="D1" s="64"/>
      <c r="E1" s="64"/>
    </row>
    <row r="3" spans="1:6">
      <c r="A3" s="4" t="s">
        <v>12</v>
      </c>
    </row>
    <row r="4" spans="1:6">
      <c r="A4" s="52" t="s">
        <v>10</v>
      </c>
      <c r="B4" s="52"/>
      <c r="C4" s="52"/>
      <c r="D4" s="52"/>
      <c r="E4" s="52"/>
    </row>
    <row r="5" spans="1:6">
      <c r="A5" s="53" t="s">
        <v>11</v>
      </c>
      <c r="B5" s="53"/>
      <c r="C5" s="54">
        <v>5000</v>
      </c>
      <c r="D5" s="55"/>
      <c r="E5" s="56"/>
    </row>
    <row r="6" spans="1:6">
      <c r="A6" s="53" t="s">
        <v>3</v>
      </c>
      <c r="B6" s="53"/>
      <c r="C6" s="57">
        <v>24</v>
      </c>
      <c r="D6" s="58"/>
      <c r="E6" s="59"/>
    </row>
    <row r="7" spans="1:6">
      <c r="A7" s="47"/>
    </row>
    <row r="8" spans="1:6">
      <c r="A8" s="47"/>
      <c r="B8" s="68" t="s">
        <v>4</v>
      </c>
      <c r="C8" s="69"/>
      <c r="D8" s="69"/>
      <c r="E8" s="70"/>
    </row>
    <row r="9" spans="1:6">
      <c r="A9" s="47"/>
      <c r="B9" s="67" t="s">
        <v>1</v>
      </c>
      <c r="C9" s="67"/>
      <c r="D9" s="71" t="s">
        <v>2</v>
      </c>
      <c r="E9" s="72"/>
    </row>
    <row r="10" spans="1:6">
      <c r="A10" s="46" t="s">
        <v>5</v>
      </c>
      <c r="B10" s="66">
        <v>0.1</v>
      </c>
      <c r="C10" s="66"/>
      <c r="D10" s="66">
        <v>7.0000000000000007E-2</v>
      </c>
      <c r="E10" s="66"/>
    </row>
    <row r="11" spans="1:6">
      <c r="A11" s="46" t="s">
        <v>6</v>
      </c>
      <c r="B11" s="65">
        <f>B10/12</f>
        <v>8.3333333333333332E-3</v>
      </c>
      <c r="C11" s="65"/>
      <c r="D11" s="65">
        <f>D10/12</f>
        <v>5.8333333333333336E-3</v>
      </c>
      <c r="E11" s="65"/>
    </row>
    <row r="12" spans="1:6">
      <c r="A12" s="3" t="s">
        <v>7</v>
      </c>
      <c r="B12" s="66">
        <v>0</v>
      </c>
      <c r="C12" s="66"/>
      <c r="D12" s="66">
        <v>0.02</v>
      </c>
      <c r="E12" s="66"/>
    </row>
    <row r="13" spans="1:6">
      <c r="A13" s="46" t="s">
        <v>8</v>
      </c>
      <c r="B13" s="62">
        <f>$C$5*(1+$B$12)</f>
        <v>5000</v>
      </c>
      <c r="C13" s="62"/>
      <c r="D13" s="62">
        <f>$C$5*(1+$D$12)</f>
        <v>5100</v>
      </c>
      <c r="E13" s="62"/>
      <c r="F13" s="10" t="s">
        <v>22</v>
      </c>
    </row>
    <row r="14" spans="1:6">
      <c r="A14" s="46" t="s">
        <v>9</v>
      </c>
      <c r="B14" s="62">
        <f>$B$13*$B$11/(1-(1/(1+$B$11)^$C$6))</f>
        <v>230.72463168758347</v>
      </c>
      <c r="C14" s="62"/>
      <c r="D14" s="62">
        <f>$D$13*$D$11/(1-(1/(1+$D$11)^$C$6))</f>
        <v>228.34015342604093</v>
      </c>
      <c r="E14" s="62"/>
    </row>
    <row r="17" spans="1:14">
      <c r="A17" s="60" t="s">
        <v>13</v>
      </c>
      <c r="B17" s="61"/>
      <c r="C17" s="61"/>
      <c r="D17" s="61"/>
      <c r="E17" s="61"/>
      <c r="F17" s="61"/>
      <c r="I17" s="60" t="s">
        <v>21</v>
      </c>
      <c r="J17" s="61"/>
      <c r="K17" s="61"/>
      <c r="L17" s="61"/>
      <c r="M17" s="61"/>
      <c r="N17" s="61"/>
    </row>
    <row r="18" spans="1:14" ht="15" customHeight="1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18</v>
      </c>
      <c r="F18" s="5" t="s">
        <v>19</v>
      </c>
      <c r="I18" s="5" t="s">
        <v>14</v>
      </c>
      <c r="J18" s="5" t="s">
        <v>15</v>
      </c>
      <c r="K18" s="5" t="s">
        <v>16</v>
      </c>
      <c r="L18" s="5" t="s">
        <v>17</v>
      </c>
      <c r="M18" s="5" t="s">
        <v>18</v>
      </c>
      <c r="N18" s="5" t="s">
        <v>19</v>
      </c>
    </row>
    <row r="19" spans="1:14">
      <c r="A19" s="6">
        <v>1</v>
      </c>
      <c r="B19" s="7">
        <f>$B13</f>
        <v>5000</v>
      </c>
      <c r="C19" s="7">
        <f>$B19*$B$11</f>
        <v>41.666666666666664</v>
      </c>
      <c r="D19" s="7">
        <f>$B$14</f>
        <v>230.72463168758347</v>
      </c>
      <c r="E19" s="7">
        <f>$D19-$C19</f>
        <v>189.05796502091681</v>
      </c>
      <c r="F19" s="7">
        <f>$B19-$E19</f>
        <v>4810.9420349790835</v>
      </c>
      <c r="I19" s="6">
        <v>1</v>
      </c>
      <c r="J19" s="7">
        <f>$D$13</f>
        <v>5100</v>
      </c>
      <c r="K19" s="7">
        <f>$J19*$D$11</f>
        <v>29.75</v>
      </c>
      <c r="L19" s="7">
        <f>$D$14</f>
        <v>228.34015342604093</v>
      </c>
      <c r="M19" s="7">
        <f>$L19-$K19</f>
        <v>198.59015342604093</v>
      </c>
      <c r="N19" s="7">
        <f>$J19-$M19</f>
        <v>4901.4098465739589</v>
      </c>
    </row>
    <row r="20" spans="1:14">
      <c r="A20" s="6">
        <v>2</v>
      </c>
      <c r="B20" s="7">
        <f>F19</f>
        <v>4810.9420349790835</v>
      </c>
      <c r="C20" s="7">
        <f>$B20*$B$11</f>
        <v>40.091183624825696</v>
      </c>
      <c r="D20" s="7">
        <f>$B$14</f>
        <v>230.72463168758347</v>
      </c>
      <c r="E20" s="7">
        <f>$D20-$C20</f>
        <v>190.63344806275776</v>
      </c>
      <c r="F20" s="7">
        <f>$B20-$E20</f>
        <v>4620.308586916326</v>
      </c>
      <c r="I20" s="6">
        <v>2</v>
      </c>
      <c r="J20" s="7">
        <f>N19</f>
        <v>4901.4098465739589</v>
      </c>
      <c r="K20" s="7">
        <f t="shared" ref="K20:K42" si="0">$J20*$D$11</f>
        <v>28.591557438348094</v>
      </c>
      <c r="L20" s="7">
        <f t="shared" ref="L20:L42" si="1">$D$14</f>
        <v>228.34015342604093</v>
      </c>
      <c r="M20" s="7">
        <f t="shared" ref="M20:M42" si="2">$L20-$K20</f>
        <v>199.74859598769282</v>
      </c>
      <c r="N20" s="7">
        <f t="shared" ref="N20:N42" si="3">$J20-$M20</f>
        <v>4701.6612505862659</v>
      </c>
    </row>
    <row r="21" spans="1:14">
      <c r="A21" s="6">
        <v>3</v>
      </c>
      <c r="B21" s="7">
        <f t="shared" ref="B21:B42" si="4">F20</f>
        <v>4620.308586916326</v>
      </c>
      <c r="C21" s="7">
        <f t="shared" ref="C21:C42" si="5">$B21*$B$11</f>
        <v>38.502571557636053</v>
      </c>
      <c r="D21" s="7">
        <f t="shared" ref="D21:D42" si="6">$B$14</f>
        <v>230.72463168758347</v>
      </c>
      <c r="E21" s="7">
        <f t="shared" ref="E21:E42" si="7">$D21-$C21</f>
        <v>192.22206012994741</v>
      </c>
      <c r="F21" s="7">
        <f t="shared" ref="F21:F42" si="8">$B21-$E21</f>
        <v>4428.0865267863783</v>
      </c>
      <c r="I21" s="6">
        <v>3</v>
      </c>
      <c r="J21" s="7">
        <f t="shared" ref="J21:J42" si="9">N20</f>
        <v>4701.6612505862659</v>
      </c>
      <c r="K21" s="7">
        <f t="shared" si="0"/>
        <v>27.426357295086554</v>
      </c>
      <c r="L21" s="7">
        <f t="shared" si="1"/>
        <v>228.34015342604093</v>
      </c>
      <c r="M21" s="7">
        <f t="shared" si="2"/>
        <v>200.91379613095438</v>
      </c>
      <c r="N21" s="7">
        <f t="shared" si="3"/>
        <v>4500.7474544553115</v>
      </c>
    </row>
    <row r="22" spans="1:14">
      <c r="A22" s="6">
        <v>4</v>
      </c>
      <c r="B22" s="7">
        <f t="shared" si="4"/>
        <v>4428.0865267863783</v>
      </c>
      <c r="C22" s="7">
        <f t="shared" si="5"/>
        <v>36.900721056553152</v>
      </c>
      <c r="D22" s="7">
        <f t="shared" si="6"/>
        <v>230.72463168758347</v>
      </c>
      <c r="E22" s="7">
        <f t="shared" si="7"/>
        <v>193.82391063103032</v>
      </c>
      <c r="F22" s="7">
        <f t="shared" si="8"/>
        <v>4234.262616155348</v>
      </c>
      <c r="I22" s="6">
        <v>4</v>
      </c>
      <c r="J22" s="7">
        <f t="shared" si="9"/>
        <v>4500.7474544553115</v>
      </c>
      <c r="K22" s="7">
        <f t="shared" si="0"/>
        <v>26.254360150989317</v>
      </c>
      <c r="L22" s="7">
        <f t="shared" si="1"/>
        <v>228.34015342604093</v>
      </c>
      <c r="M22" s="7">
        <f t="shared" si="2"/>
        <v>202.0857932750516</v>
      </c>
      <c r="N22" s="7">
        <f t="shared" si="3"/>
        <v>4298.6616611802601</v>
      </c>
    </row>
    <row r="23" spans="1:14">
      <c r="A23" s="6">
        <v>5</v>
      </c>
      <c r="B23" s="7">
        <f t="shared" si="4"/>
        <v>4234.262616155348</v>
      </c>
      <c r="C23" s="7">
        <f t="shared" si="5"/>
        <v>35.285521801294564</v>
      </c>
      <c r="D23" s="7">
        <f t="shared" si="6"/>
        <v>230.72463168758347</v>
      </c>
      <c r="E23" s="7">
        <f t="shared" si="7"/>
        <v>195.43910988628892</v>
      </c>
      <c r="F23" s="7">
        <f t="shared" si="8"/>
        <v>4038.8235062690592</v>
      </c>
      <c r="I23" s="6">
        <v>5</v>
      </c>
      <c r="J23" s="7">
        <f t="shared" si="9"/>
        <v>4298.6616611802601</v>
      </c>
      <c r="K23" s="7">
        <f t="shared" si="0"/>
        <v>25.075526356884851</v>
      </c>
      <c r="L23" s="7">
        <f t="shared" si="1"/>
        <v>228.34015342604093</v>
      </c>
      <c r="M23" s="7">
        <f t="shared" si="2"/>
        <v>203.26462706915606</v>
      </c>
      <c r="N23" s="7">
        <f t="shared" si="3"/>
        <v>4095.3970341111039</v>
      </c>
    </row>
    <row r="24" spans="1:14">
      <c r="A24" s="6">
        <v>6</v>
      </c>
      <c r="B24" s="7">
        <f t="shared" si="4"/>
        <v>4038.8235062690592</v>
      </c>
      <c r="C24" s="7">
        <f t="shared" si="5"/>
        <v>33.65686255224216</v>
      </c>
      <c r="D24" s="7">
        <f t="shared" si="6"/>
        <v>230.72463168758347</v>
      </c>
      <c r="E24" s="7">
        <f t="shared" si="7"/>
        <v>197.06776913534131</v>
      </c>
      <c r="F24" s="7">
        <f t="shared" si="8"/>
        <v>3841.755737133718</v>
      </c>
      <c r="I24" s="6">
        <v>6</v>
      </c>
      <c r="J24" s="7">
        <f t="shared" si="9"/>
        <v>4095.3970341111039</v>
      </c>
      <c r="K24" s="7">
        <f t="shared" si="0"/>
        <v>23.889816032314773</v>
      </c>
      <c r="L24" s="7">
        <f t="shared" si="1"/>
        <v>228.34015342604093</v>
      </c>
      <c r="M24" s="7">
        <f t="shared" si="2"/>
        <v>204.45033739372616</v>
      </c>
      <c r="N24" s="7">
        <f t="shared" si="3"/>
        <v>3890.9466967173776</v>
      </c>
    </row>
    <row r="25" spans="1:14">
      <c r="A25" s="6">
        <v>7</v>
      </c>
      <c r="B25" s="7">
        <f t="shared" si="4"/>
        <v>3841.755737133718</v>
      </c>
      <c r="C25" s="7">
        <f t="shared" si="5"/>
        <v>32.014631142780985</v>
      </c>
      <c r="D25" s="7">
        <f t="shared" si="6"/>
        <v>230.72463168758347</v>
      </c>
      <c r="E25" s="7">
        <f t="shared" si="7"/>
        <v>198.71000054480248</v>
      </c>
      <c r="F25" s="7">
        <f t="shared" si="8"/>
        <v>3643.0457365889156</v>
      </c>
      <c r="I25" s="6">
        <v>7</v>
      </c>
      <c r="J25" s="7">
        <f t="shared" si="9"/>
        <v>3890.9466967173776</v>
      </c>
      <c r="K25" s="7">
        <f t="shared" si="0"/>
        <v>22.697189064184702</v>
      </c>
      <c r="L25" s="7">
        <f t="shared" si="1"/>
        <v>228.34015342604093</v>
      </c>
      <c r="M25" s="7">
        <f t="shared" si="2"/>
        <v>205.64296436185623</v>
      </c>
      <c r="N25" s="7">
        <f t="shared" si="3"/>
        <v>3685.3037323555213</v>
      </c>
    </row>
    <row r="26" spans="1:14">
      <c r="A26" s="6">
        <v>8</v>
      </c>
      <c r="B26" s="7">
        <f t="shared" si="4"/>
        <v>3643.0457365889156</v>
      </c>
      <c r="C26" s="7">
        <f t="shared" si="5"/>
        <v>30.358714471574295</v>
      </c>
      <c r="D26" s="7">
        <f t="shared" si="6"/>
        <v>230.72463168758347</v>
      </c>
      <c r="E26" s="7">
        <f t="shared" si="7"/>
        <v>200.36591721600917</v>
      </c>
      <c r="F26" s="7">
        <f t="shared" si="8"/>
        <v>3442.6798193729064</v>
      </c>
      <c r="I26" s="6">
        <v>8</v>
      </c>
      <c r="J26" s="7">
        <f t="shared" si="9"/>
        <v>3685.3037323555213</v>
      </c>
      <c r="K26" s="7">
        <f t="shared" si="0"/>
        <v>21.49760510540721</v>
      </c>
      <c r="L26" s="7">
        <f t="shared" si="1"/>
        <v>228.34015342604093</v>
      </c>
      <c r="M26" s="7">
        <f t="shared" si="2"/>
        <v>206.84254832063371</v>
      </c>
      <c r="N26" s="7">
        <f t="shared" si="3"/>
        <v>3478.4611840348875</v>
      </c>
    </row>
    <row r="27" spans="1:14">
      <c r="A27" s="6">
        <v>9</v>
      </c>
      <c r="B27" s="7">
        <f t="shared" si="4"/>
        <v>3442.6798193729064</v>
      </c>
      <c r="C27" s="7">
        <f t="shared" si="5"/>
        <v>28.688998494774221</v>
      </c>
      <c r="D27" s="7">
        <f t="shared" si="6"/>
        <v>230.72463168758347</v>
      </c>
      <c r="E27" s="7">
        <f t="shared" si="7"/>
        <v>202.03563319280926</v>
      </c>
      <c r="F27" s="7">
        <f t="shared" si="8"/>
        <v>3240.6441861800972</v>
      </c>
      <c r="I27" s="6">
        <v>9</v>
      </c>
      <c r="J27" s="7">
        <f t="shared" si="9"/>
        <v>3478.4611840348875</v>
      </c>
      <c r="K27" s="7">
        <f t="shared" si="0"/>
        <v>20.291023573536844</v>
      </c>
      <c r="L27" s="7">
        <f t="shared" si="1"/>
        <v>228.34015342604093</v>
      </c>
      <c r="M27" s="7">
        <f t="shared" si="2"/>
        <v>208.04912985250408</v>
      </c>
      <c r="N27" s="7">
        <f t="shared" si="3"/>
        <v>3270.4120541823836</v>
      </c>
    </row>
    <row r="28" spans="1:14">
      <c r="A28" s="6">
        <v>10</v>
      </c>
      <c r="B28" s="7">
        <f t="shared" si="4"/>
        <v>3240.6441861800972</v>
      </c>
      <c r="C28" s="7">
        <f t="shared" si="5"/>
        <v>27.005368218167476</v>
      </c>
      <c r="D28" s="7">
        <f t="shared" si="6"/>
        <v>230.72463168758347</v>
      </c>
      <c r="E28" s="7">
        <f t="shared" si="7"/>
        <v>203.71926346941598</v>
      </c>
      <c r="F28" s="7">
        <f t="shared" si="8"/>
        <v>3036.9249227106811</v>
      </c>
      <c r="I28" s="6">
        <v>10</v>
      </c>
      <c r="J28" s="7">
        <f t="shared" si="9"/>
        <v>3270.4120541823836</v>
      </c>
      <c r="K28" s="7">
        <f t="shared" si="0"/>
        <v>19.077403649397237</v>
      </c>
      <c r="L28" s="7">
        <f t="shared" si="1"/>
        <v>228.34015342604093</v>
      </c>
      <c r="M28" s="7">
        <f t="shared" si="2"/>
        <v>209.26274977664369</v>
      </c>
      <c r="N28" s="7">
        <f t="shared" si="3"/>
        <v>3061.1493044057397</v>
      </c>
    </row>
    <row r="29" spans="1:14">
      <c r="A29" s="6">
        <v>11</v>
      </c>
      <c r="B29" s="7">
        <f t="shared" si="4"/>
        <v>3036.9249227106811</v>
      </c>
      <c r="C29" s="7">
        <f t="shared" si="5"/>
        <v>25.307707689255675</v>
      </c>
      <c r="D29" s="7">
        <f t="shared" si="6"/>
        <v>230.72463168758347</v>
      </c>
      <c r="E29" s="7">
        <f t="shared" si="7"/>
        <v>205.4169239983278</v>
      </c>
      <c r="F29" s="7">
        <f t="shared" si="8"/>
        <v>2831.5079987123531</v>
      </c>
      <c r="I29" s="6">
        <v>11</v>
      </c>
      <c r="J29" s="7">
        <f t="shared" si="9"/>
        <v>3061.1493044057397</v>
      </c>
      <c r="K29" s="7">
        <f t="shared" si="0"/>
        <v>17.85670427570015</v>
      </c>
      <c r="L29" s="7">
        <f t="shared" si="1"/>
        <v>228.34015342604093</v>
      </c>
      <c r="M29" s="7">
        <f t="shared" si="2"/>
        <v>210.48344915034079</v>
      </c>
      <c r="N29" s="7">
        <f t="shared" si="3"/>
        <v>2850.665855255399</v>
      </c>
    </row>
    <row r="30" spans="1:14">
      <c r="A30" s="6">
        <v>12</v>
      </c>
      <c r="B30" s="7">
        <f t="shared" si="4"/>
        <v>2831.5079987123531</v>
      </c>
      <c r="C30" s="7">
        <f t="shared" si="5"/>
        <v>23.595899989269608</v>
      </c>
      <c r="D30" s="7">
        <f t="shared" si="6"/>
        <v>230.72463168758347</v>
      </c>
      <c r="E30" s="7">
        <f t="shared" si="7"/>
        <v>207.12873169831386</v>
      </c>
      <c r="F30" s="7">
        <f t="shared" si="8"/>
        <v>2624.3792670140392</v>
      </c>
      <c r="I30" s="6">
        <v>12</v>
      </c>
      <c r="J30" s="7">
        <f t="shared" si="9"/>
        <v>2850.665855255399</v>
      </c>
      <c r="K30" s="7">
        <f t="shared" si="0"/>
        <v>16.628884155656497</v>
      </c>
      <c r="L30" s="7">
        <f t="shared" si="1"/>
        <v>228.34015342604093</v>
      </c>
      <c r="M30" s="7">
        <f t="shared" si="2"/>
        <v>211.71126927038443</v>
      </c>
      <c r="N30" s="7">
        <f t="shared" si="3"/>
        <v>2638.9545859850145</v>
      </c>
    </row>
    <row r="31" spans="1:14">
      <c r="A31" s="6">
        <v>13</v>
      </c>
      <c r="B31" s="7">
        <f t="shared" si="4"/>
        <v>2624.3792670140392</v>
      </c>
      <c r="C31" s="7">
        <f t="shared" si="5"/>
        <v>21.869827225116993</v>
      </c>
      <c r="D31" s="7">
        <f t="shared" si="6"/>
        <v>230.72463168758347</v>
      </c>
      <c r="E31" s="7">
        <f t="shared" si="7"/>
        <v>208.85480446246646</v>
      </c>
      <c r="F31" s="7">
        <f t="shared" si="8"/>
        <v>2415.5244625515729</v>
      </c>
      <c r="I31" s="6">
        <v>13</v>
      </c>
      <c r="J31" s="7">
        <f t="shared" si="9"/>
        <v>2638.9545859850145</v>
      </c>
      <c r="K31" s="7">
        <f t="shared" si="0"/>
        <v>15.393901751579252</v>
      </c>
      <c r="L31" s="7">
        <f t="shared" si="1"/>
        <v>228.34015342604093</v>
      </c>
      <c r="M31" s="7">
        <f t="shared" si="2"/>
        <v>212.94625167446168</v>
      </c>
      <c r="N31" s="7">
        <f t="shared" si="3"/>
        <v>2426.008334310553</v>
      </c>
    </row>
    <row r="32" spans="1:14">
      <c r="A32" s="6">
        <v>14</v>
      </c>
      <c r="B32" s="7">
        <f t="shared" si="4"/>
        <v>2415.5244625515729</v>
      </c>
      <c r="C32" s="7">
        <f t="shared" si="5"/>
        <v>20.129370521263109</v>
      </c>
      <c r="D32" s="7">
        <f t="shared" si="6"/>
        <v>230.72463168758347</v>
      </c>
      <c r="E32" s="7">
        <f t="shared" si="7"/>
        <v>210.59526116632037</v>
      </c>
      <c r="F32" s="7">
        <f t="shared" si="8"/>
        <v>2204.9292013852528</v>
      </c>
      <c r="I32" s="6">
        <v>14</v>
      </c>
      <c r="J32" s="7">
        <f t="shared" si="9"/>
        <v>2426.008334310553</v>
      </c>
      <c r="K32" s="7">
        <f t="shared" si="0"/>
        <v>14.151715283478227</v>
      </c>
      <c r="L32" s="7">
        <f t="shared" si="1"/>
        <v>228.34015342604093</v>
      </c>
      <c r="M32" s="7">
        <f t="shared" si="2"/>
        <v>214.18843814256269</v>
      </c>
      <c r="N32" s="7">
        <f t="shared" si="3"/>
        <v>2211.8198961679905</v>
      </c>
    </row>
    <row r="33" spans="1:14">
      <c r="A33" s="6">
        <v>15</v>
      </c>
      <c r="B33" s="7">
        <f t="shared" si="4"/>
        <v>2204.9292013852528</v>
      </c>
      <c r="C33" s="7">
        <f t="shared" si="5"/>
        <v>18.374410011543773</v>
      </c>
      <c r="D33" s="7">
        <f t="shared" si="6"/>
        <v>230.72463168758347</v>
      </c>
      <c r="E33" s="7">
        <f t="shared" si="7"/>
        <v>212.35022167603969</v>
      </c>
      <c r="F33" s="7">
        <f t="shared" si="8"/>
        <v>1992.5789797092132</v>
      </c>
      <c r="I33" s="6">
        <v>15</v>
      </c>
      <c r="J33" s="7">
        <f t="shared" si="9"/>
        <v>2211.8198961679905</v>
      </c>
      <c r="K33" s="7">
        <f t="shared" si="0"/>
        <v>12.902282727646611</v>
      </c>
      <c r="L33" s="7">
        <f t="shared" si="1"/>
        <v>228.34015342604093</v>
      </c>
      <c r="M33" s="7">
        <f t="shared" si="2"/>
        <v>215.43787069839431</v>
      </c>
      <c r="N33" s="7">
        <f t="shared" si="3"/>
        <v>1996.3820254695961</v>
      </c>
    </row>
    <row r="34" spans="1:14">
      <c r="A34" s="6">
        <v>16</v>
      </c>
      <c r="B34" s="7">
        <f t="shared" si="4"/>
        <v>1992.5789797092132</v>
      </c>
      <c r="C34" s="7">
        <f t="shared" si="5"/>
        <v>16.604824830910111</v>
      </c>
      <c r="D34" s="7">
        <f t="shared" si="6"/>
        <v>230.72463168758347</v>
      </c>
      <c r="E34" s="7">
        <f t="shared" si="7"/>
        <v>214.11980685667336</v>
      </c>
      <c r="F34" s="7">
        <f t="shared" si="8"/>
        <v>1778.4591728525397</v>
      </c>
      <c r="I34" s="6">
        <v>16</v>
      </c>
      <c r="J34" s="7">
        <f t="shared" si="9"/>
        <v>1996.3820254695961</v>
      </c>
      <c r="K34" s="7">
        <f t="shared" si="0"/>
        <v>11.645561815239311</v>
      </c>
      <c r="L34" s="7">
        <f t="shared" si="1"/>
        <v>228.34015342604093</v>
      </c>
      <c r="M34" s="7">
        <f t="shared" si="2"/>
        <v>216.69459161080161</v>
      </c>
      <c r="N34" s="7">
        <f t="shared" si="3"/>
        <v>1779.6874338587945</v>
      </c>
    </row>
    <row r="35" spans="1:14">
      <c r="A35" s="6">
        <v>17</v>
      </c>
      <c r="B35" s="7">
        <f t="shared" si="4"/>
        <v>1778.4591728525397</v>
      </c>
      <c r="C35" s="7">
        <f t="shared" si="5"/>
        <v>14.820493107104497</v>
      </c>
      <c r="D35" s="7">
        <f t="shared" si="6"/>
        <v>230.72463168758347</v>
      </c>
      <c r="E35" s="7">
        <f t="shared" si="7"/>
        <v>215.90413858047896</v>
      </c>
      <c r="F35" s="7">
        <f t="shared" si="8"/>
        <v>1562.5550342720608</v>
      </c>
      <c r="I35" s="6">
        <v>17</v>
      </c>
      <c r="J35" s="7">
        <f t="shared" si="9"/>
        <v>1779.6874338587945</v>
      </c>
      <c r="K35" s="7">
        <f t="shared" si="0"/>
        <v>10.381510030842968</v>
      </c>
      <c r="L35" s="7">
        <f t="shared" si="1"/>
        <v>228.34015342604093</v>
      </c>
      <c r="M35" s="7">
        <f t="shared" si="2"/>
        <v>217.95864339519795</v>
      </c>
      <c r="N35" s="7">
        <f t="shared" si="3"/>
        <v>1561.7287904635966</v>
      </c>
    </row>
    <row r="36" spans="1:14">
      <c r="A36" s="6">
        <v>18</v>
      </c>
      <c r="B36" s="7">
        <f t="shared" si="4"/>
        <v>1562.5550342720608</v>
      </c>
      <c r="C36" s="7">
        <f t="shared" si="5"/>
        <v>13.021291952267173</v>
      </c>
      <c r="D36" s="7">
        <f t="shared" si="6"/>
        <v>230.72463168758347</v>
      </c>
      <c r="E36" s="7">
        <f t="shared" si="7"/>
        <v>217.70333973531629</v>
      </c>
      <c r="F36" s="7">
        <f t="shared" si="8"/>
        <v>1344.8516945367444</v>
      </c>
      <c r="I36" s="6">
        <v>18</v>
      </c>
      <c r="J36" s="7">
        <f t="shared" si="9"/>
        <v>1561.7287904635966</v>
      </c>
      <c r="K36" s="7">
        <f t="shared" si="0"/>
        <v>9.1100846110376477</v>
      </c>
      <c r="L36" s="7">
        <f t="shared" si="1"/>
        <v>228.34015342604093</v>
      </c>
      <c r="M36" s="7">
        <f t="shared" si="2"/>
        <v>219.23006881500328</v>
      </c>
      <c r="N36" s="7">
        <f t="shared" si="3"/>
        <v>1342.4987216485933</v>
      </c>
    </row>
    <row r="37" spans="1:14">
      <c r="A37" s="6">
        <v>19</v>
      </c>
      <c r="B37" s="7">
        <f t="shared" si="4"/>
        <v>1344.8516945367444</v>
      </c>
      <c r="C37" s="7">
        <f t="shared" si="5"/>
        <v>11.207097454472869</v>
      </c>
      <c r="D37" s="7">
        <f t="shared" si="6"/>
        <v>230.72463168758347</v>
      </c>
      <c r="E37" s="7">
        <f t="shared" si="7"/>
        <v>219.51753423311061</v>
      </c>
      <c r="F37" s="7">
        <f t="shared" si="8"/>
        <v>1125.3341603036338</v>
      </c>
      <c r="I37" s="6">
        <v>19</v>
      </c>
      <c r="J37" s="7">
        <f t="shared" si="9"/>
        <v>1342.4987216485933</v>
      </c>
      <c r="K37" s="7">
        <f t="shared" si="0"/>
        <v>7.831242542950128</v>
      </c>
      <c r="L37" s="7">
        <f t="shared" si="1"/>
        <v>228.34015342604093</v>
      </c>
      <c r="M37" s="7">
        <f t="shared" si="2"/>
        <v>220.50891088309081</v>
      </c>
      <c r="N37" s="7">
        <f t="shared" si="3"/>
        <v>1121.9898107655026</v>
      </c>
    </row>
    <row r="38" spans="1:14">
      <c r="A38" s="6">
        <v>20</v>
      </c>
      <c r="B38" s="7">
        <f t="shared" si="4"/>
        <v>1125.3341603036338</v>
      </c>
      <c r="C38" s="7">
        <f t="shared" si="5"/>
        <v>9.3777846691969486</v>
      </c>
      <c r="D38" s="7">
        <f t="shared" si="6"/>
        <v>230.72463168758347</v>
      </c>
      <c r="E38" s="7">
        <f t="shared" si="7"/>
        <v>221.34684701838651</v>
      </c>
      <c r="F38" s="7">
        <f t="shared" si="8"/>
        <v>903.9873132852473</v>
      </c>
      <c r="I38" s="6">
        <v>20</v>
      </c>
      <c r="J38" s="7">
        <f t="shared" si="9"/>
        <v>1121.9898107655026</v>
      </c>
      <c r="K38" s="7">
        <f t="shared" si="0"/>
        <v>6.5449405627987653</v>
      </c>
      <c r="L38" s="7">
        <f t="shared" si="1"/>
        <v>228.34015342604093</v>
      </c>
      <c r="M38" s="7">
        <f t="shared" si="2"/>
        <v>221.79521286324217</v>
      </c>
      <c r="N38" s="7">
        <f t="shared" si="3"/>
        <v>900.19459790226051</v>
      </c>
    </row>
    <row r="39" spans="1:14">
      <c r="A39" s="6">
        <v>21</v>
      </c>
      <c r="B39" s="7">
        <f t="shared" si="4"/>
        <v>903.9873132852473</v>
      </c>
      <c r="C39" s="7">
        <f t="shared" si="5"/>
        <v>7.5332276107103944</v>
      </c>
      <c r="D39" s="7">
        <f t="shared" si="6"/>
        <v>230.72463168758347</v>
      </c>
      <c r="E39" s="7">
        <f t="shared" si="7"/>
        <v>223.19140407687308</v>
      </c>
      <c r="F39" s="7">
        <f t="shared" si="8"/>
        <v>680.79590920837427</v>
      </c>
      <c r="I39" s="6">
        <v>21</v>
      </c>
      <c r="J39" s="7">
        <f t="shared" si="9"/>
        <v>900.19459790226051</v>
      </c>
      <c r="K39" s="7">
        <f t="shared" si="0"/>
        <v>5.2511351544298535</v>
      </c>
      <c r="L39" s="7">
        <f t="shared" si="1"/>
        <v>228.34015342604093</v>
      </c>
      <c r="M39" s="7">
        <f t="shared" si="2"/>
        <v>223.08901827161108</v>
      </c>
      <c r="N39" s="7">
        <f t="shared" si="3"/>
        <v>677.10557963064946</v>
      </c>
    </row>
    <row r="40" spans="1:14">
      <c r="A40" s="6">
        <v>22</v>
      </c>
      <c r="B40" s="7">
        <f t="shared" si="4"/>
        <v>680.79590920837427</v>
      </c>
      <c r="C40" s="7">
        <f t="shared" si="5"/>
        <v>5.6732992434031191</v>
      </c>
      <c r="D40" s="7">
        <f t="shared" si="6"/>
        <v>230.72463168758347</v>
      </c>
      <c r="E40" s="7">
        <f t="shared" si="7"/>
        <v>225.05133244418036</v>
      </c>
      <c r="F40" s="7">
        <f t="shared" si="8"/>
        <v>455.74457676419388</v>
      </c>
      <c r="I40" s="6">
        <v>22</v>
      </c>
      <c r="J40" s="7">
        <f t="shared" si="9"/>
        <v>677.10557963064946</v>
      </c>
      <c r="K40" s="7">
        <f t="shared" si="0"/>
        <v>3.9497825478454556</v>
      </c>
      <c r="L40" s="7">
        <f t="shared" si="1"/>
        <v>228.34015342604093</v>
      </c>
      <c r="M40" s="7">
        <f t="shared" si="2"/>
        <v>224.39037087819548</v>
      </c>
      <c r="N40" s="7">
        <f t="shared" si="3"/>
        <v>452.71520875245398</v>
      </c>
    </row>
    <row r="41" spans="1:14">
      <c r="A41" s="6">
        <v>23</v>
      </c>
      <c r="B41" s="7">
        <f t="shared" si="4"/>
        <v>455.74457676419388</v>
      </c>
      <c r="C41" s="7">
        <f t="shared" si="5"/>
        <v>3.7978714730349488</v>
      </c>
      <c r="D41" s="7">
        <f t="shared" si="6"/>
        <v>230.72463168758347</v>
      </c>
      <c r="E41" s="7">
        <f t="shared" si="7"/>
        <v>226.92676021454852</v>
      </c>
      <c r="F41" s="7">
        <f t="shared" si="8"/>
        <v>228.81781654964536</v>
      </c>
      <c r="I41" s="6">
        <v>23</v>
      </c>
      <c r="J41" s="7">
        <f t="shared" si="9"/>
        <v>452.71520875245398</v>
      </c>
      <c r="K41" s="7">
        <f t="shared" si="0"/>
        <v>2.6408387177226484</v>
      </c>
      <c r="L41" s="7">
        <f t="shared" si="1"/>
        <v>228.34015342604093</v>
      </c>
      <c r="M41" s="7">
        <f t="shared" si="2"/>
        <v>225.69931470831827</v>
      </c>
      <c r="N41" s="7">
        <f t="shared" si="3"/>
        <v>227.01589404413571</v>
      </c>
    </row>
    <row r="42" spans="1:14">
      <c r="A42" s="6">
        <v>24</v>
      </c>
      <c r="B42" s="7">
        <f t="shared" si="4"/>
        <v>228.81781654964536</v>
      </c>
      <c r="C42" s="7">
        <f t="shared" si="5"/>
        <v>1.9068151379137113</v>
      </c>
      <c r="D42" s="7">
        <f t="shared" si="6"/>
        <v>230.72463168758347</v>
      </c>
      <c r="E42" s="7">
        <f t="shared" si="7"/>
        <v>228.81781654966974</v>
      </c>
      <c r="F42" s="7">
        <f t="shared" si="8"/>
        <v>-2.4385826691286638E-11</v>
      </c>
      <c r="I42" s="6">
        <v>24</v>
      </c>
      <c r="J42" s="7">
        <f t="shared" si="9"/>
        <v>227.01589404413571</v>
      </c>
      <c r="K42" s="7">
        <f t="shared" si="0"/>
        <v>1.3242593819241251</v>
      </c>
      <c r="L42" s="7">
        <f t="shared" si="1"/>
        <v>228.34015342604093</v>
      </c>
      <c r="M42" s="7">
        <f t="shared" si="2"/>
        <v>227.01589404411681</v>
      </c>
      <c r="N42" s="7">
        <f t="shared" si="3"/>
        <v>1.8900436771218665E-11</v>
      </c>
    </row>
    <row r="43" spans="1:14">
      <c r="A43" s="8" t="s">
        <v>20</v>
      </c>
      <c r="C43" s="9">
        <f>SUM(C19:C42)</f>
        <v>537.39116050197811</v>
      </c>
      <c r="D43" s="9">
        <f>SUM(D19:D42)</f>
        <v>5537.391160502003</v>
      </c>
      <c r="E43" s="9">
        <f>SUM(E19:E42)</f>
        <v>5000.0000000000246</v>
      </c>
      <c r="F43"/>
      <c r="I43" s="8" t="s">
        <v>20</v>
      </c>
      <c r="J43"/>
      <c r="K43" s="9">
        <f>SUM(K19:K42)</f>
        <v>380.16368222500125</v>
      </c>
      <c r="L43" s="9">
        <f>SUM(L19:L42)</f>
        <v>5480.1636822249839</v>
      </c>
      <c r="M43" s="9">
        <f>SUM(M19:M42)</f>
        <v>5099.9999999999818</v>
      </c>
      <c r="N43"/>
    </row>
    <row r="44" spans="1:14">
      <c r="A44" s="48" t="str">
        <f>IF(AND(ABS(F42)&lt;0.005,ABS(N42)&lt;0.005),"PASS - both loans amortize to $0.00","CHECK")</f>
        <v>PASS - both loans amortize to $0.00</v>
      </c>
    </row>
  </sheetData>
  <mergeCells count="21">
    <mergeCell ref="I17:N17"/>
    <mergeCell ref="B14:C14"/>
    <mergeCell ref="D14:E14"/>
    <mergeCell ref="A1:E1"/>
    <mergeCell ref="A17:F17"/>
    <mergeCell ref="B11:C11"/>
    <mergeCell ref="D11:E11"/>
    <mergeCell ref="B12:C12"/>
    <mergeCell ref="D12:E12"/>
    <mergeCell ref="B13:C13"/>
    <mergeCell ref="D13:E13"/>
    <mergeCell ref="B9:C9"/>
    <mergeCell ref="B10:C10"/>
    <mergeCell ref="D10:E10"/>
    <mergeCell ref="B8:E8"/>
    <mergeCell ref="D9:E9"/>
    <mergeCell ref="A4:E4"/>
    <mergeCell ref="A5:B5"/>
    <mergeCell ref="A6:B6"/>
    <mergeCell ref="C5:E5"/>
    <mergeCell ref="C6:E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895F-4A5B-4374-96E1-87188FE79AAB}">
  <dimension ref="A1:J51"/>
  <sheetViews>
    <sheetView showGridLines="0" zoomScale="115" zoomScaleNormal="115" workbookViewId="0">
      <selection activeCell="F8" sqref="F8"/>
    </sheetView>
  </sheetViews>
  <sheetFormatPr defaultRowHeight="15"/>
  <cols>
    <col min="1" max="1" width="22.42578125" style="1" customWidth="1"/>
    <col min="2" max="2" width="24" style="1" customWidth="1"/>
    <col min="3" max="3" width="37.28515625" style="1" customWidth="1"/>
    <col min="4" max="4" width="26.42578125" style="1" customWidth="1"/>
    <col min="5" max="5" width="30.85546875" style="1" customWidth="1"/>
    <col min="6" max="6" width="27.140625" style="1" customWidth="1"/>
    <col min="7" max="7" width="11.42578125" style="1" customWidth="1"/>
    <col min="8" max="8" width="28.5703125" style="1" customWidth="1"/>
    <col min="9" max="9" width="39.5703125" style="1" customWidth="1"/>
    <col min="10" max="10" width="30.85546875" style="1" customWidth="1"/>
    <col min="11" max="11" width="25.7109375" style="1" customWidth="1"/>
    <col min="12" max="12" width="21" style="1" customWidth="1"/>
    <col min="13" max="13" width="33.5703125" style="1" customWidth="1"/>
    <col min="14" max="14" width="31" style="1" customWidth="1"/>
    <col min="15" max="15" width="9.140625" style="1" customWidth="1"/>
    <col min="16" max="16384" width="9.140625" style="1"/>
  </cols>
  <sheetData>
    <row r="1" spans="1:6" ht="16.5">
      <c r="A1" s="63" t="s">
        <v>23</v>
      </c>
      <c r="B1" s="64"/>
      <c r="C1" s="64"/>
      <c r="D1" s="64"/>
      <c r="E1" s="64"/>
    </row>
    <row r="3" spans="1:6">
      <c r="A3" s="4" t="s">
        <v>12</v>
      </c>
    </row>
    <row r="4" spans="1:6">
      <c r="A4" s="52" t="s">
        <v>10</v>
      </c>
      <c r="B4" s="52"/>
      <c r="C4" s="52"/>
      <c r="D4" s="52"/>
      <c r="E4" s="52"/>
    </row>
    <row r="5" spans="1:6">
      <c r="A5" s="53" t="s">
        <v>11</v>
      </c>
      <c r="B5" s="53"/>
      <c r="C5" s="54">
        <v>5000</v>
      </c>
      <c r="D5" s="55"/>
      <c r="E5" s="56"/>
    </row>
    <row r="6" spans="1:6">
      <c r="A6" s="53" t="s">
        <v>3</v>
      </c>
      <c r="B6" s="53"/>
      <c r="C6" s="57">
        <v>24</v>
      </c>
      <c r="D6" s="58"/>
      <c r="E6" s="59"/>
    </row>
    <row r="8" spans="1:6">
      <c r="B8" s="68" t="s">
        <v>4</v>
      </c>
      <c r="C8" s="69"/>
      <c r="D8" s="69"/>
      <c r="E8" s="70"/>
    </row>
    <row r="9" spans="1:6">
      <c r="B9" s="67" t="s">
        <v>1</v>
      </c>
      <c r="C9" s="67"/>
      <c r="D9" s="71" t="s">
        <v>2</v>
      </c>
      <c r="E9" s="72"/>
    </row>
    <row r="10" spans="1:6">
      <c r="A10" s="2" t="s">
        <v>5</v>
      </c>
      <c r="B10" s="66">
        <v>0.1</v>
      </c>
      <c r="C10" s="66"/>
      <c r="D10" s="66">
        <v>7.0000000000000007E-2</v>
      </c>
      <c r="E10" s="66"/>
    </row>
    <row r="11" spans="1:6">
      <c r="A11" s="2" t="s">
        <v>6</v>
      </c>
      <c r="B11" s="65">
        <f>B10/12</f>
        <v>8.3333333333333332E-3</v>
      </c>
      <c r="C11" s="65"/>
      <c r="D11" s="65">
        <f>D10/12</f>
        <v>5.8333333333333336E-3</v>
      </c>
      <c r="E11" s="65"/>
    </row>
    <row r="12" spans="1:6">
      <c r="A12" s="3" t="s">
        <v>7</v>
      </c>
      <c r="B12" s="66">
        <v>0</v>
      </c>
      <c r="C12" s="66"/>
      <c r="D12" s="66">
        <v>0.02</v>
      </c>
      <c r="E12" s="66"/>
    </row>
    <row r="13" spans="1:6">
      <c r="A13" s="2" t="s">
        <v>8</v>
      </c>
      <c r="B13" s="77">
        <f>$C$5*(1+$B$12)</f>
        <v>5000</v>
      </c>
      <c r="C13" s="77"/>
      <c r="D13" s="78">
        <f>$C$5*(1+$D$12)</f>
        <v>5100</v>
      </c>
      <c r="E13" s="78"/>
      <c r="F13" s="11" t="s">
        <v>22</v>
      </c>
    </row>
    <row r="14" spans="1:6">
      <c r="A14" s="2" t="s">
        <v>9</v>
      </c>
      <c r="B14" s="78">
        <f>$B$13*$B$11/(1-(1/(1+$B$11)^$C$6))</f>
        <v>230.72463168758347</v>
      </c>
      <c r="C14" s="79"/>
      <c r="D14" s="78">
        <f>$D$13*$D$11/(1-(1/(1+$D$11)^$C$6))</f>
        <v>228.34015342604093</v>
      </c>
      <c r="E14" s="79"/>
    </row>
    <row r="16" spans="1:6">
      <c r="A16" s="52" t="s">
        <v>24</v>
      </c>
      <c r="B16" s="52"/>
      <c r="C16" s="52"/>
      <c r="D16" s="52"/>
      <c r="E16" s="52"/>
    </row>
    <row r="17" spans="1:10">
      <c r="A17" s="53" t="s">
        <v>5</v>
      </c>
      <c r="B17" s="53"/>
      <c r="C17" s="75">
        <f>B10</f>
        <v>0.1</v>
      </c>
      <c r="D17" s="55"/>
      <c r="E17" s="56"/>
      <c r="F17" s="11" t="s">
        <v>25</v>
      </c>
    </row>
    <row r="18" spans="1:10">
      <c r="A18" s="53" t="s">
        <v>6</v>
      </c>
      <c r="B18" s="53"/>
      <c r="C18" s="76">
        <f>B11</f>
        <v>8.3333333333333332E-3</v>
      </c>
      <c r="D18" s="58"/>
      <c r="E18" s="59"/>
    </row>
    <row r="21" spans="1:10">
      <c r="A21" s="73" t="s">
        <v>27</v>
      </c>
      <c r="B21" s="74"/>
      <c r="C21" s="74"/>
      <c r="D21" s="74"/>
      <c r="G21" s="73" t="s">
        <v>33</v>
      </c>
      <c r="H21" s="74"/>
      <c r="I21" s="74"/>
      <c r="J21" s="74"/>
    </row>
    <row r="22" spans="1:10" ht="16.5" customHeight="1">
      <c r="A22" s="5" t="s">
        <v>14</v>
      </c>
      <c r="B22" s="5" t="s">
        <v>26</v>
      </c>
      <c r="C22" s="5" t="s">
        <v>28</v>
      </c>
      <c r="D22" s="5" t="s">
        <v>29</v>
      </c>
      <c r="G22" s="5" t="s">
        <v>14</v>
      </c>
      <c r="H22" s="5" t="s">
        <v>30</v>
      </c>
      <c r="I22" s="5" t="s">
        <v>31</v>
      </c>
      <c r="J22" s="5" t="s">
        <v>32</v>
      </c>
    </row>
    <row r="23" spans="1:10">
      <c r="A23" s="6">
        <v>1</v>
      </c>
      <c r="B23" s="7">
        <f>'Sheet 1 - Amortization &amp; Charts'!$F19</f>
        <v>4810.9420349790835</v>
      </c>
      <c r="C23" s="7">
        <f>IF($A23&gt;=$C$6,0,($B$14)*(1-(1+$C$18)^(-($C$6-$A23)))/$C$18)</f>
        <v>4810.9420349790835</v>
      </c>
      <c r="D23" s="7">
        <f>B23-C23</f>
        <v>0</v>
      </c>
      <c r="G23" s="6">
        <v>1</v>
      </c>
      <c r="H23" s="7">
        <f>'Sheet 1 - Amortization &amp; Charts'!$N19</f>
        <v>4901.4098465739589</v>
      </c>
      <c r="I23" s="7">
        <f>IF($A23&gt;=$C$6,0,($D$14)*(1-(1+$C$18)^(-($C$6-$A23)))/$C$18)</f>
        <v>4761.2222169603383</v>
      </c>
      <c r="J23" s="7">
        <f>H23-I23</f>
        <v>140.18762961362063</v>
      </c>
    </row>
    <row r="24" spans="1:10">
      <c r="A24" s="6">
        <v>2</v>
      </c>
      <c r="B24" s="7">
        <f>'Sheet 1 - Amortization &amp; Charts'!$F20</f>
        <v>4620.308586916326</v>
      </c>
      <c r="C24" s="7">
        <f t="shared" ref="C24:C46" si="0">IF($A24&gt;=$C$6,0,($B$14)*(1-(1+$C$18)^(-($C$6-$A24)))/$C$18)</f>
        <v>4620.3085869163315</v>
      </c>
      <c r="D24" s="7">
        <f t="shared" ref="D24:D46" si="1">B24-C24</f>
        <v>0</v>
      </c>
      <c r="G24" s="6">
        <v>2</v>
      </c>
      <c r="H24" s="7">
        <f>'Sheet 1 - Amortization &amp; Charts'!$N20</f>
        <v>4701.6612505862659</v>
      </c>
      <c r="I24" s="7">
        <f t="shared" ref="I24:I46" si="2">IF($A24&gt;=$C$6,0,($D$14)*(1-(1+$C$18)^(-($C$6-$A24)))/$C$18)</f>
        <v>4572.5589153423052</v>
      </c>
      <c r="J24" s="7">
        <f t="shared" ref="J24:J46" si="3">H24-I24</f>
        <v>129.10233524396062</v>
      </c>
    </row>
    <row r="25" spans="1:10">
      <c r="A25" s="6">
        <v>3</v>
      </c>
      <c r="B25" s="7">
        <f>'Sheet 1 - Amortization &amp; Charts'!$F21</f>
        <v>4428.0865267863783</v>
      </c>
      <c r="C25" s="7">
        <f t="shared" si="0"/>
        <v>4428.0865267863774</v>
      </c>
      <c r="D25" s="7">
        <f t="shared" si="1"/>
        <v>0</v>
      </c>
      <c r="G25" s="6">
        <v>3</v>
      </c>
      <c r="H25" s="7">
        <f>'Sheet 1 - Amortization &amp; Charts'!$N21</f>
        <v>4500.7474544553115</v>
      </c>
      <c r="I25" s="7">
        <f t="shared" si="2"/>
        <v>4382.32341954411</v>
      </c>
      <c r="J25" s="7">
        <f t="shared" si="3"/>
        <v>118.42403491120149</v>
      </c>
    </row>
    <row r="26" spans="1:10">
      <c r="A26" s="6">
        <v>4</v>
      </c>
      <c r="B26" s="7">
        <f>'Sheet 1 - Amortization &amp; Charts'!$F22</f>
        <v>4234.262616155348</v>
      </c>
      <c r="C26" s="7">
        <f t="shared" si="0"/>
        <v>4234.2626161553499</v>
      </c>
      <c r="D26" s="7">
        <f t="shared" si="1"/>
        <v>0</v>
      </c>
      <c r="G26" s="6">
        <v>4</v>
      </c>
      <c r="H26" s="7">
        <f>'Sheet 1 - Amortization &amp; Charts'!$N22</f>
        <v>4298.6616611802601</v>
      </c>
      <c r="I26" s="7">
        <f t="shared" si="2"/>
        <v>4190.502627947606</v>
      </c>
      <c r="J26" s="7">
        <f t="shared" si="3"/>
        <v>108.15903323265411</v>
      </c>
    </row>
    <row r="27" spans="1:10">
      <c r="A27" s="6">
        <v>5</v>
      </c>
      <c r="B27" s="7">
        <f>'Sheet 1 - Amortization &amp; Charts'!$F23</f>
        <v>4038.8235062690592</v>
      </c>
      <c r="C27" s="7">
        <f t="shared" si="0"/>
        <v>4038.823506269066</v>
      </c>
      <c r="D27" s="7">
        <f t="shared" si="1"/>
        <v>-6.8212102632969618E-12</v>
      </c>
      <c r="G27" s="6">
        <v>5</v>
      </c>
      <c r="H27" s="7">
        <f>'Sheet 1 - Amortization &amp; Charts'!$N23</f>
        <v>4095.3970341111039</v>
      </c>
      <c r="I27" s="7">
        <f t="shared" si="2"/>
        <v>3997.0833297544668</v>
      </c>
      <c r="J27" s="7">
        <f t="shared" si="3"/>
        <v>98.313704356637118</v>
      </c>
    </row>
    <row r="28" spans="1:10">
      <c r="A28" s="6">
        <v>6</v>
      </c>
      <c r="B28" s="7">
        <f>'Sheet 1 - Amortization &amp; Charts'!$F24</f>
        <v>3841.755737133718</v>
      </c>
      <c r="C28" s="7">
        <f t="shared" si="0"/>
        <v>3841.7557371337243</v>
      </c>
      <c r="D28" s="7">
        <f t="shared" si="1"/>
        <v>-6.3664629124104977E-12</v>
      </c>
      <c r="G28" s="6">
        <v>6</v>
      </c>
      <c r="H28" s="7">
        <f>'Sheet 1 - Amortization &amp; Charts'!$N24</f>
        <v>3890.9466967173776</v>
      </c>
      <c r="I28" s="7">
        <f t="shared" si="2"/>
        <v>3802.0522040763794</v>
      </c>
      <c r="J28" s="7">
        <f t="shared" si="3"/>
        <v>88.894492640998124</v>
      </c>
    </row>
    <row r="29" spans="1:10">
      <c r="A29" s="6">
        <v>7</v>
      </c>
      <c r="B29" s="7">
        <f>'Sheet 1 - Amortization &amp; Charts'!$F25</f>
        <v>3643.0457365889156</v>
      </c>
      <c r="C29" s="7">
        <f t="shared" si="0"/>
        <v>3643.0457365889215</v>
      </c>
      <c r="D29" s="7">
        <f t="shared" si="1"/>
        <v>-5.9117155615240335E-12</v>
      </c>
      <c r="G29" s="6">
        <v>7</v>
      </c>
      <c r="H29" s="7">
        <f>'Sheet 1 - Amortization &amp; Charts'!$N25</f>
        <v>3685.3037323555213</v>
      </c>
      <c r="I29" s="7">
        <f t="shared" si="2"/>
        <v>3605.3958190176409</v>
      </c>
      <c r="J29" s="7">
        <f t="shared" si="3"/>
        <v>79.907913337880473</v>
      </c>
    </row>
    <row r="30" spans="1:10">
      <c r="A30" s="6">
        <v>8</v>
      </c>
      <c r="B30" s="7">
        <f>'Sheet 1 - Amortization &amp; Charts'!$F26</f>
        <v>3442.6798193729064</v>
      </c>
      <c r="C30" s="7">
        <f t="shared" si="0"/>
        <v>3442.6798193729146</v>
      </c>
      <c r="D30" s="7">
        <f t="shared" si="1"/>
        <v>-8.1854523159563541E-12</v>
      </c>
      <c r="G30" s="6">
        <v>8</v>
      </c>
      <c r="H30" s="7">
        <f>'Sheet 1 - Amortization &amp; Charts'!$N26</f>
        <v>3478.4611840348875</v>
      </c>
      <c r="I30" s="7">
        <f t="shared" si="2"/>
        <v>3407.1006307500829</v>
      </c>
      <c r="J30" s="7">
        <f t="shared" si="3"/>
        <v>71.36055328480461</v>
      </c>
    </row>
    <row r="31" spans="1:10">
      <c r="A31" s="6">
        <v>9</v>
      </c>
      <c r="B31" s="7">
        <f>'Sheet 1 - Amortization &amp; Charts'!$F27</f>
        <v>3240.6441861800972</v>
      </c>
      <c r="C31" s="7">
        <f t="shared" si="0"/>
        <v>3240.6441861801036</v>
      </c>
      <c r="D31" s="7">
        <f t="shared" si="1"/>
        <v>-6.3664629124104977E-12</v>
      </c>
      <c r="G31" s="6">
        <v>9</v>
      </c>
      <c r="H31" s="7">
        <f>'Sheet 1 - Amortization &amp; Charts'!$N27</f>
        <v>3270.4120541823836</v>
      </c>
      <c r="I31" s="7">
        <f t="shared" si="2"/>
        <v>3207.1529825802909</v>
      </c>
      <c r="J31" s="7">
        <f t="shared" si="3"/>
        <v>63.259071602092718</v>
      </c>
    </row>
    <row r="32" spans="1:10">
      <c r="A32" s="6">
        <v>10</v>
      </c>
      <c r="B32" s="7">
        <f>'Sheet 1 - Amortization &amp; Charts'!$F28</f>
        <v>3036.9249227106811</v>
      </c>
      <c r="C32" s="7">
        <f t="shared" si="0"/>
        <v>3036.9249227106884</v>
      </c>
      <c r="D32" s="7">
        <f t="shared" si="1"/>
        <v>-7.2759576141834259E-12</v>
      </c>
      <c r="G32" s="6">
        <v>10</v>
      </c>
      <c r="H32" s="7">
        <f>'Sheet 1 - Amortization &amp; Charts'!$N28</f>
        <v>3061.1493044057397</v>
      </c>
      <c r="I32" s="7">
        <f t="shared" si="2"/>
        <v>3005.5391040090863</v>
      </c>
      <c r="J32" s="7">
        <f t="shared" si="3"/>
        <v>55.610200396653454</v>
      </c>
    </row>
    <row r="33" spans="1:10">
      <c r="A33" s="6">
        <v>11</v>
      </c>
      <c r="B33" s="7">
        <f>'Sheet 1 - Amortization &amp; Charts'!$F29</f>
        <v>2831.5079987123531</v>
      </c>
      <c r="C33" s="7">
        <f t="shared" si="0"/>
        <v>2831.5079987123604</v>
      </c>
      <c r="D33" s="7">
        <f t="shared" si="1"/>
        <v>-7.2759576141834259E-12</v>
      </c>
      <c r="G33" s="6">
        <v>11</v>
      </c>
      <c r="H33" s="7">
        <f>'Sheet 1 - Amortization &amp; Charts'!$N29</f>
        <v>2850.665855255399</v>
      </c>
      <c r="I33" s="7">
        <f t="shared" si="2"/>
        <v>2802.2451097831208</v>
      </c>
      <c r="J33" s="7">
        <f t="shared" si="3"/>
        <v>48.420745472278213</v>
      </c>
    </row>
    <row r="34" spans="1:10">
      <c r="A34" s="6">
        <v>12</v>
      </c>
      <c r="B34" s="7">
        <f>'Sheet 1 - Amortization &amp; Charts'!$F30</f>
        <v>2624.3792670140392</v>
      </c>
      <c r="C34" s="7">
        <f t="shared" si="0"/>
        <v>2624.3792670140533</v>
      </c>
      <c r="D34" s="7">
        <f t="shared" si="1"/>
        <v>-1.4097167877480388E-11</v>
      </c>
      <c r="G34" s="6">
        <v>12</v>
      </c>
      <c r="H34" s="7">
        <f>'Sheet 1 - Amortization &amp; Charts'!$N30</f>
        <v>2638.9545859850145</v>
      </c>
      <c r="I34" s="7">
        <f t="shared" si="2"/>
        <v>2597.2569989386129</v>
      </c>
      <c r="J34" s="7">
        <f t="shared" si="3"/>
        <v>41.697587046401623</v>
      </c>
    </row>
    <row r="35" spans="1:10">
      <c r="A35" s="6">
        <v>13</v>
      </c>
      <c r="B35" s="7">
        <f>'Sheet 1 - Amortization &amp; Charts'!$F31</f>
        <v>2415.5244625515729</v>
      </c>
      <c r="C35" s="7">
        <f t="shared" si="0"/>
        <v>2415.5244625515829</v>
      </c>
      <c r="D35" s="7">
        <f t="shared" si="1"/>
        <v>-1.0004441719502211E-11</v>
      </c>
      <c r="G35" s="6">
        <v>13</v>
      </c>
      <c r="H35" s="7">
        <f>'Sheet 1 - Amortization &amp; Charts'!$N31</f>
        <v>2426.008334310553</v>
      </c>
      <c r="I35" s="7">
        <f t="shared" si="2"/>
        <v>2390.5606538370562</v>
      </c>
      <c r="J35" s="7">
        <f t="shared" si="3"/>
        <v>35.447680473496803</v>
      </c>
    </row>
    <row r="36" spans="1:10">
      <c r="A36" s="6">
        <v>14</v>
      </c>
      <c r="B36" s="7">
        <f>'Sheet 1 - Amortization &amp; Charts'!$F32</f>
        <v>2204.9292013852528</v>
      </c>
      <c r="C36" s="7">
        <f t="shared" si="0"/>
        <v>2204.9292013852664</v>
      </c>
      <c r="D36" s="7">
        <f t="shared" si="1"/>
        <v>-1.3642420526593924E-11</v>
      </c>
      <c r="G36" s="6">
        <v>14</v>
      </c>
      <c r="H36" s="7">
        <f>'Sheet 1 - Amortization &amp; Charts'!$N32</f>
        <v>2211.8198961679905</v>
      </c>
      <c r="I36" s="7">
        <f t="shared" si="2"/>
        <v>2182.1418391929942</v>
      </c>
      <c r="J36" s="7">
        <f t="shared" si="3"/>
        <v>29.678056974996252</v>
      </c>
    </row>
    <row r="37" spans="1:10">
      <c r="A37" s="6">
        <v>15</v>
      </c>
      <c r="B37" s="7">
        <f>'Sheet 1 - Amortization &amp; Charts'!$F33</f>
        <v>1992.5789797092132</v>
      </c>
      <c r="C37" s="7">
        <f t="shared" si="0"/>
        <v>1992.5789797092257</v>
      </c>
      <c r="D37" s="7">
        <f t="shared" si="1"/>
        <v>-1.2505552149377763E-11</v>
      </c>
      <c r="G37" s="6">
        <v>15</v>
      </c>
      <c r="H37" s="7">
        <f>'Sheet 1 - Amortization &amp; Charts'!$N33</f>
        <v>1996.3820254695961</v>
      </c>
      <c r="I37" s="7">
        <f t="shared" si="2"/>
        <v>1971.9862010935606</v>
      </c>
      <c r="J37" s="7">
        <f t="shared" si="3"/>
        <v>24.395824376035534</v>
      </c>
    </row>
    <row r="38" spans="1:10">
      <c r="A38" s="6">
        <v>16</v>
      </c>
      <c r="B38" s="7">
        <f>'Sheet 1 - Amortization &amp; Charts'!$F34</f>
        <v>1778.4591728525397</v>
      </c>
      <c r="C38" s="7">
        <f t="shared" si="0"/>
        <v>1778.4591728525545</v>
      </c>
      <c r="D38" s="7">
        <f t="shared" si="1"/>
        <v>-1.4779288903810084E-11</v>
      </c>
      <c r="G38" s="6">
        <v>16</v>
      </c>
      <c r="H38" s="7">
        <f>'Sheet 1 - Amortization &amp; Charts'!$N34</f>
        <v>1779.6874338587945</v>
      </c>
      <c r="I38" s="7">
        <f t="shared" si="2"/>
        <v>1760.0792660099683</v>
      </c>
      <c r="J38" s="7">
        <f t="shared" si="3"/>
        <v>19.60816784882627</v>
      </c>
    </row>
    <row r="39" spans="1:10">
      <c r="A39" s="6">
        <v>17</v>
      </c>
      <c r="B39" s="7">
        <f>'Sheet 1 - Amortization &amp; Charts'!$F35</f>
        <v>1562.5550342720608</v>
      </c>
      <c r="C39" s="7">
        <f t="shared" si="0"/>
        <v>1562.5550342720755</v>
      </c>
      <c r="D39" s="7">
        <f t="shared" si="1"/>
        <v>-1.4779288903810084E-11</v>
      </c>
      <c r="G39" s="6">
        <v>17</v>
      </c>
      <c r="H39" s="7">
        <f>'Sheet 1 - Amortization &amp; Charts'!$N35</f>
        <v>1561.7287904635966</v>
      </c>
      <c r="I39" s="7">
        <f t="shared" si="2"/>
        <v>1546.4064398006767</v>
      </c>
      <c r="J39" s="7">
        <f t="shared" si="3"/>
        <v>15.322350662919916</v>
      </c>
    </row>
    <row r="40" spans="1:10">
      <c r="A40" s="6">
        <v>18</v>
      </c>
      <c r="B40" s="7">
        <f>'Sheet 1 - Amortization &amp; Charts'!$F36</f>
        <v>1344.8516945367444</v>
      </c>
      <c r="C40" s="7">
        <f t="shared" si="0"/>
        <v>1344.8516945367614</v>
      </c>
      <c r="D40" s="7">
        <f t="shared" si="1"/>
        <v>-1.7053025658242404E-11</v>
      </c>
      <c r="G40" s="6">
        <v>18</v>
      </c>
      <c r="H40" s="7">
        <f>'Sheet 1 - Amortization &amp; Charts'!$N36</f>
        <v>1342.4987216485933</v>
      </c>
      <c r="I40" s="7">
        <f t="shared" si="2"/>
        <v>1330.9530067063101</v>
      </c>
      <c r="J40" s="7">
        <f t="shared" si="3"/>
        <v>11.545714942283212</v>
      </c>
    </row>
    <row r="41" spans="1:10">
      <c r="A41" s="6">
        <v>19</v>
      </c>
      <c r="B41" s="7">
        <f>'Sheet 1 - Amortization &amp; Charts'!$F37</f>
        <v>1125.3341603036338</v>
      </c>
      <c r="C41" s="7">
        <f t="shared" si="0"/>
        <v>1125.3341603036508</v>
      </c>
      <c r="D41" s="7">
        <f t="shared" si="1"/>
        <v>-1.7053025658242404E-11</v>
      </c>
      <c r="G41" s="6">
        <v>19</v>
      </c>
      <c r="H41" s="7">
        <f>'Sheet 1 - Amortization &amp; Charts'!$N37</f>
        <v>1121.9898107655026</v>
      </c>
      <c r="I41" s="7">
        <f t="shared" si="2"/>
        <v>1113.7041283361552</v>
      </c>
      <c r="J41" s="7">
        <f t="shared" si="3"/>
        <v>8.2856824293473892</v>
      </c>
    </row>
    <row r="42" spans="1:10">
      <c r="A42" s="6">
        <v>20</v>
      </c>
      <c r="B42" s="7">
        <f>'Sheet 1 - Amortization &amp; Charts'!$F38</f>
        <v>903.9873132852473</v>
      </c>
      <c r="C42" s="7">
        <f t="shared" si="0"/>
        <v>903.98731328526571</v>
      </c>
      <c r="D42" s="7">
        <f t="shared" si="1"/>
        <v>-1.8417267710901797E-11</v>
      </c>
      <c r="G42" s="6">
        <v>20</v>
      </c>
      <c r="H42" s="7">
        <f>'Sheet 1 - Amortization &amp; Charts'!$N38</f>
        <v>900.19459790226051</v>
      </c>
      <c r="I42" s="7">
        <f t="shared" si="2"/>
        <v>894.64484264624991</v>
      </c>
      <c r="J42" s="7">
        <f t="shared" si="3"/>
        <v>5.5497552560105987</v>
      </c>
    </row>
    <row r="43" spans="1:10">
      <c r="A43" s="6">
        <v>21</v>
      </c>
      <c r="B43" s="7">
        <f>'Sheet 1 - Amortization &amp; Charts'!$F39</f>
        <v>680.79590920837427</v>
      </c>
      <c r="C43" s="7">
        <f t="shared" si="0"/>
        <v>680.79590920839451</v>
      </c>
      <c r="D43" s="7">
        <f t="shared" si="1"/>
        <v>-2.0236257114447653E-11</v>
      </c>
      <c r="G43" s="6">
        <v>21</v>
      </c>
      <c r="H43" s="7">
        <f>'Sheet 1 - Amortization &amp; Charts'!$N39</f>
        <v>677.10557963064946</v>
      </c>
      <c r="I43" s="7">
        <f t="shared" si="2"/>
        <v>673.76006290892963</v>
      </c>
      <c r="J43" s="7">
        <f t="shared" si="3"/>
        <v>3.3455167217198323</v>
      </c>
    </row>
    <row r="44" spans="1:10">
      <c r="A44" s="6">
        <v>22</v>
      </c>
      <c r="B44" s="7">
        <f>'Sheet 1 - Amortization &amp; Charts'!$F40</f>
        <v>455.74457676419388</v>
      </c>
      <c r="C44" s="7">
        <f t="shared" si="0"/>
        <v>455.74457676421707</v>
      </c>
      <c r="D44" s="7">
        <f t="shared" si="1"/>
        <v>-2.319211489520967E-11</v>
      </c>
      <c r="G44" s="6">
        <v>22</v>
      </c>
      <c r="H44" s="7">
        <f>'Sheet 1 - Amortization &amp; Charts'!$N40</f>
        <v>452.71520875245398</v>
      </c>
      <c r="I44" s="7">
        <f t="shared" si="2"/>
        <v>451.03457667379905</v>
      </c>
      <c r="J44" s="7">
        <f t="shared" si="3"/>
        <v>1.6806320786549236</v>
      </c>
    </row>
    <row r="45" spans="1:10">
      <c r="A45" s="6">
        <v>23</v>
      </c>
      <c r="B45" s="7">
        <f>'Sheet 1 - Amortization &amp; Charts'!$F41</f>
        <v>228.81781654964536</v>
      </c>
      <c r="C45" s="7">
        <f t="shared" si="0"/>
        <v>228.81781654966881</v>
      </c>
      <c r="D45" s="7">
        <f t="shared" si="1"/>
        <v>-2.3447910280083306E-11</v>
      </c>
      <c r="G45" s="6">
        <v>23</v>
      </c>
      <c r="H45" s="7">
        <f>'Sheet 1 - Amortization &amp; Charts'!$N41</f>
        <v>227.01589404413571</v>
      </c>
      <c r="I45" s="7">
        <f t="shared" si="2"/>
        <v>226.45304472003983</v>
      </c>
      <c r="J45" s="7">
        <f t="shared" si="3"/>
        <v>0.56284932409587896</v>
      </c>
    </row>
    <row r="46" spans="1:10">
      <c r="A46" s="6">
        <v>24</v>
      </c>
      <c r="B46" s="7">
        <f>'Sheet 1 - Amortization &amp; Charts'!$F42</f>
        <v>-2.4385826691286638E-11</v>
      </c>
      <c r="C46" s="7">
        <f t="shared" si="0"/>
        <v>0</v>
      </c>
      <c r="D46" s="7">
        <f t="shared" si="1"/>
        <v>-2.4385826691286638E-11</v>
      </c>
      <c r="G46" s="6">
        <v>24</v>
      </c>
      <c r="H46" s="7">
        <f>'Sheet 1 - Amortization &amp; Charts'!$N42</f>
        <v>1.8900436771218665E-11</v>
      </c>
      <c r="I46" s="7">
        <f t="shared" si="2"/>
        <v>0</v>
      </c>
      <c r="J46" s="7">
        <f t="shared" si="3"/>
        <v>1.8900436771218665E-11</v>
      </c>
    </row>
    <row r="48" spans="1:10">
      <c r="A48" s="49" t="s">
        <v>93</v>
      </c>
    </row>
    <row r="49" spans="1:1">
      <c r="A49" s="49" t="s">
        <v>92</v>
      </c>
    </row>
    <row r="50" spans="1:1">
      <c r="A50" s="49" t="s">
        <v>94</v>
      </c>
    </row>
    <row r="51" spans="1:1">
      <c r="A51" s="49" t="s">
        <v>95</v>
      </c>
    </row>
  </sheetData>
  <mergeCells count="26">
    <mergeCell ref="B11:C11"/>
    <mergeCell ref="D11:E11"/>
    <mergeCell ref="A1:E1"/>
    <mergeCell ref="A4:E4"/>
    <mergeCell ref="A5:B5"/>
    <mergeCell ref="C5:E5"/>
    <mergeCell ref="A6:B6"/>
    <mergeCell ref="C6:E6"/>
    <mergeCell ref="B8:E8"/>
    <mergeCell ref="B9:C9"/>
    <mergeCell ref="D9:E9"/>
    <mergeCell ref="B10:C10"/>
    <mergeCell ref="D10:E10"/>
    <mergeCell ref="B12:C12"/>
    <mergeCell ref="D12:E12"/>
    <mergeCell ref="B13:C13"/>
    <mergeCell ref="D13:E13"/>
    <mergeCell ref="B14:C14"/>
    <mergeCell ref="D14:E14"/>
    <mergeCell ref="A21:D21"/>
    <mergeCell ref="G21:J21"/>
    <mergeCell ref="A16:E16"/>
    <mergeCell ref="A17:B17"/>
    <mergeCell ref="C17:E17"/>
    <mergeCell ref="A18:B18"/>
    <mergeCell ref="C18:E1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DE68-7F6C-4448-84B6-48B9ABE29E9C}">
  <dimension ref="A1:AB108"/>
  <sheetViews>
    <sheetView showGridLines="0" zoomScale="145" zoomScaleNormal="145" workbookViewId="0">
      <selection activeCell="B92" sqref="B92:I100"/>
    </sheetView>
  </sheetViews>
  <sheetFormatPr defaultRowHeight="15"/>
  <cols>
    <col min="1" max="1" width="45.42578125" bestFit="1" customWidth="1"/>
    <col min="2" max="2" width="17.42578125" customWidth="1"/>
    <col min="3" max="3" width="26.42578125" customWidth="1"/>
    <col min="4" max="4" width="28.28515625" customWidth="1"/>
    <col min="5" max="5" width="44.5703125" customWidth="1"/>
    <col min="6" max="6" width="31.28515625" customWidth="1"/>
    <col min="7" max="7" width="31.85546875" customWidth="1"/>
    <col min="8" max="8" width="30.85546875" customWidth="1"/>
    <col min="9" max="9" width="41.5703125" customWidth="1"/>
    <col min="10" max="10" width="36.7109375" customWidth="1"/>
    <col min="11" max="11" width="26.5703125" customWidth="1"/>
    <col min="12" max="12" width="37.7109375" customWidth="1"/>
    <col min="13" max="13" width="35.85546875" customWidth="1"/>
    <col min="14" max="14" width="23.5703125" customWidth="1"/>
    <col min="15" max="15" width="20.42578125" customWidth="1"/>
    <col min="16" max="16" width="19.5703125" customWidth="1"/>
    <col min="17" max="17" width="24" customWidth="1"/>
    <col min="18" max="18" width="24.140625" customWidth="1"/>
    <col min="19" max="19" width="21.85546875" customWidth="1"/>
    <col min="20" max="20" width="24.140625" customWidth="1"/>
    <col min="21" max="21" width="22.85546875" customWidth="1"/>
    <col min="22" max="22" width="25.5703125" customWidth="1"/>
    <col min="23" max="23" width="22.85546875" customWidth="1"/>
    <col min="24" max="24" width="20.7109375" customWidth="1"/>
    <col min="25" max="25" width="20.5703125" customWidth="1"/>
    <col min="26" max="26" width="20.85546875" customWidth="1"/>
    <col min="27" max="27" width="22.28515625" customWidth="1"/>
    <col min="28" max="28" width="20" customWidth="1"/>
    <col min="29" max="29" width="24.28515625" customWidth="1"/>
  </cols>
  <sheetData>
    <row r="1" spans="1:5" ht="16.5">
      <c r="A1" s="63" t="s">
        <v>34</v>
      </c>
      <c r="B1" s="64"/>
      <c r="C1" s="64"/>
      <c r="D1" s="64"/>
      <c r="E1" s="64"/>
    </row>
    <row r="4" spans="1:5">
      <c r="A4" s="4" t="s">
        <v>35</v>
      </c>
    </row>
    <row r="5" spans="1:5">
      <c r="A5" s="12" t="s">
        <v>36</v>
      </c>
      <c r="B5" s="85">
        <v>1000</v>
      </c>
      <c r="C5" s="86"/>
      <c r="D5" s="86"/>
      <c r="E5" s="87"/>
    </row>
    <row r="6" spans="1:5">
      <c r="A6" s="12" t="s">
        <v>37</v>
      </c>
      <c r="B6" s="88">
        <v>5000</v>
      </c>
      <c r="C6" s="89"/>
      <c r="D6" s="89"/>
      <c r="E6" s="90"/>
    </row>
    <row r="7" spans="1:5">
      <c r="A7" s="13" t="s">
        <v>47</v>
      </c>
      <c r="B7" s="91">
        <v>7.0000000000000007E-2</v>
      </c>
      <c r="C7" s="92"/>
      <c r="D7" s="92"/>
      <c r="E7" s="93"/>
    </row>
    <row r="8" spans="1:5">
      <c r="A8" s="13" t="s">
        <v>48</v>
      </c>
      <c r="B8" s="94">
        <f>B7/12</f>
        <v>5.8333333333333336E-3</v>
      </c>
      <c r="C8" s="95"/>
      <c r="D8" s="95"/>
      <c r="E8" s="96"/>
    </row>
    <row r="9" spans="1:5">
      <c r="A9" s="12" t="s">
        <v>38</v>
      </c>
      <c r="B9" s="75">
        <v>0.02</v>
      </c>
      <c r="C9" s="83"/>
      <c r="D9" s="83"/>
      <c r="E9" s="84"/>
    </row>
    <row r="10" spans="1:5">
      <c r="A10" s="12" t="s">
        <v>39</v>
      </c>
      <c r="B10" s="97">
        <f>B6*(1+B9)</f>
        <v>5100</v>
      </c>
      <c r="C10" s="98"/>
      <c r="D10" s="98"/>
      <c r="E10" s="99"/>
    </row>
    <row r="11" spans="1:5">
      <c r="A11" s="12" t="s">
        <v>3</v>
      </c>
      <c r="B11" s="57">
        <v>24</v>
      </c>
      <c r="C11" s="58"/>
      <c r="D11" s="58"/>
      <c r="E11" s="59"/>
    </row>
    <row r="12" spans="1:5">
      <c r="A12" s="12" t="s">
        <v>40</v>
      </c>
      <c r="B12" s="97">
        <f>B10*B8/(1-(1/((1+B8)^B11)))</f>
        <v>228.34015342604093</v>
      </c>
      <c r="C12" s="98"/>
      <c r="D12" s="98"/>
      <c r="E12" s="99"/>
    </row>
    <row r="13" spans="1:5">
      <c r="A13" s="12" t="s">
        <v>41</v>
      </c>
      <c r="B13" s="91">
        <v>0.02</v>
      </c>
      <c r="C13" s="92"/>
      <c r="D13" s="92"/>
      <c r="E13" s="93"/>
    </row>
    <row r="14" spans="1:5">
      <c r="A14" s="12" t="s">
        <v>42</v>
      </c>
      <c r="B14" s="94">
        <f>B13/12</f>
        <v>1.6666666666666668E-3</v>
      </c>
      <c r="C14" s="95"/>
      <c r="D14" s="95"/>
      <c r="E14" s="96"/>
    </row>
    <row r="15" spans="1:5">
      <c r="A15" s="12" t="s">
        <v>43</v>
      </c>
      <c r="B15" s="80">
        <v>5.0000000000000001E-3</v>
      </c>
      <c r="C15" s="81"/>
      <c r="D15" s="81"/>
      <c r="E15" s="82"/>
    </row>
    <row r="16" spans="1:5">
      <c r="A16" s="12" t="s">
        <v>44</v>
      </c>
      <c r="B16" s="91">
        <v>0.01</v>
      </c>
      <c r="C16" s="92"/>
      <c r="D16" s="92"/>
      <c r="E16" s="93"/>
    </row>
    <row r="17" spans="1:15">
      <c r="A17" s="12" t="s">
        <v>45</v>
      </c>
      <c r="B17" s="105">
        <f>1-B16-B15</f>
        <v>0.98499999999999999</v>
      </c>
      <c r="C17" s="106"/>
      <c r="D17" s="106"/>
      <c r="E17" s="107"/>
    </row>
    <row r="18" spans="1:15">
      <c r="A18" s="12" t="s">
        <v>46</v>
      </c>
      <c r="B18" s="102">
        <f>B6*B5</f>
        <v>5000000</v>
      </c>
      <c r="C18" s="103"/>
      <c r="D18" s="103"/>
      <c r="E18" s="104"/>
    </row>
    <row r="21" spans="1:15" ht="16.5" customHeight="1">
      <c r="A21" s="5" t="s">
        <v>49</v>
      </c>
      <c r="B21" s="5" t="s">
        <v>50</v>
      </c>
      <c r="C21" s="5" t="s">
        <v>51</v>
      </c>
      <c r="D21" s="5" t="s">
        <v>52</v>
      </c>
      <c r="E21" s="5" t="s">
        <v>53</v>
      </c>
      <c r="F21" s="5" t="s">
        <v>54</v>
      </c>
      <c r="G21" s="5" t="s">
        <v>55</v>
      </c>
      <c r="H21" s="5" t="s">
        <v>56</v>
      </c>
      <c r="I21" s="5" t="s">
        <v>57</v>
      </c>
      <c r="J21" s="5" t="s">
        <v>58</v>
      </c>
      <c r="K21" s="5" t="s">
        <v>59</v>
      </c>
      <c r="L21" s="5" t="s">
        <v>60</v>
      </c>
      <c r="M21" s="5" t="s">
        <v>61</v>
      </c>
      <c r="N21" s="5" t="s">
        <v>62</v>
      </c>
      <c r="O21" s="5" t="s">
        <v>63</v>
      </c>
    </row>
    <row r="22" spans="1:15">
      <c r="A22" s="6">
        <v>1</v>
      </c>
      <c r="B22" s="14">
        <f>$B$5</f>
        <v>1000</v>
      </c>
      <c r="C22" s="14">
        <f t="shared" ref="C22:C45" si="0">$B22*$B$15</f>
        <v>5</v>
      </c>
      <c r="D22" s="14">
        <f t="shared" ref="D22:D45" si="1">$B22*$B$16</f>
        <v>10</v>
      </c>
      <c r="E22" s="14">
        <f t="shared" ref="E22:E45" si="2">$B22-$C22-$D22</f>
        <v>985</v>
      </c>
      <c r="F22" s="7">
        <f>$B$10</f>
        <v>5100</v>
      </c>
      <c r="G22" s="7">
        <f t="shared" ref="G22:G45" si="3">$F22*$B$8</f>
        <v>29.75</v>
      </c>
      <c r="H22" s="7">
        <f t="shared" ref="H22:H45" si="4">$B$12-$G22</f>
        <v>198.59015342604093</v>
      </c>
      <c r="I22" s="7">
        <f>G22*(B22-C22)</f>
        <v>29601.25</v>
      </c>
      <c r="J22" s="7">
        <f t="shared" ref="J22:J45" si="5">$H22*($B22-$C22)</f>
        <v>197597.20265891071</v>
      </c>
      <c r="K22" s="7">
        <f>F22-H22</f>
        <v>4901.4098465739589</v>
      </c>
      <c r="L22" s="7">
        <f t="shared" ref="L22:L45" si="6">$D22*$K22</f>
        <v>49014.098465739589</v>
      </c>
      <c r="M22" s="7">
        <f t="shared" ref="M22:M45" si="7">$I22+$J22+$L22</f>
        <v>276212.55112465029</v>
      </c>
      <c r="N22" s="15">
        <f t="shared" ref="N22:N45" si="8">1/(1+$B$14)^A22</f>
        <v>0.99833610648918469</v>
      </c>
      <c r="O22" s="7">
        <f t="shared" ref="O22:O45" si="9">$M22*$N22</f>
        <v>275752.96285322827</v>
      </c>
    </row>
    <row r="23" spans="1:15">
      <c r="A23" s="6">
        <v>2</v>
      </c>
      <c r="B23" s="14">
        <f t="shared" ref="B23:B45" si="10">$E22</f>
        <v>985</v>
      </c>
      <c r="C23" s="14">
        <f t="shared" si="0"/>
        <v>4.9249999999999998</v>
      </c>
      <c r="D23" s="14">
        <f t="shared" si="1"/>
        <v>9.85</v>
      </c>
      <c r="E23" s="14">
        <f t="shared" si="2"/>
        <v>970.22500000000002</v>
      </c>
      <c r="F23" s="7">
        <f>K22</f>
        <v>4901.4098465739589</v>
      </c>
      <c r="G23" s="7">
        <f t="shared" si="3"/>
        <v>28.591557438348094</v>
      </c>
      <c r="H23" s="7">
        <f t="shared" si="4"/>
        <v>199.74859598769282</v>
      </c>
      <c r="I23" s="7">
        <f>G23*(B23-C23)</f>
        <v>28021.870656389008</v>
      </c>
      <c r="J23" s="7">
        <f t="shared" si="5"/>
        <v>195768.60521263807</v>
      </c>
      <c r="K23" s="7">
        <f>F23-H23</f>
        <v>4701.6612505862659</v>
      </c>
      <c r="L23" s="7">
        <f t="shared" si="6"/>
        <v>46311.363318274714</v>
      </c>
      <c r="M23" s="7">
        <f t="shared" si="7"/>
        <v>270101.83918730181</v>
      </c>
      <c r="N23" s="15">
        <f t="shared" si="8"/>
        <v>0.99667498151998457</v>
      </c>
      <c r="O23" s="7">
        <f t="shared" si="9"/>
        <v>269203.74558051786</v>
      </c>
    </row>
    <row r="24" spans="1:15">
      <c r="A24" s="6">
        <v>3</v>
      </c>
      <c r="B24" s="14">
        <f t="shared" si="10"/>
        <v>970.22500000000002</v>
      </c>
      <c r="C24" s="14">
        <f t="shared" si="0"/>
        <v>4.8511250000000006</v>
      </c>
      <c r="D24" s="14">
        <f t="shared" si="1"/>
        <v>9.7022500000000012</v>
      </c>
      <c r="E24" s="14">
        <f t="shared" si="2"/>
        <v>955.67162499999995</v>
      </c>
      <c r="F24" s="7">
        <f t="shared" ref="F24:F45" si="11">K23</f>
        <v>4701.6612505862659</v>
      </c>
      <c r="G24" s="7">
        <f t="shared" si="3"/>
        <v>27.426357295086554</v>
      </c>
      <c r="H24" s="7">
        <f t="shared" si="4"/>
        <v>200.91379613095438</v>
      </c>
      <c r="I24" s="7">
        <f t="shared" ref="I24:I45" si="12">G24*(B24-C24)</f>
        <v>26476.688819092225</v>
      </c>
      <c r="J24" s="7">
        <f t="shared" si="5"/>
        <v>193956.92991189944</v>
      </c>
      <c r="K24" s="7">
        <f t="shared" ref="K24:K45" si="13">F24-H24</f>
        <v>4500.7474544553115</v>
      </c>
      <c r="L24" s="7">
        <f t="shared" si="6"/>
        <v>43667.376989989054</v>
      </c>
      <c r="M24" s="7">
        <f t="shared" si="7"/>
        <v>264100.99572098075</v>
      </c>
      <c r="N24" s="15">
        <f t="shared" si="8"/>
        <v>0.9950166204858415</v>
      </c>
      <c r="O24" s="7">
        <f t="shared" si="9"/>
        <v>262784.88022923598</v>
      </c>
    </row>
    <row r="25" spans="1:15">
      <c r="A25" s="6">
        <v>4</v>
      </c>
      <c r="B25" s="14">
        <f t="shared" si="10"/>
        <v>955.67162499999995</v>
      </c>
      <c r="C25" s="14">
        <f t="shared" si="0"/>
        <v>4.7783581249999996</v>
      </c>
      <c r="D25" s="14">
        <f t="shared" si="1"/>
        <v>9.5567162499999991</v>
      </c>
      <c r="E25" s="14">
        <f t="shared" si="2"/>
        <v>941.33655062499997</v>
      </c>
      <c r="F25" s="7">
        <f t="shared" si="11"/>
        <v>4500.7474544553115</v>
      </c>
      <c r="G25" s="7">
        <f t="shared" si="3"/>
        <v>26.254360150989317</v>
      </c>
      <c r="H25" s="7">
        <f t="shared" si="4"/>
        <v>202.0857932750516</v>
      </c>
      <c r="I25" s="7">
        <f t="shared" si="12"/>
        <v>24965.094293687049</v>
      </c>
      <c r="J25" s="7">
        <f t="shared" si="5"/>
        <v>192162.02015633971</v>
      </c>
      <c r="K25" s="7">
        <f t="shared" si="13"/>
        <v>4298.6616611802601</v>
      </c>
      <c r="L25" s="7">
        <f t="shared" si="6"/>
        <v>41081.08975065338</v>
      </c>
      <c r="M25" s="7">
        <f t="shared" si="7"/>
        <v>258208.20420068013</v>
      </c>
      <c r="N25" s="15">
        <f t="shared" si="8"/>
        <v>0.99336101878786165</v>
      </c>
      <c r="O25" s="7">
        <f t="shared" si="9"/>
        <v>256493.96478417184</v>
      </c>
    </row>
    <row r="26" spans="1:15">
      <c r="A26" s="6">
        <v>5</v>
      </c>
      <c r="B26" s="14">
        <f t="shared" si="10"/>
        <v>941.33655062499997</v>
      </c>
      <c r="C26" s="14">
        <f t="shared" si="0"/>
        <v>4.7066827531250004</v>
      </c>
      <c r="D26" s="14">
        <f t="shared" si="1"/>
        <v>9.4133655062500008</v>
      </c>
      <c r="E26" s="14">
        <f t="shared" si="2"/>
        <v>927.21650236562493</v>
      </c>
      <c r="F26" s="7">
        <f t="shared" si="11"/>
        <v>4298.6616611802601</v>
      </c>
      <c r="G26" s="7">
        <f t="shared" si="3"/>
        <v>25.075526356884851</v>
      </c>
      <c r="H26" s="7">
        <f t="shared" si="4"/>
        <v>203.26462706915606</v>
      </c>
      <c r="I26" s="7">
        <f t="shared" si="12"/>
        <v>23486.486938466776</v>
      </c>
      <c r="J26" s="7">
        <f t="shared" si="5"/>
        <v>190383.72079480957</v>
      </c>
      <c r="K26" s="7">
        <f t="shared" si="13"/>
        <v>4095.3970341111039</v>
      </c>
      <c r="L26" s="7">
        <f t="shared" si="6"/>
        <v>38551.469175300022</v>
      </c>
      <c r="M26" s="7">
        <f t="shared" si="7"/>
        <v>252421.6769085764</v>
      </c>
      <c r="N26" s="15">
        <f t="shared" si="8"/>
        <v>0.99170817183480364</v>
      </c>
      <c r="O26" s="7">
        <f t="shared" si="9"/>
        <v>250328.63973847977</v>
      </c>
    </row>
    <row r="27" spans="1:15">
      <c r="A27" s="6">
        <v>6</v>
      </c>
      <c r="B27" s="14">
        <f t="shared" si="10"/>
        <v>927.21650236562493</v>
      </c>
      <c r="C27" s="14">
        <f t="shared" si="0"/>
        <v>4.6360825118281248</v>
      </c>
      <c r="D27" s="14">
        <f t="shared" si="1"/>
        <v>9.2721650236562496</v>
      </c>
      <c r="E27" s="14">
        <f t="shared" si="2"/>
        <v>913.30825483014053</v>
      </c>
      <c r="F27" s="7">
        <f t="shared" si="11"/>
        <v>4095.3970341111039</v>
      </c>
      <c r="G27" s="7">
        <f t="shared" si="3"/>
        <v>23.889816032314773</v>
      </c>
      <c r="H27" s="7">
        <f t="shared" si="4"/>
        <v>204.45033739372616</v>
      </c>
      <c r="I27" s="7">
        <f t="shared" si="12"/>
        <v>22040.27650532293</v>
      </c>
      <c r="J27" s="7">
        <f t="shared" si="5"/>
        <v>188621.87811195428</v>
      </c>
      <c r="K27" s="7">
        <f t="shared" si="13"/>
        <v>3890.9466967173776</v>
      </c>
      <c r="L27" s="7">
        <f t="shared" si="6"/>
        <v>36077.499870213687</v>
      </c>
      <c r="M27" s="7">
        <f t="shared" si="7"/>
        <v>246739.65448749089</v>
      </c>
      <c r="N27" s="15">
        <f t="shared" si="8"/>
        <v>0.9900580750430652</v>
      </c>
      <c r="O27" s="7">
        <f t="shared" si="9"/>
        <v>244286.58735867622</v>
      </c>
    </row>
    <row r="28" spans="1:15">
      <c r="A28" s="6">
        <v>7</v>
      </c>
      <c r="B28" s="14">
        <f t="shared" si="10"/>
        <v>913.30825483014053</v>
      </c>
      <c r="C28" s="14">
        <f t="shared" si="0"/>
        <v>4.566541274150703</v>
      </c>
      <c r="D28" s="14">
        <f t="shared" si="1"/>
        <v>9.133082548301406</v>
      </c>
      <c r="E28" s="14">
        <f t="shared" si="2"/>
        <v>899.60863100768836</v>
      </c>
      <c r="F28" s="7">
        <f t="shared" si="11"/>
        <v>3890.9466967173776</v>
      </c>
      <c r="G28" s="7">
        <f t="shared" si="3"/>
        <v>22.697189064184702</v>
      </c>
      <c r="H28" s="7">
        <f t="shared" si="4"/>
        <v>205.64296436185623</v>
      </c>
      <c r="I28" s="7">
        <f t="shared" si="12"/>
        <v>20625.882483091478</v>
      </c>
      <c r="J28" s="7">
        <f t="shared" si="5"/>
        <v>186876.33981492658</v>
      </c>
      <c r="K28" s="7">
        <f t="shared" si="13"/>
        <v>3685.3037323555213</v>
      </c>
      <c r="L28" s="7">
        <f t="shared" si="6"/>
        <v>33658.183203166249</v>
      </c>
      <c r="M28" s="7">
        <f t="shared" si="7"/>
        <v>241160.40550118429</v>
      </c>
      <c r="N28" s="15">
        <f t="shared" si="8"/>
        <v>0.98841072383667061</v>
      </c>
      <c r="O28" s="7">
        <f t="shared" si="9"/>
        <v>238365.53096217057</v>
      </c>
    </row>
    <row r="29" spans="1:15">
      <c r="A29" s="6">
        <v>8</v>
      </c>
      <c r="B29" s="14">
        <f t="shared" si="10"/>
        <v>899.60863100768836</v>
      </c>
      <c r="C29" s="14">
        <f t="shared" si="0"/>
        <v>4.4980431550384417</v>
      </c>
      <c r="D29" s="14">
        <f t="shared" si="1"/>
        <v>8.9960863100768833</v>
      </c>
      <c r="E29" s="14">
        <f t="shared" si="2"/>
        <v>886.11450154257307</v>
      </c>
      <c r="F29" s="7">
        <f t="shared" si="11"/>
        <v>3685.3037323555213</v>
      </c>
      <c r="G29" s="7">
        <f t="shared" si="3"/>
        <v>21.49760510540721</v>
      </c>
      <c r="H29" s="7">
        <f t="shared" si="4"/>
        <v>206.84254832063371</v>
      </c>
      <c r="I29" s="7">
        <f t="shared" si="12"/>
        <v>19242.733943325176</v>
      </c>
      <c r="J29" s="7">
        <f t="shared" si="5"/>
        <v>185146.95502022258</v>
      </c>
      <c r="K29" s="7">
        <f t="shared" si="13"/>
        <v>3478.4611840348875</v>
      </c>
      <c r="L29" s="7">
        <f t="shared" si="6"/>
        <v>31292.537037830079</v>
      </c>
      <c r="M29" s="7">
        <f t="shared" si="7"/>
        <v>235682.22600137783</v>
      </c>
      <c r="N29" s="15">
        <f t="shared" si="8"/>
        <v>0.9867661136472583</v>
      </c>
      <c r="O29" s="7">
        <f t="shared" si="9"/>
        <v>232563.23420711441</v>
      </c>
    </row>
    <row r="30" spans="1:15">
      <c r="A30" s="6">
        <v>9</v>
      </c>
      <c r="B30" s="14">
        <f t="shared" si="10"/>
        <v>886.11450154257307</v>
      </c>
      <c r="C30" s="14">
        <f t="shared" si="0"/>
        <v>4.4305725077128653</v>
      </c>
      <c r="D30" s="14">
        <f t="shared" si="1"/>
        <v>8.8611450154257305</v>
      </c>
      <c r="E30" s="14">
        <f t="shared" si="2"/>
        <v>872.82278401943449</v>
      </c>
      <c r="F30" s="7">
        <f t="shared" si="11"/>
        <v>3478.4611840348875</v>
      </c>
      <c r="G30" s="7">
        <f t="shared" si="3"/>
        <v>20.291023573536844</v>
      </c>
      <c r="H30" s="7">
        <f t="shared" si="4"/>
        <v>208.04912985250408</v>
      </c>
      <c r="I30" s="7">
        <f t="shared" si="12"/>
        <v>17890.269388454934</v>
      </c>
      <c r="J30" s="7">
        <f t="shared" si="5"/>
        <v>183433.5742406396</v>
      </c>
      <c r="K30" s="7">
        <f t="shared" si="13"/>
        <v>3270.4120541823836</v>
      </c>
      <c r="L30" s="7">
        <f t="shared" si="6"/>
        <v>28979.595472306453</v>
      </c>
      <c r="M30" s="7">
        <f t="shared" si="7"/>
        <v>230303.43910140099</v>
      </c>
      <c r="N30" s="15">
        <f t="shared" si="8"/>
        <v>0.98512423991406828</v>
      </c>
      <c r="O30" s="7">
        <f t="shared" si="9"/>
        <v>226877.50039436357</v>
      </c>
    </row>
    <row r="31" spans="1:15">
      <c r="A31" s="6">
        <v>10</v>
      </c>
      <c r="B31" s="14">
        <f t="shared" si="10"/>
        <v>872.82278401943449</v>
      </c>
      <c r="C31" s="14">
        <f t="shared" si="0"/>
        <v>4.3641139200971724</v>
      </c>
      <c r="D31" s="14">
        <f t="shared" si="1"/>
        <v>8.7282278401943447</v>
      </c>
      <c r="E31" s="14">
        <f t="shared" si="2"/>
        <v>859.73044225914293</v>
      </c>
      <c r="F31" s="7">
        <f t="shared" si="11"/>
        <v>3270.4120541823836</v>
      </c>
      <c r="G31" s="7">
        <f t="shared" si="3"/>
        <v>19.077403649397237</v>
      </c>
      <c r="H31" s="7">
        <f t="shared" si="4"/>
        <v>209.26274977664369</v>
      </c>
      <c r="I31" s="7">
        <f t="shared" si="12"/>
        <v>16567.936602303769</v>
      </c>
      <c r="J31" s="7">
        <f t="shared" si="5"/>
        <v>181736.04937235438</v>
      </c>
      <c r="K31" s="7">
        <f t="shared" si="13"/>
        <v>3061.1493044057397</v>
      </c>
      <c r="L31" s="7">
        <f t="shared" si="6"/>
        <v>26718.408581705731</v>
      </c>
      <c r="M31" s="7">
        <f t="shared" si="7"/>
        <v>225022.39455636387</v>
      </c>
      <c r="N31" s="15">
        <f t="shared" si="8"/>
        <v>0.98348509808392826</v>
      </c>
      <c r="O31" s="7">
        <f t="shared" si="9"/>
        <v>221306.17178134591</v>
      </c>
    </row>
    <row r="32" spans="1:15">
      <c r="A32" s="6">
        <v>11</v>
      </c>
      <c r="B32" s="14">
        <f t="shared" si="10"/>
        <v>859.73044225914293</v>
      </c>
      <c r="C32" s="14">
        <f t="shared" si="0"/>
        <v>4.2986522112957148</v>
      </c>
      <c r="D32" s="14">
        <f t="shared" si="1"/>
        <v>8.5973044225914297</v>
      </c>
      <c r="E32" s="14">
        <f t="shared" si="2"/>
        <v>846.83448562525587</v>
      </c>
      <c r="F32" s="7">
        <f t="shared" si="11"/>
        <v>3061.1493044057397</v>
      </c>
      <c r="G32" s="7">
        <f t="shared" si="3"/>
        <v>17.85670427570015</v>
      </c>
      <c r="H32" s="7">
        <f t="shared" si="4"/>
        <v>210.48344915034079</v>
      </c>
      <c r="I32" s="7">
        <f t="shared" si="12"/>
        <v>15275.192502917227</v>
      </c>
      <c r="J32" s="7">
        <f t="shared" si="5"/>
        <v>180054.23368212106</v>
      </c>
      <c r="K32" s="7">
        <f t="shared" si="13"/>
        <v>2850.665855255399</v>
      </c>
      <c r="L32" s="7">
        <f t="shared" si="6"/>
        <v>24508.042164717623</v>
      </c>
      <c r="M32" s="7">
        <f t="shared" si="7"/>
        <v>219837.46834975592</v>
      </c>
      <c r="N32" s="15">
        <f t="shared" si="8"/>
        <v>0.98184868361124289</v>
      </c>
      <c r="O32" s="7">
        <f t="shared" si="9"/>
        <v>215847.12890763613</v>
      </c>
    </row>
    <row r="33" spans="1:15">
      <c r="A33" s="6">
        <v>12</v>
      </c>
      <c r="B33" s="14">
        <f t="shared" si="10"/>
        <v>846.83448562525587</v>
      </c>
      <c r="C33" s="14">
        <f t="shared" si="0"/>
        <v>4.2341724281262794</v>
      </c>
      <c r="D33" s="14">
        <f t="shared" si="1"/>
        <v>8.4683448562525587</v>
      </c>
      <c r="E33" s="14">
        <f t="shared" si="2"/>
        <v>834.13196834087705</v>
      </c>
      <c r="F33" s="7">
        <f t="shared" si="11"/>
        <v>2850.665855255399</v>
      </c>
      <c r="G33" s="7">
        <f t="shared" si="3"/>
        <v>16.628884155656497</v>
      </c>
      <c r="H33" s="7">
        <f t="shared" si="4"/>
        <v>211.71126927038443</v>
      </c>
      <c r="I33" s="7">
        <f t="shared" si="12"/>
        <v>14011.50299767495</v>
      </c>
      <c r="J33" s="7">
        <f t="shared" si="5"/>
        <v>178387.98179458777</v>
      </c>
      <c r="K33" s="7">
        <f t="shared" si="13"/>
        <v>2638.9545859850145</v>
      </c>
      <c r="L33" s="7">
        <f t="shared" si="6"/>
        <v>22347.577494110297</v>
      </c>
      <c r="M33" s="7">
        <f t="shared" si="7"/>
        <v>214747.06228637302</v>
      </c>
      <c r="N33" s="15">
        <f t="shared" si="8"/>
        <v>0.98021499195797956</v>
      </c>
      <c r="O33" s="7">
        <f t="shared" si="9"/>
        <v>210498.28993203686</v>
      </c>
    </row>
    <row r="34" spans="1:15">
      <c r="A34" s="6">
        <v>13</v>
      </c>
      <c r="B34" s="14">
        <f t="shared" si="10"/>
        <v>834.13196834087705</v>
      </c>
      <c r="C34" s="14">
        <f t="shared" si="0"/>
        <v>4.170659841704385</v>
      </c>
      <c r="D34" s="14">
        <f t="shared" si="1"/>
        <v>8.3413196834087699</v>
      </c>
      <c r="E34" s="14">
        <f t="shared" si="2"/>
        <v>821.61998881576392</v>
      </c>
      <c r="F34" s="7">
        <f t="shared" si="11"/>
        <v>2638.9545859850145</v>
      </c>
      <c r="G34" s="7">
        <f t="shared" si="3"/>
        <v>15.393901751579252</v>
      </c>
      <c r="H34" s="7">
        <f t="shared" si="4"/>
        <v>212.94625167446168</v>
      </c>
      <c r="I34" s="7">
        <f t="shared" si="12"/>
        <v>12776.342840648422</v>
      </c>
      <c r="J34" s="7">
        <f t="shared" si="5"/>
        <v>176737.14967973036</v>
      </c>
      <c r="K34" s="7">
        <f t="shared" si="13"/>
        <v>2426.008334310553</v>
      </c>
      <c r="L34" s="7">
        <f t="shared" si="6"/>
        <v>20236.111071098338</v>
      </c>
      <c r="M34" s="7">
        <f t="shared" si="7"/>
        <v>209749.60359147712</v>
      </c>
      <c r="N34" s="15">
        <f t="shared" si="8"/>
        <v>0.97858401859365673</v>
      </c>
      <c r="O34" s="7">
        <f t="shared" si="9"/>
        <v>205257.60998097417</v>
      </c>
    </row>
    <row r="35" spans="1:15">
      <c r="A35" s="6">
        <v>14</v>
      </c>
      <c r="B35" s="14">
        <f t="shared" si="10"/>
        <v>821.61998881576392</v>
      </c>
      <c r="C35" s="14">
        <f t="shared" si="0"/>
        <v>4.1080999440788197</v>
      </c>
      <c r="D35" s="14">
        <f t="shared" si="1"/>
        <v>8.2161998881576395</v>
      </c>
      <c r="E35" s="14">
        <f t="shared" si="2"/>
        <v>809.29568898352738</v>
      </c>
      <c r="F35" s="7">
        <f t="shared" si="11"/>
        <v>2426.008334310553</v>
      </c>
      <c r="G35" s="7">
        <f t="shared" si="3"/>
        <v>14.151715283478227</v>
      </c>
      <c r="H35" s="7">
        <f t="shared" si="4"/>
        <v>214.18843814256269</v>
      </c>
      <c r="I35" s="7">
        <f t="shared" si="12"/>
        <v>11569.19549217058</v>
      </c>
      <c r="J35" s="7">
        <f t="shared" si="5"/>
        <v>175101.5946404025</v>
      </c>
      <c r="K35" s="7">
        <f t="shared" si="13"/>
        <v>2211.8198961679905</v>
      </c>
      <c r="L35" s="7">
        <f t="shared" si="6"/>
        <v>18172.754383520285</v>
      </c>
      <c r="M35" s="7">
        <f t="shared" si="7"/>
        <v>204843.54451609336</v>
      </c>
      <c r="N35" s="15">
        <f t="shared" si="8"/>
        <v>0.97695575899533094</v>
      </c>
      <c r="O35" s="7">
        <f t="shared" si="9"/>
        <v>200123.08050801384</v>
      </c>
    </row>
    <row r="36" spans="1:15">
      <c r="A36" s="6">
        <v>15</v>
      </c>
      <c r="B36" s="14">
        <f t="shared" si="10"/>
        <v>809.29568898352738</v>
      </c>
      <c r="C36" s="14">
        <f t="shared" si="0"/>
        <v>4.0464784449176374</v>
      </c>
      <c r="D36" s="14">
        <f t="shared" si="1"/>
        <v>8.0929568898352748</v>
      </c>
      <c r="E36" s="14">
        <f t="shared" si="2"/>
        <v>797.15625364877451</v>
      </c>
      <c r="F36" s="7">
        <f t="shared" si="11"/>
        <v>2211.8198961679905</v>
      </c>
      <c r="G36" s="7">
        <f t="shared" si="3"/>
        <v>12.902282727646611</v>
      </c>
      <c r="H36" s="7">
        <f t="shared" si="4"/>
        <v>215.43787069839431</v>
      </c>
      <c r="I36" s="7">
        <f t="shared" si="12"/>
        <v>10389.552980583374</v>
      </c>
      <c r="J36" s="7">
        <f t="shared" si="5"/>
        <v>173481.17530000111</v>
      </c>
      <c r="K36" s="7">
        <f t="shared" si="13"/>
        <v>1996.3820254695961</v>
      </c>
      <c r="L36" s="7">
        <f t="shared" si="6"/>
        <v>16156.633667767468</v>
      </c>
      <c r="M36" s="7">
        <f t="shared" si="7"/>
        <v>200027.36194835193</v>
      </c>
      <c r="N36" s="15">
        <f t="shared" si="8"/>
        <v>0.97533020864758502</v>
      </c>
      <c r="O36" s="7">
        <f t="shared" si="9"/>
        <v>195092.7286643121</v>
      </c>
    </row>
    <row r="37" spans="1:15">
      <c r="A37" s="6">
        <v>16</v>
      </c>
      <c r="B37" s="14">
        <f t="shared" si="10"/>
        <v>797.15625364877451</v>
      </c>
      <c r="C37" s="14">
        <f t="shared" si="0"/>
        <v>3.9857812682438727</v>
      </c>
      <c r="D37" s="14">
        <f t="shared" si="1"/>
        <v>7.9715625364877454</v>
      </c>
      <c r="E37" s="14">
        <f t="shared" si="2"/>
        <v>785.19890984404287</v>
      </c>
      <c r="F37" s="7">
        <f t="shared" si="11"/>
        <v>1996.3820254695961</v>
      </c>
      <c r="G37" s="7">
        <f t="shared" si="3"/>
        <v>11.645561815239311</v>
      </c>
      <c r="H37" s="7">
        <f t="shared" si="4"/>
        <v>216.69459161080161</v>
      </c>
      <c r="I37" s="7">
        <f t="shared" si="12"/>
        <v>9236.9157661300342</v>
      </c>
      <c r="J37" s="7">
        <f t="shared" si="5"/>
        <v>171875.75159024569</v>
      </c>
      <c r="K37" s="7">
        <f t="shared" si="13"/>
        <v>1779.6874338587945</v>
      </c>
      <c r="L37" s="7">
        <f t="shared" si="6"/>
        <v>14186.889674406779</v>
      </c>
      <c r="M37" s="7">
        <f t="shared" si="7"/>
        <v>195299.55703078251</v>
      </c>
      <c r="N37" s="15">
        <f t="shared" si="8"/>
        <v>0.97370736304251393</v>
      </c>
      <c r="O37" s="7">
        <f t="shared" si="9"/>
        <v>190164.61667981429</v>
      </c>
    </row>
    <row r="38" spans="1:15">
      <c r="A38" s="6">
        <v>17</v>
      </c>
      <c r="B38" s="14">
        <f t="shared" si="10"/>
        <v>785.19890984404287</v>
      </c>
      <c r="C38" s="14">
        <f t="shared" si="0"/>
        <v>3.9259945492202144</v>
      </c>
      <c r="D38" s="14">
        <f t="shared" si="1"/>
        <v>7.8519890984404288</v>
      </c>
      <c r="E38" s="14">
        <f t="shared" si="2"/>
        <v>773.4209261963822</v>
      </c>
      <c r="F38" s="7">
        <f t="shared" si="11"/>
        <v>1779.6874338587945</v>
      </c>
      <c r="G38" s="7">
        <f t="shared" si="3"/>
        <v>10.381510030842968</v>
      </c>
      <c r="H38" s="7">
        <f t="shared" si="4"/>
        <v>217.95864339519795</v>
      </c>
      <c r="I38" s="7">
        <f t="shared" si="12"/>
        <v>8110.7926069591294</v>
      </c>
      <c r="J38" s="7">
        <f t="shared" si="5"/>
        <v>170285.18473907094</v>
      </c>
      <c r="K38" s="7">
        <f t="shared" si="13"/>
        <v>1561.7287904635966</v>
      </c>
      <c r="L38" s="7">
        <f t="shared" si="6"/>
        <v>12262.677437440718</v>
      </c>
      <c r="M38" s="7">
        <f t="shared" si="7"/>
        <v>190658.65478347079</v>
      </c>
      <c r="N38" s="15">
        <f t="shared" si="8"/>
        <v>0.97208721767971451</v>
      </c>
      <c r="O38" s="7">
        <f t="shared" si="9"/>
        <v>185336.84125502131</v>
      </c>
    </row>
    <row r="39" spans="1:15">
      <c r="A39" s="6">
        <v>18</v>
      </c>
      <c r="B39" s="14">
        <f t="shared" si="10"/>
        <v>773.4209261963822</v>
      </c>
      <c r="C39" s="14">
        <f t="shared" si="0"/>
        <v>3.867104630981911</v>
      </c>
      <c r="D39" s="14">
        <f t="shared" si="1"/>
        <v>7.7342092619638221</v>
      </c>
      <c r="E39" s="14">
        <f t="shared" si="2"/>
        <v>761.81961230343654</v>
      </c>
      <c r="F39" s="7">
        <f t="shared" si="11"/>
        <v>1561.7287904635966</v>
      </c>
      <c r="G39" s="7">
        <f t="shared" si="3"/>
        <v>9.1100846110376477</v>
      </c>
      <c r="H39" s="7">
        <f t="shared" si="4"/>
        <v>219.23006881500328</v>
      </c>
      <c r="I39" s="7">
        <f t="shared" si="12"/>
        <v>7010.7004272081649</v>
      </c>
      <c r="J39" s="7">
        <f t="shared" si="5"/>
        <v>168709.33725863145</v>
      </c>
      <c r="K39" s="7">
        <f t="shared" si="13"/>
        <v>1342.4987216485933</v>
      </c>
      <c r="L39" s="7">
        <f t="shared" si="6"/>
        <v>10383.166047149141</v>
      </c>
      <c r="M39" s="7">
        <f t="shared" si="7"/>
        <v>186103.20373298874</v>
      </c>
      <c r="N39" s="15">
        <f t="shared" si="8"/>
        <v>0.97046976806627061</v>
      </c>
      <c r="O39" s="7">
        <f t="shared" si="9"/>
        <v>180607.53296314349</v>
      </c>
    </row>
    <row r="40" spans="1:15">
      <c r="A40" s="6">
        <v>19</v>
      </c>
      <c r="B40" s="14">
        <f t="shared" si="10"/>
        <v>761.81961230343654</v>
      </c>
      <c r="C40" s="14">
        <f t="shared" si="0"/>
        <v>3.809098061517183</v>
      </c>
      <c r="D40" s="14">
        <f t="shared" si="1"/>
        <v>7.618196123034366</v>
      </c>
      <c r="E40" s="14">
        <f t="shared" si="2"/>
        <v>750.39231811888499</v>
      </c>
      <c r="F40" s="7">
        <f t="shared" si="11"/>
        <v>1342.4987216485933</v>
      </c>
      <c r="G40" s="7">
        <f t="shared" si="3"/>
        <v>7.831242542950128</v>
      </c>
      <c r="H40" s="7">
        <f t="shared" si="4"/>
        <v>220.50891088309081</v>
      </c>
      <c r="I40" s="7">
        <f t="shared" si="12"/>
        <v>5936.1641871348229</v>
      </c>
      <c r="J40" s="7">
        <f t="shared" si="5"/>
        <v>167148.07293341725</v>
      </c>
      <c r="K40" s="7">
        <f t="shared" si="13"/>
        <v>1121.9898107655026</v>
      </c>
      <c r="L40" s="7">
        <f t="shared" si="6"/>
        <v>8547.5384264578133</v>
      </c>
      <c r="M40" s="7">
        <f t="shared" si="7"/>
        <v>181631.77554700989</v>
      </c>
      <c r="N40" s="15">
        <f t="shared" si="8"/>
        <v>0.96885500971674254</v>
      </c>
      <c r="O40" s="7">
        <f t="shared" si="9"/>
        <v>175974.85566246748</v>
      </c>
    </row>
    <row r="41" spans="1:15">
      <c r="A41" s="6">
        <v>20</v>
      </c>
      <c r="B41" s="14">
        <f t="shared" si="10"/>
        <v>750.39231811888499</v>
      </c>
      <c r="C41" s="14">
        <f t="shared" si="0"/>
        <v>3.751961590594425</v>
      </c>
      <c r="D41" s="14">
        <f t="shared" si="1"/>
        <v>7.50392318118885</v>
      </c>
      <c r="E41" s="14">
        <f t="shared" si="2"/>
        <v>739.13643334710173</v>
      </c>
      <c r="F41" s="7">
        <f t="shared" si="11"/>
        <v>1121.9898107655026</v>
      </c>
      <c r="G41" s="7">
        <f t="shared" si="3"/>
        <v>6.5449405627987653</v>
      </c>
      <c r="H41" s="7">
        <f t="shared" si="4"/>
        <v>221.79521286324217</v>
      </c>
      <c r="I41" s="7">
        <f t="shared" si="12"/>
        <v>4886.7167552645406</v>
      </c>
      <c r="J41" s="7">
        <f t="shared" si="5"/>
        <v>165601.25680847923</v>
      </c>
      <c r="K41" s="7">
        <f t="shared" si="13"/>
        <v>900.19459790226051</v>
      </c>
      <c r="L41" s="7">
        <f t="shared" si="6"/>
        <v>6754.9911107797489</v>
      </c>
      <c r="M41" s="7">
        <f t="shared" si="7"/>
        <v>177242.96467452351</v>
      </c>
      <c r="N41" s="15">
        <f t="shared" si="8"/>
        <v>0.96724293815315399</v>
      </c>
      <c r="O41" s="7">
        <f t="shared" si="9"/>
        <v>171437.0059187618</v>
      </c>
    </row>
    <row r="42" spans="1:15">
      <c r="A42" s="6">
        <v>21</v>
      </c>
      <c r="B42" s="14">
        <f t="shared" si="10"/>
        <v>739.13643334710173</v>
      </c>
      <c r="C42" s="14">
        <f t="shared" si="0"/>
        <v>3.6956821667355086</v>
      </c>
      <c r="D42" s="14">
        <f t="shared" si="1"/>
        <v>7.3913643334710173</v>
      </c>
      <c r="E42" s="14">
        <f t="shared" si="2"/>
        <v>728.04938684689523</v>
      </c>
      <c r="F42" s="7">
        <f t="shared" si="11"/>
        <v>900.19459790226051</v>
      </c>
      <c r="G42" s="7">
        <f t="shared" si="3"/>
        <v>5.2511351544298535</v>
      </c>
      <c r="H42" s="7">
        <f t="shared" si="4"/>
        <v>223.08901827161108</v>
      </c>
      <c r="I42" s="7">
        <f t="shared" si="12"/>
        <v>3861.8987825235195</v>
      </c>
      <c r="J42" s="7">
        <f t="shared" si="5"/>
        <v>164068.75517776411</v>
      </c>
      <c r="K42" s="7">
        <f t="shared" si="13"/>
        <v>677.10557963064946</v>
      </c>
      <c r="L42" s="7">
        <f t="shared" si="6"/>
        <v>5004.7340312762026</v>
      </c>
      <c r="M42" s="7">
        <f t="shared" si="7"/>
        <v>172935.38799156382</v>
      </c>
      <c r="N42" s="15">
        <f t="shared" si="8"/>
        <v>0.96563354890497888</v>
      </c>
      <c r="O42" s="7">
        <f t="shared" si="9"/>
        <v>166992.21243755324</v>
      </c>
    </row>
    <row r="43" spans="1:15">
      <c r="A43" s="6">
        <v>22</v>
      </c>
      <c r="B43" s="14">
        <f t="shared" si="10"/>
        <v>728.04938684689523</v>
      </c>
      <c r="C43" s="14">
        <f t="shared" si="0"/>
        <v>3.6402469342344763</v>
      </c>
      <c r="D43" s="14">
        <f t="shared" si="1"/>
        <v>7.2804938684689526</v>
      </c>
      <c r="E43" s="14">
        <f t="shared" si="2"/>
        <v>717.12864604419178</v>
      </c>
      <c r="F43" s="7">
        <f t="shared" si="11"/>
        <v>677.10557963064946</v>
      </c>
      <c r="G43" s="7">
        <f t="shared" si="3"/>
        <v>3.9497825478454556</v>
      </c>
      <c r="H43" s="7">
        <f t="shared" si="4"/>
        <v>224.39037087819548</v>
      </c>
      <c r="I43" s="7">
        <f t="shared" si="12"/>
        <v>2861.2585783267641</v>
      </c>
      <c r="J43" s="7">
        <f t="shared" si="5"/>
        <v>162550.43557255654</v>
      </c>
      <c r="K43" s="7">
        <f t="shared" si="13"/>
        <v>452.71520875245398</v>
      </c>
      <c r="L43" s="7">
        <f t="shared" si="6"/>
        <v>3295.9903014848833</v>
      </c>
      <c r="M43" s="7">
        <f t="shared" si="7"/>
        <v>168707.68445236818</v>
      </c>
      <c r="N43" s="15">
        <f t="shared" si="8"/>
        <v>0.96402683750913043</v>
      </c>
      <c r="O43" s="7">
        <f t="shared" si="9"/>
        <v>162638.7355061048</v>
      </c>
    </row>
    <row r="44" spans="1:15">
      <c r="A44" s="6">
        <v>23</v>
      </c>
      <c r="B44" s="14">
        <f t="shared" si="10"/>
        <v>717.12864604419178</v>
      </c>
      <c r="C44" s="14">
        <f t="shared" si="0"/>
        <v>3.5856432302209589</v>
      </c>
      <c r="D44" s="14">
        <f t="shared" si="1"/>
        <v>7.1712864604419178</v>
      </c>
      <c r="E44" s="14">
        <f t="shared" si="2"/>
        <v>706.37171635352888</v>
      </c>
      <c r="F44" s="7">
        <f t="shared" si="11"/>
        <v>452.71520875245398</v>
      </c>
      <c r="G44" s="7">
        <f t="shared" si="3"/>
        <v>2.6408387177226484</v>
      </c>
      <c r="H44" s="7">
        <f t="shared" si="4"/>
        <v>225.69931470831827</v>
      </c>
      <c r="I44" s="7">
        <f t="shared" si="12"/>
        <v>1884.3519885912149</v>
      </c>
      <c r="J44" s="7">
        <f t="shared" si="5"/>
        <v>161046.16675002882</v>
      </c>
      <c r="K44" s="7">
        <f t="shared" si="13"/>
        <v>227.01589404413571</v>
      </c>
      <c r="L44" s="7">
        <f t="shared" si="6"/>
        <v>1627.9960072638273</v>
      </c>
      <c r="M44" s="7">
        <f t="shared" si="7"/>
        <v>164558.51474588388</v>
      </c>
      <c r="N44" s="15">
        <f t="shared" si="8"/>
        <v>0.96242279950994702</v>
      </c>
      <c r="O44" s="7">
        <f t="shared" si="9"/>
        <v>158374.86644493247</v>
      </c>
    </row>
    <row r="45" spans="1:15">
      <c r="A45" s="6">
        <v>24</v>
      </c>
      <c r="B45" s="14">
        <f t="shared" si="10"/>
        <v>706.37171635352888</v>
      </c>
      <c r="C45" s="14">
        <f t="shared" si="0"/>
        <v>3.5318585817676444</v>
      </c>
      <c r="D45" s="14">
        <f t="shared" si="1"/>
        <v>7.0637171635352889</v>
      </c>
      <c r="E45" s="14">
        <f t="shared" si="2"/>
        <v>695.77614060822589</v>
      </c>
      <c r="F45" s="7">
        <f t="shared" si="11"/>
        <v>227.01589404413571</v>
      </c>
      <c r="G45" s="7">
        <f t="shared" si="3"/>
        <v>1.3242593819241251</v>
      </c>
      <c r="H45" s="7">
        <f t="shared" si="4"/>
        <v>227.01589404411681</v>
      </c>
      <c r="I45" s="7">
        <f t="shared" si="12"/>
        <v>930.74227564447244</v>
      </c>
      <c r="J45" s="7">
        <f t="shared" si="5"/>
        <v>159555.81868189626</v>
      </c>
      <c r="K45" s="7">
        <f t="shared" si="13"/>
        <v>1.8900436771218665E-11</v>
      </c>
      <c r="L45" s="7">
        <f t="shared" si="6"/>
        <v>1.3350733961917078E-10</v>
      </c>
      <c r="M45" s="7">
        <f t="shared" si="7"/>
        <v>160486.56095754087</v>
      </c>
      <c r="N45" s="15">
        <f t="shared" si="8"/>
        <v>0.96082143045918145</v>
      </c>
      <c r="O45" s="7">
        <f t="shared" si="9"/>
        <v>154198.92706869903</v>
      </c>
    </row>
    <row r="46" spans="1:15">
      <c r="A46" s="8" t="s">
        <v>20</v>
      </c>
      <c r="C46" s="16">
        <f>SUM($C$22:$C$45)</f>
        <v>101.40795313059135</v>
      </c>
      <c r="D46" s="16">
        <f>SUM($D$22:$D$45)</f>
        <v>202.8159062611827</v>
      </c>
      <c r="I46" s="9">
        <f>SUM(I22:I45)</f>
        <v>337659.81781191059</v>
      </c>
      <c r="J46" s="9">
        <f>SUM(J22:J45)</f>
        <v>4270286.1899036281</v>
      </c>
      <c r="L46" s="9">
        <f>SUM(L22:L45)</f>
        <v>538836.72368265223</v>
      </c>
      <c r="M46" s="9">
        <f>SUM(M22:M45)</f>
        <v>5146782.7313981894</v>
      </c>
      <c r="O46" s="9">
        <f>SUM(O22:O45)</f>
        <v>5050507.6498187762</v>
      </c>
    </row>
    <row r="48" spans="1:15">
      <c r="A48" s="17" t="s">
        <v>96</v>
      </c>
    </row>
    <row r="49" spans="1:15">
      <c r="A49" s="5" t="s">
        <v>49</v>
      </c>
      <c r="B49" s="5" t="s">
        <v>50</v>
      </c>
      <c r="C49" s="5" t="s">
        <v>51</v>
      </c>
      <c r="D49" s="5" t="s">
        <v>52</v>
      </c>
      <c r="E49" s="5" t="s">
        <v>53</v>
      </c>
      <c r="F49" s="5" t="s">
        <v>54</v>
      </c>
      <c r="G49" s="5" t="s">
        <v>55</v>
      </c>
      <c r="H49" s="5" t="s">
        <v>56</v>
      </c>
      <c r="I49" s="5" t="s">
        <v>57</v>
      </c>
      <c r="J49" s="5" t="s">
        <v>58</v>
      </c>
      <c r="K49" s="5" t="s">
        <v>59</v>
      </c>
      <c r="L49" s="5" t="s">
        <v>60</v>
      </c>
      <c r="M49" s="5" t="s">
        <v>61</v>
      </c>
      <c r="N49" s="5" t="s">
        <v>62</v>
      </c>
      <c r="O49" s="5" t="s">
        <v>63</v>
      </c>
    </row>
    <row r="50" spans="1:15">
      <c r="A50" s="6">
        <v>1</v>
      </c>
      <c r="B50" s="14">
        <f>$B$5</f>
        <v>1000</v>
      </c>
      <c r="C50" s="14">
        <f t="shared" ref="C50:C73" si="14">ROUND($B50*$B$15,0)</f>
        <v>5</v>
      </c>
      <c r="D50" s="14">
        <f t="shared" ref="D50:D73" si="15">ROUND($B50*$B$16,0)</f>
        <v>10</v>
      </c>
      <c r="E50" s="14">
        <f t="shared" ref="E50:E73" si="16">$B50-$C50-$D50</f>
        <v>985</v>
      </c>
      <c r="F50" s="7">
        <f>$B$10</f>
        <v>5100</v>
      </c>
      <c r="G50" s="7">
        <f t="shared" ref="G50:G73" si="17">$F50*$B$8</f>
        <v>29.75</v>
      </c>
      <c r="H50" s="7">
        <f t="shared" ref="H50:H73" si="18">$B$12-$G50</f>
        <v>198.59015342604093</v>
      </c>
      <c r="I50" s="7">
        <f>G50*(B50-C50)</f>
        <v>29601.25</v>
      </c>
      <c r="J50" s="7">
        <f t="shared" ref="J50:J73" si="19">$H50*($B50-$C50)</f>
        <v>197597.20265891071</v>
      </c>
      <c r="K50" s="7">
        <f>F50-H50</f>
        <v>4901.4098465739589</v>
      </c>
      <c r="L50" s="7">
        <f t="shared" ref="L50:L73" si="20">$D50*$K50</f>
        <v>49014.098465739589</v>
      </c>
      <c r="M50" s="7">
        <f t="shared" ref="M50:M73" si="21">$I50+$J50+$L50</f>
        <v>276212.55112465029</v>
      </c>
      <c r="N50" s="15">
        <f t="shared" ref="N50:N73" si="22">1/(1+$B$14)^A50</f>
        <v>0.99833610648918469</v>
      </c>
      <c r="O50" s="7">
        <f t="shared" ref="O50:O73" si="23">$M50*$N50</f>
        <v>275752.96285322827</v>
      </c>
    </row>
    <row r="51" spans="1:15">
      <c r="A51" s="6">
        <v>2</v>
      </c>
      <c r="B51" s="14">
        <f t="shared" ref="B51:B73" si="24">$E50</f>
        <v>985</v>
      </c>
      <c r="C51" s="14">
        <f t="shared" si="14"/>
        <v>5</v>
      </c>
      <c r="D51" s="14">
        <f t="shared" si="15"/>
        <v>10</v>
      </c>
      <c r="E51" s="14">
        <f t="shared" si="16"/>
        <v>970</v>
      </c>
      <c r="F51" s="7">
        <f>K50</f>
        <v>4901.4098465739589</v>
      </c>
      <c r="G51" s="7">
        <f t="shared" si="17"/>
        <v>28.591557438348094</v>
      </c>
      <c r="H51" s="7">
        <f t="shared" si="18"/>
        <v>199.74859598769282</v>
      </c>
      <c r="I51" s="7">
        <f>G51*(B51-C51)</f>
        <v>28019.726289581133</v>
      </c>
      <c r="J51" s="7">
        <f t="shared" si="19"/>
        <v>195753.62406793897</v>
      </c>
      <c r="K51" s="7">
        <f>F51-H51</f>
        <v>4701.6612505862659</v>
      </c>
      <c r="L51" s="7">
        <f t="shared" si="20"/>
        <v>47016.612505862657</v>
      </c>
      <c r="M51" s="7">
        <f t="shared" si="21"/>
        <v>270789.96286338277</v>
      </c>
      <c r="N51" s="15">
        <f t="shared" si="22"/>
        <v>0.99667498151998457</v>
      </c>
      <c r="O51" s="7">
        <f t="shared" si="23"/>
        <v>269889.58123265934</v>
      </c>
    </row>
    <row r="52" spans="1:15">
      <c r="A52" s="6">
        <v>3</v>
      </c>
      <c r="B52" s="14">
        <f t="shared" si="24"/>
        <v>970</v>
      </c>
      <c r="C52" s="14">
        <f t="shared" si="14"/>
        <v>5</v>
      </c>
      <c r="D52" s="14">
        <f t="shared" si="15"/>
        <v>10</v>
      </c>
      <c r="E52" s="14">
        <f t="shared" si="16"/>
        <v>955</v>
      </c>
      <c r="F52" s="7">
        <f t="shared" ref="F52:F73" si="25">K51</f>
        <v>4701.6612505862659</v>
      </c>
      <c r="G52" s="7">
        <f t="shared" si="17"/>
        <v>27.426357295086554</v>
      </c>
      <c r="H52" s="7">
        <f t="shared" si="18"/>
        <v>200.91379613095438</v>
      </c>
      <c r="I52" s="7">
        <f t="shared" ref="I52:I73" si="26">G52*(B52-C52)</f>
        <v>26466.434789758525</v>
      </c>
      <c r="J52" s="7">
        <f t="shared" si="19"/>
        <v>193881.81326637097</v>
      </c>
      <c r="K52" s="7">
        <f t="shared" ref="K52:K73" si="27">F52-H52</f>
        <v>4500.7474544553115</v>
      </c>
      <c r="L52" s="7">
        <f t="shared" si="20"/>
        <v>45007.474544553115</v>
      </c>
      <c r="M52" s="7">
        <f t="shared" si="21"/>
        <v>265355.72260068264</v>
      </c>
      <c r="N52" s="15">
        <f t="shared" si="22"/>
        <v>0.9950166204858415</v>
      </c>
      <c r="O52" s="7">
        <f t="shared" si="23"/>
        <v>264033.35432870965</v>
      </c>
    </row>
    <row r="53" spans="1:15">
      <c r="A53" s="6">
        <v>4</v>
      </c>
      <c r="B53" s="14">
        <f t="shared" si="24"/>
        <v>955</v>
      </c>
      <c r="C53" s="14">
        <f t="shared" si="14"/>
        <v>5</v>
      </c>
      <c r="D53" s="14">
        <f t="shared" si="15"/>
        <v>10</v>
      </c>
      <c r="E53" s="14">
        <f t="shared" si="16"/>
        <v>940</v>
      </c>
      <c r="F53" s="7">
        <f t="shared" si="25"/>
        <v>4500.7474544553115</v>
      </c>
      <c r="G53" s="7">
        <f t="shared" si="17"/>
        <v>26.254360150989317</v>
      </c>
      <c r="H53" s="7">
        <f t="shared" si="18"/>
        <v>202.0857932750516</v>
      </c>
      <c r="I53" s="7">
        <f t="shared" si="26"/>
        <v>24941.642143439851</v>
      </c>
      <c r="J53" s="7">
        <f t="shared" si="19"/>
        <v>191981.50361129901</v>
      </c>
      <c r="K53" s="7">
        <f t="shared" si="27"/>
        <v>4298.6616611802601</v>
      </c>
      <c r="L53" s="7">
        <f t="shared" si="20"/>
        <v>42986.616611802601</v>
      </c>
      <c r="M53" s="7">
        <f t="shared" si="21"/>
        <v>259909.76236654146</v>
      </c>
      <c r="N53" s="15">
        <f t="shared" si="22"/>
        <v>0.99336101878786165</v>
      </c>
      <c r="O53" s="7">
        <f t="shared" si="23"/>
        <v>258184.22633733865</v>
      </c>
    </row>
    <row r="54" spans="1:15">
      <c r="A54" s="6">
        <v>5</v>
      </c>
      <c r="B54" s="14">
        <f t="shared" si="24"/>
        <v>940</v>
      </c>
      <c r="C54" s="14">
        <f t="shared" si="14"/>
        <v>5</v>
      </c>
      <c r="D54" s="14">
        <f t="shared" si="15"/>
        <v>9</v>
      </c>
      <c r="E54" s="14">
        <f t="shared" si="16"/>
        <v>926</v>
      </c>
      <c r="F54" s="7">
        <f t="shared" si="25"/>
        <v>4298.6616611802601</v>
      </c>
      <c r="G54" s="7">
        <f t="shared" si="17"/>
        <v>25.075526356884851</v>
      </c>
      <c r="H54" s="7">
        <f t="shared" si="18"/>
        <v>203.26462706915606</v>
      </c>
      <c r="I54" s="7">
        <f t="shared" si="26"/>
        <v>23445.617143687334</v>
      </c>
      <c r="J54" s="7">
        <f t="shared" si="19"/>
        <v>190052.42630966092</v>
      </c>
      <c r="K54" s="7">
        <f t="shared" si="27"/>
        <v>4095.3970341111039</v>
      </c>
      <c r="L54" s="7">
        <f t="shared" si="20"/>
        <v>36858.573306999933</v>
      </c>
      <c r="M54" s="7">
        <f t="shared" si="21"/>
        <v>250356.61676034817</v>
      </c>
      <c r="N54" s="15">
        <f t="shared" si="22"/>
        <v>0.99170817183480364</v>
      </c>
      <c r="O54" s="7">
        <f t="shared" si="23"/>
        <v>248280.70271415144</v>
      </c>
    </row>
    <row r="55" spans="1:15">
      <c r="A55" s="6">
        <v>6</v>
      </c>
      <c r="B55" s="14">
        <f t="shared" si="24"/>
        <v>926</v>
      </c>
      <c r="C55" s="14">
        <f t="shared" si="14"/>
        <v>5</v>
      </c>
      <c r="D55" s="14">
        <f t="shared" si="15"/>
        <v>9</v>
      </c>
      <c r="E55" s="14">
        <f t="shared" si="16"/>
        <v>912</v>
      </c>
      <c r="F55" s="7">
        <f t="shared" si="25"/>
        <v>4095.3970341111039</v>
      </c>
      <c r="G55" s="7">
        <f t="shared" si="17"/>
        <v>23.889816032314773</v>
      </c>
      <c r="H55" s="7">
        <f t="shared" si="18"/>
        <v>204.45033739372616</v>
      </c>
      <c r="I55" s="7">
        <f t="shared" si="26"/>
        <v>22002.520565761904</v>
      </c>
      <c r="J55" s="7">
        <f t="shared" si="19"/>
        <v>188298.76073962179</v>
      </c>
      <c r="K55" s="7">
        <f t="shared" si="27"/>
        <v>3890.9466967173776</v>
      </c>
      <c r="L55" s="7">
        <f t="shared" si="20"/>
        <v>35018.5202704564</v>
      </c>
      <c r="M55" s="7">
        <f t="shared" si="21"/>
        <v>245319.8015758401</v>
      </c>
      <c r="N55" s="15">
        <f t="shared" si="22"/>
        <v>0.9900580750430652</v>
      </c>
      <c r="O55" s="7">
        <f t="shared" si="23"/>
        <v>242880.85051812296</v>
      </c>
    </row>
    <row r="56" spans="1:15">
      <c r="A56" s="6">
        <v>7</v>
      </c>
      <c r="B56" s="14">
        <f t="shared" si="24"/>
        <v>912</v>
      </c>
      <c r="C56" s="14">
        <f t="shared" si="14"/>
        <v>5</v>
      </c>
      <c r="D56" s="14">
        <f t="shared" si="15"/>
        <v>9</v>
      </c>
      <c r="E56" s="14">
        <f t="shared" si="16"/>
        <v>898</v>
      </c>
      <c r="F56" s="7">
        <f t="shared" si="25"/>
        <v>3890.9466967173776</v>
      </c>
      <c r="G56" s="7">
        <f t="shared" si="17"/>
        <v>22.697189064184702</v>
      </c>
      <c r="H56" s="7">
        <f t="shared" si="18"/>
        <v>205.64296436185623</v>
      </c>
      <c r="I56" s="7">
        <f t="shared" si="26"/>
        <v>20586.350481215526</v>
      </c>
      <c r="J56" s="7">
        <f t="shared" si="19"/>
        <v>186518.16867620361</v>
      </c>
      <c r="K56" s="7">
        <f t="shared" si="27"/>
        <v>3685.3037323555213</v>
      </c>
      <c r="L56" s="7">
        <f t="shared" si="20"/>
        <v>33167.733591199692</v>
      </c>
      <c r="M56" s="7">
        <f t="shared" si="21"/>
        <v>240272.25274861883</v>
      </c>
      <c r="N56" s="15">
        <f t="shared" si="22"/>
        <v>0.98841072383667061</v>
      </c>
      <c r="O56" s="7">
        <f t="shared" si="23"/>
        <v>237487.67125712981</v>
      </c>
    </row>
    <row r="57" spans="1:15">
      <c r="A57" s="6">
        <v>8</v>
      </c>
      <c r="B57" s="14">
        <f t="shared" si="24"/>
        <v>898</v>
      </c>
      <c r="C57" s="14">
        <f t="shared" si="14"/>
        <v>4</v>
      </c>
      <c r="D57" s="14">
        <f t="shared" si="15"/>
        <v>9</v>
      </c>
      <c r="E57" s="14">
        <f t="shared" si="16"/>
        <v>885</v>
      </c>
      <c r="F57" s="7">
        <f t="shared" si="25"/>
        <v>3685.3037323555213</v>
      </c>
      <c r="G57" s="7">
        <f t="shared" si="17"/>
        <v>21.49760510540721</v>
      </c>
      <c r="H57" s="7">
        <f t="shared" si="18"/>
        <v>206.84254832063371</v>
      </c>
      <c r="I57" s="7">
        <f t="shared" si="26"/>
        <v>19218.858964234045</v>
      </c>
      <c r="J57" s="7">
        <f t="shared" si="19"/>
        <v>184917.23819864655</v>
      </c>
      <c r="K57" s="7">
        <f t="shared" si="27"/>
        <v>3478.4611840348875</v>
      </c>
      <c r="L57" s="7">
        <f t="shared" si="20"/>
        <v>31306.150656313988</v>
      </c>
      <c r="M57" s="7">
        <f t="shared" si="21"/>
        <v>235442.24781919457</v>
      </c>
      <c r="N57" s="15">
        <f t="shared" si="22"/>
        <v>0.9867661136472583</v>
      </c>
      <c r="O57" s="7">
        <f t="shared" si="23"/>
        <v>232326.4318689213</v>
      </c>
    </row>
    <row r="58" spans="1:15">
      <c r="A58" s="6">
        <v>9</v>
      </c>
      <c r="B58" s="14">
        <f t="shared" si="24"/>
        <v>885</v>
      </c>
      <c r="C58" s="14">
        <f t="shared" si="14"/>
        <v>4</v>
      </c>
      <c r="D58" s="14">
        <f t="shared" si="15"/>
        <v>9</v>
      </c>
      <c r="E58" s="14">
        <f t="shared" si="16"/>
        <v>872</v>
      </c>
      <c r="F58" s="7">
        <f t="shared" si="25"/>
        <v>3478.4611840348875</v>
      </c>
      <c r="G58" s="7">
        <f t="shared" si="17"/>
        <v>20.291023573536844</v>
      </c>
      <c r="H58" s="7">
        <f t="shared" si="18"/>
        <v>208.04912985250408</v>
      </c>
      <c r="I58" s="7">
        <f t="shared" si="26"/>
        <v>17876.391768285961</v>
      </c>
      <c r="J58" s="7">
        <f t="shared" si="19"/>
        <v>183291.2834000561</v>
      </c>
      <c r="K58" s="7">
        <f t="shared" si="27"/>
        <v>3270.4120541823836</v>
      </c>
      <c r="L58" s="7">
        <f t="shared" si="20"/>
        <v>29433.708487641452</v>
      </c>
      <c r="M58" s="7">
        <f t="shared" si="21"/>
        <v>230601.38365598352</v>
      </c>
      <c r="N58" s="15">
        <f t="shared" si="22"/>
        <v>0.98512423991406828</v>
      </c>
      <c r="O58" s="7">
        <f t="shared" si="23"/>
        <v>227171.01279723321</v>
      </c>
    </row>
    <row r="59" spans="1:15">
      <c r="A59" s="6">
        <v>10</v>
      </c>
      <c r="B59" s="14">
        <f t="shared" si="24"/>
        <v>872</v>
      </c>
      <c r="C59" s="14">
        <f t="shared" si="14"/>
        <v>4</v>
      </c>
      <c r="D59" s="14">
        <f t="shared" si="15"/>
        <v>9</v>
      </c>
      <c r="E59" s="14">
        <f t="shared" si="16"/>
        <v>859</v>
      </c>
      <c r="F59" s="7">
        <f t="shared" si="25"/>
        <v>3270.4120541823836</v>
      </c>
      <c r="G59" s="7">
        <f t="shared" si="17"/>
        <v>19.077403649397237</v>
      </c>
      <c r="H59" s="7">
        <f t="shared" si="18"/>
        <v>209.26274977664369</v>
      </c>
      <c r="I59" s="7">
        <f t="shared" si="26"/>
        <v>16559.186367676801</v>
      </c>
      <c r="J59" s="7">
        <f t="shared" si="19"/>
        <v>181640.06680612674</v>
      </c>
      <c r="K59" s="7">
        <f t="shared" si="27"/>
        <v>3061.1493044057397</v>
      </c>
      <c r="L59" s="7">
        <f t="shared" si="20"/>
        <v>27550.343739651657</v>
      </c>
      <c r="M59" s="7">
        <f t="shared" si="21"/>
        <v>225749.5969134552</v>
      </c>
      <c r="N59" s="15">
        <f t="shared" si="22"/>
        <v>0.98348509808392826</v>
      </c>
      <c r="O59" s="7">
        <f t="shared" si="23"/>
        <v>222021.36446283676</v>
      </c>
    </row>
    <row r="60" spans="1:15">
      <c r="A60" s="6">
        <v>11</v>
      </c>
      <c r="B60" s="14">
        <f t="shared" si="24"/>
        <v>859</v>
      </c>
      <c r="C60" s="14">
        <f t="shared" si="14"/>
        <v>4</v>
      </c>
      <c r="D60" s="14">
        <f t="shared" si="15"/>
        <v>9</v>
      </c>
      <c r="E60" s="14">
        <f t="shared" si="16"/>
        <v>846</v>
      </c>
      <c r="F60" s="7">
        <f t="shared" si="25"/>
        <v>3061.1493044057397</v>
      </c>
      <c r="G60" s="7">
        <f t="shared" si="17"/>
        <v>17.85670427570015</v>
      </c>
      <c r="H60" s="7">
        <f t="shared" si="18"/>
        <v>210.48344915034079</v>
      </c>
      <c r="I60" s="7">
        <f t="shared" si="26"/>
        <v>15267.482155723628</v>
      </c>
      <c r="J60" s="7">
        <f t="shared" si="19"/>
        <v>179963.34902354138</v>
      </c>
      <c r="K60" s="7">
        <f t="shared" si="27"/>
        <v>2850.665855255399</v>
      </c>
      <c r="L60" s="7">
        <f t="shared" si="20"/>
        <v>25655.992697298592</v>
      </c>
      <c r="M60" s="7">
        <f t="shared" si="21"/>
        <v>220886.82387656358</v>
      </c>
      <c r="N60" s="15">
        <f t="shared" si="22"/>
        <v>0.98184868361124289</v>
      </c>
      <c r="O60" s="7">
        <f t="shared" si="23"/>
        <v>216877.4372502724</v>
      </c>
    </row>
    <row r="61" spans="1:15">
      <c r="A61" s="6">
        <v>12</v>
      </c>
      <c r="B61" s="14">
        <f t="shared" si="24"/>
        <v>846</v>
      </c>
      <c r="C61" s="14">
        <f t="shared" si="14"/>
        <v>4</v>
      </c>
      <c r="D61" s="14">
        <f t="shared" si="15"/>
        <v>8</v>
      </c>
      <c r="E61" s="14">
        <f t="shared" si="16"/>
        <v>834</v>
      </c>
      <c r="F61" s="7">
        <f t="shared" si="25"/>
        <v>2850.665855255399</v>
      </c>
      <c r="G61" s="7">
        <f t="shared" si="17"/>
        <v>16.628884155656497</v>
      </c>
      <c r="H61" s="7">
        <f t="shared" si="18"/>
        <v>211.71126927038443</v>
      </c>
      <c r="I61" s="7">
        <f t="shared" si="26"/>
        <v>14001.520459062771</v>
      </c>
      <c r="J61" s="7">
        <f t="shared" si="19"/>
        <v>178260.88872566368</v>
      </c>
      <c r="K61" s="7">
        <f t="shared" si="27"/>
        <v>2638.9545859850145</v>
      </c>
      <c r="L61" s="7">
        <f t="shared" si="20"/>
        <v>21111.636687880116</v>
      </c>
      <c r="M61" s="7">
        <f t="shared" si="21"/>
        <v>213374.04587260657</v>
      </c>
      <c r="N61" s="15">
        <f t="shared" si="22"/>
        <v>0.98021499195797956</v>
      </c>
      <c r="O61" s="7">
        <f t="shared" si="23"/>
        <v>209152.43865905862</v>
      </c>
    </row>
    <row r="62" spans="1:15">
      <c r="A62" s="6">
        <v>13</v>
      </c>
      <c r="B62" s="14">
        <f t="shared" si="24"/>
        <v>834</v>
      </c>
      <c r="C62" s="14">
        <f t="shared" si="14"/>
        <v>4</v>
      </c>
      <c r="D62" s="14">
        <f t="shared" si="15"/>
        <v>8</v>
      </c>
      <c r="E62" s="14">
        <f t="shared" si="16"/>
        <v>822</v>
      </c>
      <c r="F62" s="7">
        <f t="shared" si="25"/>
        <v>2638.9545859850145</v>
      </c>
      <c r="G62" s="7">
        <f t="shared" si="17"/>
        <v>15.393901751579252</v>
      </c>
      <c r="H62" s="7">
        <f t="shared" si="18"/>
        <v>212.94625167446168</v>
      </c>
      <c r="I62" s="7">
        <f t="shared" si="26"/>
        <v>12776.938453810779</v>
      </c>
      <c r="J62" s="7">
        <f t="shared" si="19"/>
        <v>176745.3888898032</v>
      </c>
      <c r="K62" s="7">
        <f t="shared" si="27"/>
        <v>2426.008334310553</v>
      </c>
      <c r="L62" s="7">
        <f t="shared" si="20"/>
        <v>19408.066674484424</v>
      </c>
      <c r="M62" s="7">
        <f t="shared" si="21"/>
        <v>208930.39401809842</v>
      </c>
      <c r="N62" s="15">
        <f t="shared" si="22"/>
        <v>0.97858401859365673</v>
      </c>
      <c r="O62" s="7">
        <f t="shared" si="23"/>
        <v>204455.94458458686</v>
      </c>
    </row>
    <row r="63" spans="1:15">
      <c r="A63" s="6">
        <v>14</v>
      </c>
      <c r="B63" s="14">
        <f t="shared" si="24"/>
        <v>822</v>
      </c>
      <c r="C63" s="14">
        <f t="shared" si="14"/>
        <v>4</v>
      </c>
      <c r="D63" s="14">
        <f t="shared" si="15"/>
        <v>8</v>
      </c>
      <c r="E63" s="14">
        <f t="shared" si="16"/>
        <v>810</v>
      </c>
      <c r="F63" s="7">
        <f t="shared" si="25"/>
        <v>2426.008334310553</v>
      </c>
      <c r="G63" s="7">
        <f t="shared" si="17"/>
        <v>14.151715283478227</v>
      </c>
      <c r="H63" s="7">
        <f t="shared" si="18"/>
        <v>214.18843814256269</v>
      </c>
      <c r="I63" s="7">
        <f t="shared" si="26"/>
        <v>11576.10310188519</v>
      </c>
      <c r="J63" s="7">
        <f t="shared" si="19"/>
        <v>175206.14240061629</v>
      </c>
      <c r="K63" s="7">
        <f t="shared" si="27"/>
        <v>2211.8198961679905</v>
      </c>
      <c r="L63" s="7">
        <f t="shared" si="20"/>
        <v>17694.559169343924</v>
      </c>
      <c r="M63" s="7">
        <f t="shared" si="21"/>
        <v>204476.8046718454</v>
      </c>
      <c r="N63" s="15">
        <f t="shared" si="22"/>
        <v>0.97695575899533094</v>
      </c>
      <c r="O63" s="7">
        <f t="shared" si="23"/>
        <v>199764.79190512275</v>
      </c>
    </row>
    <row r="64" spans="1:15">
      <c r="A64" s="6">
        <v>15</v>
      </c>
      <c r="B64" s="14">
        <f t="shared" si="24"/>
        <v>810</v>
      </c>
      <c r="C64" s="14">
        <f t="shared" si="14"/>
        <v>4</v>
      </c>
      <c r="D64" s="14">
        <f t="shared" si="15"/>
        <v>8</v>
      </c>
      <c r="E64" s="14">
        <f t="shared" si="16"/>
        <v>798</v>
      </c>
      <c r="F64" s="7">
        <f t="shared" si="25"/>
        <v>2211.8198961679905</v>
      </c>
      <c r="G64" s="7">
        <f t="shared" si="17"/>
        <v>12.902282727646611</v>
      </c>
      <c r="H64" s="7">
        <f t="shared" si="18"/>
        <v>215.43787069839431</v>
      </c>
      <c r="I64" s="7">
        <f t="shared" si="26"/>
        <v>10399.239878483168</v>
      </c>
      <c r="J64" s="7">
        <f t="shared" si="19"/>
        <v>173642.9237829058</v>
      </c>
      <c r="K64" s="7">
        <f t="shared" si="27"/>
        <v>1996.3820254695961</v>
      </c>
      <c r="L64" s="7">
        <f t="shared" si="20"/>
        <v>15971.056203756769</v>
      </c>
      <c r="M64" s="7">
        <f t="shared" si="21"/>
        <v>200013.21986514574</v>
      </c>
      <c r="N64" s="15">
        <f t="shared" si="22"/>
        <v>0.97533020864758502</v>
      </c>
      <c r="O64" s="7">
        <f t="shared" si="23"/>
        <v>195078.93546334791</v>
      </c>
    </row>
    <row r="65" spans="1:28">
      <c r="A65" s="6">
        <v>16</v>
      </c>
      <c r="B65" s="14">
        <f t="shared" si="24"/>
        <v>798</v>
      </c>
      <c r="C65" s="14">
        <f t="shared" si="14"/>
        <v>4</v>
      </c>
      <c r="D65" s="14">
        <f t="shared" si="15"/>
        <v>8</v>
      </c>
      <c r="E65" s="14">
        <f t="shared" si="16"/>
        <v>786</v>
      </c>
      <c r="F65" s="7">
        <f t="shared" si="25"/>
        <v>1996.3820254695961</v>
      </c>
      <c r="G65" s="7">
        <f t="shared" si="17"/>
        <v>11.645561815239311</v>
      </c>
      <c r="H65" s="7">
        <f t="shared" si="18"/>
        <v>216.69459161080161</v>
      </c>
      <c r="I65" s="7">
        <f t="shared" si="26"/>
        <v>9246.5760813000124</v>
      </c>
      <c r="J65" s="7">
        <f t="shared" si="19"/>
        <v>172055.50573897647</v>
      </c>
      <c r="K65" s="7">
        <f t="shared" si="27"/>
        <v>1779.6874338587945</v>
      </c>
      <c r="L65" s="7">
        <f t="shared" si="20"/>
        <v>14237.499470870356</v>
      </c>
      <c r="M65" s="7">
        <f t="shared" si="21"/>
        <v>195539.58129114684</v>
      </c>
      <c r="N65" s="15">
        <f t="shared" si="22"/>
        <v>0.97370736304251393</v>
      </c>
      <c r="O65" s="7">
        <f t="shared" si="23"/>
        <v>190398.33006943989</v>
      </c>
    </row>
    <row r="66" spans="1:28">
      <c r="A66" s="6">
        <v>17</v>
      </c>
      <c r="B66" s="14">
        <f t="shared" si="24"/>
        <v>786</v>
      </c>
      <c r="C66" s="14">
        <f t="shared" si="14"/>
        <v>4</v>
      </c>
      <c r="D66" s="14">
        <f t="shared" si="15"/>
        <v>8</v>
      </c>
      <c r="E66" s="14">
        <f t="shared" si="16"/>
        <v>774</v>
      </c>
      <c r="F66" s="7">
        <f t="shared" si="25"/>
        <v>1779.6874338587945</v>
      </c>
      <c r="G66" s="7">
        <f t="shared" si="17"/>
        <v>10.381510030842968</v>
      </c>
      <c r="H66" s="7">
        <f t="shared" si="18"/>
        <v>217.95864339519795</v>
      </c>
      <c r="I66" s="7">
        <f t="shared" si="26"/>
        <v>8118.3408441192005</v>
      </c>
      <c r="J66" s="7">
        <f t="shared" si="19"/>
        <v>170443.65913504479</v>
      </c>
      <c r="K66" s="7">
        <f t="shared" si="27"/>
        <v>1561.7287904635966</v>
      </c>
      <c r="L66" s="7">
        <f t="shared" si="20"/>
        <v>12493.830323708773</v>
      </c>
      <c r="M66" s="7">
        <f t="shared" si="21"/>
        <v>191055.83030287275</v>
      </c>
      <c r="N66" s="15">
        <f t="shared" si="22"/>
        <v>0.97208721767971451</v>
      </c>
      <c r="O66" s="7">
        <f t="shared" si="23"/>
        <v>185722.93050060727</v>
      </c>
    </row>
    <row r="67" spans="1:28">
      <c r="A67" s="6">
        <v>18</v>
      </c>
      <c r="B67" s="14">
        <f t="shared" si="24"/>
        <v>774</v>
      </c>
      <c r="C67" s="14">
        <f t="shared" si="14"/>
        <v>4</v>
      </c>
      <c r="D67" s="14">
        <f t="shared" si="15"/>
        <v>8</v>
      </c>
      <c r="E67" s="14">
        <f t="shared" si="16"/>
        <v>762</v>
      </c>
      <c r="F67" s="7">
        <f t="shared" si="25"/>
        <v>1561.7287904635966</v>
      </c>
      <c r="G67" s="7">
        <f t="shared" si="17"/>
        <v>9.1100846110376477</v>
      </c>
      <c r="H67" s="7">
        <f t="shared" si="18"/>
        <v>219.23006881500328</v>
      </c>
      <c r="I67" s="7">
        <f t="shared" si="26"/>
        <v>7014.765150498989</v>
      </c>
      <c r="J67" s="7">
        <f t="shared" si="19"/>
        <v>168807.15298755252</v>
      </c>
      <c r="K67" s="7">
        <f t="shared" si="27"/>
        <v>1342.4987216485933</v>
      </c>
      <c r="L67" s="7">
        <f t="shared" si="20"/>
        <v>10739.989773188747</v>
      </c>
      <c r="M67" s="7">
        <f t="shared" si="21"/>
        <v>186561.90791124024</v>
      </c>
      <c r="N67" s="15">
        <f t="shared" si="22"/>
        <v>0.97046976806627061</v>
      </c>
      <c r="O67" s="7">
        <f t="shared" si="23"/>
        <v>181052.69150062226</v>
      </c>
    </row>
    <row r="68" spans="1:28">
      <c r="A68" s="6">
        <v>19</v>
      </c>
      <c r="B68" s="14">
        <f t="shared" si="24"/>
        <v>762</v>
      </c>
      <c r="C68" s="14">
        <f t="shared" si="14"/>
        <v>4</v>
      </c>
      <c r="D68" s="14">
        <f t="shared" si="15"/>
        <v>8</v>
      </c>
      <c r="E68" s="14">
        <f t="shared" si="16"/>
        <v>750</v>
      </c>
      <c r="F68" s="7">
        <f t="shared" si="25"/>
        <v>1342.4987216485933</v>
      </c>
      <c r="G68" s="7">
        <f t="shared" si="17"/>
        <v>7.831242542950128</v>
      </c>
      <c r="H68" s="7">
        <f t="shared" si="18"/>
        <v>220.50891088309081</v>
      </c>
      <c r="I68" s="7">
        <f t="shared" si="26"/>
        <v>5936.0818475561973</v>
      </c>
      <c r="J68" s="7">
        <f t="shared" si="19"/>
        <v>167145.75444938283</v>
      </c>
      <c r="K68" s="7">
        <f t="shared" si="27"/>
        <v>1121.9898107655026</v>
      </c>
      <c r="L68" s="7">
        <f t="shared" si="20"/>
        <v>8975.918486124021</v>
      </c>
      <c r="M68" s="7">
        <f t="shared" si="21"/>
        <v>182057.75478306305</v>
      </c>
      <c r="N68" s="15">
        <f t="shared" si="22"/>
        <v>0.96885500971674254</v>
      </c>
      <c r="O68" s="7">
        <f t="shared" si="23"/>
        <v>176387.56777935289</v>
      </c>
    </row>
    <row r="69" spans="1:28">
      <c r="A69" s="6">
        <v>20</v>
      </c>
      <c r="B69" s="14">
        <f t="shared" si="24"/>
        <v>750</v>
      </c>
      <c r="C69" s="14">
        <f t="shared" si="14"/>
        <v>4</v>
      </c>
      <c r="D69" s="14">
        <f t="shared" si="15"/>
        <v>8</v>
      </c>
      <c r="E69" s="14">
        <f t="shared" si="16"/>
        <v>738</v>
      </c>
      <c r="F69" s="7">
        <f t="shared" si="25"/>
        <v>1121.9898107655026</v>
      </c>
      <c r="G69" s="7">
        <f t="shared" si="17"/>
        <v>6.5449405627987653</v>
      </c>
      <c r="H69" s="7">
        <f t="shared" si="18"/>
        <v>221.79521286324217</v>
      </c>
      <c r="I69" s="7">
        <f t="shared" si="26"/>
        <v>4882.5256598478791</v>
      </c>
      <c r="J69" s="7">
        <f t="shared" si="19"/>
        <v>165459.22879597865</v>
      </c>
      <c r="K69" s="7">
        <f t="shared" si="27"/>
        <v>900.19459790226051</v>
      </c>
      <c r="L69" s="7">
        <f t="shared" si="20"/>
        <v>7201.5567832180841</v>
      </c>
      <c r="M69" s="7">
        <f t="shared" si="21"/>
        <v>177543.31123904462</v>
      </c>
      <c r="N69" s="15">
        <f t="shared" si="22"/>
        <v>0.96724293815315399</v>
      </c>
      <c r="O69" s="7">
        <f t="shared" si="23"/>
        <v>171727.5140122934</v>
      </c>
    </row>
    <row r="70" spans="1:28">
      <c r="A70" s="6">
        <v>21</v>
      </c>
      <c r="B70" s="14">
        <f t="shared" si="24"/>
        <v>738</v>
      </c>
      <c r="C70" s="14">
        <f t="shared" si="14"/>
        <v>4</v>
      </c>
      <c r="D70" s="14">
        <f t="shared" si="15"/>
        <v>7</v>
      </c>
      <c r="E70" s="14">
        <f t="shared" si="16"/>
        <v>727</v>
      </c>
      <c r="F70" s="7">
        <f t="shared" si="25"/>
        <v>900.19459790226051</v>
      </c>
      <c r="G70" s="7">
        <f t="shared" si="17"/>
        <v>5.2511351544298535</v>
      </c>
      <c r="H70" s="7">
        <f t="shared" si="18"/>
        <v>223.08901827161108</v>
      </c>
      <c r="I70" s="7">
        <f t="shared" si="26"/>
        <v>3854.3332033515126</v>
      </c>
      <c r="J70" s="7">
        <f t="shared" si="19"/>
        <v>163747.33941136254</v>
      </c>
      <c r="K70" s="7">
        <f t="shared" si="27"/>
        <v>677.10557963064946</v>
      </c>
      <c r="L70" s="7">
        <f t="shared" si="20"/>
        <v>4739.7390574145466</v>
      </c>
      <c r="M70" s="7">
        <f t="shared" si="21"/>
        <v>172341.4116721286</v>
      </c>
      <c r="N70" s="15">
        <f t="shared" si="22"/>
        <v>0.96563354890497888</v>
      </c>
      <c r="O70" s="7">
        <f t="shared" si="23"/>
        <v>166418.64897625148</v>
      </c>
    </row>
    <row r="71" spans="1:28">
      <c r="A71" s="6">
        <v>22</v>
      </c>
      <c r="B71" s="14">
        <f t="shared" si="24"/>
        <v>727</v>
      </c>
      <c r="C71" s="14">
        <f t="shared" si="14"/>
        <v>4</v>
      </c>
      <c r="D71" s="14">
        <f t="shared" si="15"/>
        <v>7</v>
      </c>
      <c r="E71" s="14">
        <f t="shared" si="16"/>
        <v>716</v>
      </c>
      <c r="F71" s="7">
        <f t="shared" si="25"/>
        <v>677.10557963064946</v>
      </c>
      <c r="G71" s="7">
        <f t="shared" si="17"/>
        <v>3.9497825478454556</v>
      </c>
      <c r="H71" s="7">
        <f t="shared" si="18"/>
        <v>224.39037087819548</v>
      </c>
      <c r="I71" s="7">
        <f t="shared" si="26"/>
        <v>2855.6927820922642</v>
      </c>
      <c r="J71" s="7">
        <f t="shared" si="19"/>
        <v>162234.23814493534</v>
      </c>
      <c r="K71" s="7">
        <f t="shared" si="27"/>
        <v>452.71520875245398</v>
      </c>
      <c r="L71" s="7">
        <f t="shared" si="20"/>
        <v>3169.0064612671777</v>
      </c>
      <c r="M71" s="7">
        <f t="shared" si="21"/>
        <v>168258.93738829478</v>
      </c>
      <c r="N71" s="15">
        <f t="shared" si="22"/>
        <v>0.96402683750913043</v>
      </c>
      <c r="O71" s="7">
        <f t="shared" si="23"/>
        <v>162206.13129308462</v>
      </c>
    </row>
    <row r="72" spans="1:28">
      <c r="A72" s="6">
        <v>23</v>
      </c>
      <c r="B72" s="14">
        <f t="shared" si="24"/>
        <v>716</v>
      </c>
      <c r="C72" s="14">
        <f t="shared" si="14"/>
        <v>4</v>
      </c>
      <c r="D72" s="14">
        <f t="shared" si="15"/>
        <v>7</v>
      </c>
      <c r="E72" s="14">
        <f t="shared" si="16"/>
        <v>705</v>
      </c>
      <c r="F72" s="7">
        <f t="shared" si="25"/>
        <v>452.71520875245398</v>
      </c>
      <c r="G72" s="7">
        <f t="shared" si="17"/>
        <v>2.6408387177226484</v>
      </c>
      <c r="H72" s="7">
        <f t="shared" si="18"/>
        <v>225.69931470831827</v>
      </c>
      <c r="I72" s="7">
        <f t="shared" si="26"/>
        <v>1880.2771670185257</v>
      </c>
      <c r="J72" s="7">
        <f t="shared" si="19"/>
        <v>160697.91207232259</v>
      </c>
      <c r="K72" s="7">
        <f t="shared" si="27"/>
        <v>227.01589404413571</v>
      </c>
      <c r="L72" s="7">
        <f t="shared" si="20"/>
        <v>1589.11125830895</v>
      </c>
      <c r="M72" s="7">
        <f t="shared" si="21"/>
        <v>164167.30049765008</v>
      </c>
      <c r="N72" s="15">
        <f t="shared" si="22"/>
        <v>0.96242279950994702</v>
      </c>
      <c r="O72" s="7">
        <f t="shared" si="23"/>
        <v>157998.3529329391</v>
      </c>
    </row>
    <row r="73" spans="1:28">
      <c r="A73" s="6">
        <v>24</v>
      </c>
      <c r="B73" s="14">
        <f t="shared" si="24"/>
        <v>705</v>
      </c>
      <c r="C73" s="14">
        <f t="shared" si="14"/>
        <v>4</v>
      </c>
      <c r="D73" s="14">
        <f t="shared" si="15"/>
        <v>7</v>
      </c>
      <c r="E73" s="14">
        <f t="shared" si="16"/>
        <v>694</v>
      </c>
      <c r="F73" s="7">
        <f t="shared" si="25"/>
        <v>227.01589404413571</v>
      </c>
      <c r="G73" s="7">
        <f t="shared" si="17"/>
        <v>1.3242593819241251</v>
      </c>
      <c r="H73" s="7">
        <f t="shared" si="18"/>
        <v>227.01589404411681</v>
      </c>
      <c r="I73" s="7">
        <f t="shared" si="26"/>
        <v>928.30582672881167</v>
      </c>
      <c r="J73" s="7">
        <f t="shared" si="19"/>
        <v>159138.14172492587</v>
      </c>
      <c r="K73" s="7">
        <f t="shared" si="27"/>
        <v>1.8900436771218665E-11</v>
      </c>
      <c r="L73" s="7">
        <f t="shared" si="20"/>
        <v>1.3230305739853065E-10</v>
      </c>
      <c r="M73" s="7">
        <f t="shared" si="21"/>
        <v>160066.44755165483</v>
      </c>
      <c r="N73" s="15">
        <f t="shared" si="22"/>
        <v>0.96082143045918145</v>
      </c>
      <c r="O73" s="7">
        <f t="shared" si="23"/>
        <v>153795.27310510052</v>
      </c>
    </row>
    <row r="74" spans="1:28">
      <c r="A74" s="8" t="s">
        <v>20</v>
      </c>
      <c r="C74" s="16">
        <f>SUM($C$50:$C$73)</f>
        <v>103</v>
      </c>
      <c r="D74" s="16">
        <f>SUM($D$50:$D$73)</f>
        <v>203</v>
      </c>
      <c r="I74" s="9">
        <f>SUM(I50:I73)</f>
        <v>337456.16112511995</v>
      </c>
      <c r="J74" s="9">
        <f>SUM(J50:J73)</f>
        <v>4267479.7130178465</v>
      </c>
      <c r="L74" s="9">
        <f>SUM(L50:L73)</f>
        <v>540347.79522708559</v>
      </c>
      <c r="M74" s="9">
        <f>SUM(M50:M73)</f>
        <v>5145283.6693700515</v>
      </c>
      <c r="O74" s="9">
        <f>SUM(O50:O73)</f>
        <v>5049065.1464024112</v>
      </c>
    </row>
    <row r="79" spans="1:28">
      <c r="A79" s="18" t="s">
        <v>64</v>
      </c>
      <c r="B79" s="18" t="s">
        <v>6</v>
      </c>
      <c r="C79" s="18" t="s">
        <v>65</v>
      </c>
      <c r="D79" s="18" t="s">
        <v>66</v>
      </c>
      <c r="E79" s="21">
        <v>1</v>
      </c>
      <c r="F79" s="21">
        <v>2</v>
      </c>
      <c r="G79" s="21">
        <v>3</v>
      </c>
      <c r="H79" s="21">
        <v>4</v>
      </c>
      <c r="I79" s="21">
        <v>5</v>
      </c>
      <c r="J79" s="21">
        <v>6</v>
      </c>
      <c r="K79" s="21">
        <v>7</v>
      </c>
      <c r="L79" s="21">
        <v>8</v>
      </c>
      <c r="M79" s="21">
        <v>9</v>
      </c>
      <c r="N79" s="21">
        <v>10</v>
      </c>
      <c r="O79" s="21">
        <v>11</v>
      </c>
      <c r="P79" s="21">
        <v>12</v>
      </c>
      <c r="Q79" s="21">
        <v>13</v>
      </c>
      <c r="R79" s="21">
        <v>14</v>
      </c>
      <c r="S79" s="21">
        <v>15</v>
      </c>
      <c r="T79" s="21">
        <v>16</v>
      </c>
      <c r="U79" s="21">
        <v>17</v>
      </c>
      <c r="V79" s="21">
        <v>18</v>
      </c>
      <c r="W79" s="21">
        <v>19</v>
      </c>
      <c r="X79" s="21">
        <v>20</v>
      </c>
      <c r="Y79" s="21">
        <v>21</v>
      </c>
      <c r="Z79" s="21">
        <v>22</v>
      </c>
      <c r="AA79" s="21">
        <v>23</v>
      </c>
      <c r="AB79" s="21">
        <v>24</v>
      </c>
    </row>
    <row r="80" spans="1:28">
      <c r="A80" s="20">
        <v>0.05</v>
      </c>
      <c r="B80" s="22">
        <f>A80/12</f>
        <v>4.1666666666666666E-3</v>
      </c>
      <c r="C80" s="23">
        <f>$B$6*B80/(1-(1+B80)^(-$B$11))</f>
        <v>219.35694867034132</v>
      </c>
      <c r="D80" s="24">
        <f t="shared" ref="D80:D87" si="28">SUM(E80:AB80)</f>
        <v>4859003.6995211551</v>
      </c>
      <c r="E80" s="23">
        <f>$B$5*$B$17^(E$79-1)*((1-$B$15)*$C80+$B$16*($C80/$B80*(1-(1+$B80)^(-($B$11-E$79)))))/(1+$B$14)^E$79</f>
        <v>265831.87464920426</v>
      </c>
      <c r="F80" s="23">
        <f t="shared" ref="F80:U87" si="29">$B$5*$B$17^(F$79-1)*((1-$B$15)*$C80+$B$16*($C80/$B80*(1-(1+$B80)^(-($B$11-F$79)))))/(1+$B$14)^F$79</f>
        <v>259451.63901020153</v>
      </c>
      <c r="G80" s="23">
        <f t="shared" si="29"/>
        <v>253202.10856122416</v>
      </c>
      <c r="H80" s="23">
        <f t="shared" si="29"/>
        <v>247080.8006753049</v>
      </c>
      <c r="I80" s="23">
        <f t="shared" si="29"/>
        <v>241085.27789444866</v>
      </c>
      <c r="J80" s="23">
        <f t="shared" si="29"/>
        <v>235213.14712964831</v>
      </c>
      <c r="K80" s="23">
        <f t="shared" si="29"/>
        <v>229462.05887482062</v>
      </c>
      <c r="L80" s="23">
        <f t="shared" si="29"/>
        <v>223829.7064344197</v>
      </c>
      <c r="M80" s="23">
        <f t="shared" si="29"/>
        <v>218313.82516449562</v>
      </c>
      <c r="N80" s="23">
        <f t="shared" si="29"/>
        <v>212912.19172696394</v>
      </c>
      <c r="O80" s="23">
        <f t="shared" si="29"/>
        <v>207622.62335686316</v>
      </c>
      <c r="P80" s="23">
        <f t="shared" si="29"/>
        <v>202442.97714237182</v>
      </c>
      <c r="Q80" s="23">
        <f t="shared" si="29"/>
        <v>197371.14931736977</v>
      </c>
      <c r="R80" s="23">
        <f t="shared" si="29"/>
        <v>192405.07456632642</v>
      </c>
      <c r="S80" s="23">
        <f t="shared" si="29"/>
        <v>187542.72534130324</v>
      </c>
      <c r="T80" s="23">
        <f t="shared" si="29"/>
        <v>182782.11119086284</v>
      </c>
      <c r="U80" s="23">
        <f t="shared" si="29"/>
        <v>178121.27810068012</v>
      </c>
      <c r="V80" s="23">
        <f t="shared" ref="V80:AB87" si="30">$B$5*$B$17^(V$79-1)*((1-$B$15)*$C80+$B$16*($C80/$B80*(1-(1+$B80)^(-($B$11-V$79)))))/(1+$B$14)^V$79</f>
        <v>173558.30784565202</v>
      </c>
      <c r="W80" s="23">
        <f t="shared" si="30"/>
        <v>169091.31735331164</v>
      </c>
      <c r="X80" s="23">
        <f t="shared" si="30"/>
        <v>164718.4580783477</v>
      </c>
      <c r="Y80" s="23">
        <f t="shared" si="30"/>
        <v>160437.91538804106</v>
      </c>
      <c r="Z80" s="23">
        <f t="shared" si="30"/>
        <v>156247.90795843006</v>
      </c>
      <c r="AA80" s="23">
        <f t="shared" si="30"/>
        <v>152146.68718101823</v>
      </c>
      <c r="AB80" s="23">
        <f t="shared" si="30"/>
        <v>148132.5365798444</v>
      </c>
    </row>
    <row r="81" spans="1:28">
      <c r="A81" s="20">
        <v>0.06</v>
      </c>
      <c r="B81" s="22">
        <f t="shared" ref="B81:B87" si="31">A81/12</f>
        <v>5.0000000000000001E-3</v>
      </c>
      <c r="C81" s="23">
        <f t="shared" ref="C81:C87" si="32">$B$6*B81/(1-(1+B81)^(-$B$11))</f>
        <v>221.60305126379058</v>
      </c>
      <c r="D81" s="24">
        <f t="shared" si="28"/>
        <v>4905106.0239454042</v>
      </c>
      <c r="E81" s="23">
        <f t="shared" ref="E81:E87" si="33">$B$5*$B$17^(E$79-1)*((1-$B$15)*$C81+$B$16*($C81/$B81*(1-(1+$B81)^(-($B$11-E$79)))))/(1+$B$14)^E$79</f>
        <v>268082.20182512508</v>
      </c>
      <c r="F81" s="23">
        <f t="shared" si="29"/>
        <v>261681.84793671037</v>
      </c>
      <c r="G81" s="23">
        <f t="shared" si="29"/>
        <v>255410.72714048054</v>
      </c>
      <c r="H81" s="23">
        <f t="shared" si="29"/>
        <v>249266.42259738917</v>
      </c>
      <c r="I81" s="23">
        <f t="shared" si="29"/>
        <v>243246.56080641109</v>
      </c>
      <c r="J81" s="23">
        <f t="shared" si="29"/>
        <v>237348.81084681934</v>
      </c>
      <c r="K81" s="23">
        <f t="shared" si="29"/>
        <v>231570.88363349909</v>
      </c>
      <c r="L81" s="23">
        <f t="shared" si="29"/>
        <v>225910.53118507646</v>
      </c>
      <c r="M81" s="23">
        <f t="shared" si="29"/>
        <v>220365.54590464488</v>
      </c>
      <c r="N81" s="23">
        <f t="shared" si="29"/>
        <v>214933.75987287294</v>
      </c>
      <c r="O81" s="23">
        <f t="shared" si="29"/>
        <v>209613.04415328411</v>
      </c>
      <c r="P81" s="23">
        <f t="shared" si="29"/>
        <v>204401.30810950077</v>
      </c>
      <c r="Q81" s="23">
        <f t="shared" si="29"/>
        <v>199296.49873424845</v>
      </c>
      <c r="R81" s="23">
        <f t="shared" si="29"/>
        <v>194296.59998991949</v>
      </c>
      <c r="S81" s="23">
        <f t="shared" si="29"/>
        <v>189399.63216050094</v>
      </c>
      <c r="T81" s="23">
        <f t="shared" si="29"/>
        <v>184603.65121467016</v>
      </c>
      <c r="U81" s="23">
        <f t="shared" si="29"/>
        <v>179906.74817987109</v>
      </c>
      <c r="V81" s="23">
        <f t="shared" si="30"/>
        <v>175307.04852718062</v>
      </c>
      <c r="W81" s="23">
        <f t="shared" si="30"/>
        <v>170802.71156678445</v>
      </c>
      <c r="X81" s="23">
        <f t="shared" si="30"/>
        <v>166391.9298538786</v>
      </c>
      <c r="Y81" s="23">
        <f t="shared" si="30"/>
        <v>162072.92860482054</v>
      </c>
      <c r="Z81" s="23">
        <f t="shared" si="30"/>
        <v>157843.96512335504</v>
      </c>
      <c r="AA81" s="23">
        <f t="shared" si="30"/>
        <v>153703.32823674189</v>
      </c>
      <c r="AB81" s="23">
        <f t="shared" si="30"/>
        <v>149649.33774161767</v>
      </c>
    </row>
    <row r="82" spans="1:28">
      <c r="A82" s="20">
        <v>7.0000000000000007E-2</v>
      </c>
      <c r="B82" s="22">
        <f t="shared" si="31"/>
        <v>5.8333333333333336E-3</v>
      </c>
      <c r="C82" s="23">
        <f t="shared" si="32"/>
        <v>223.86289551572642</v>
      </c>
      <c r="D82" s="24">
        <f t="shared" si="28"/>
        <v>4951478.0880576232</v>
      </c>
      <c r="E82" s="23">
        <f t="shared" si="33"/>
        <v>270346.04201296892</v>
      </c>
      <c r="F82" s="23">
        <f t="shared" si="29"/>
        <v>263925.24076521362</v>
      </c>
      <c r="G82" s="23">
        <f t="shared" si="29"/>
        <v>257632.23551885877</v>
      </c>
      <c r="H82" s="23">
        <f t="shared" si="29"/>
        <v>251464.67135703124</v>
      </c>
      <c r="I82" s="23">
        <f t="shared" si="29"/>
        <v>245420.23503772527</v>
      </c>
      <c r="J82" s="23">
        <f t="shared" si="29"/>
        <v>239496.65427321204</v>
      </c>
      <c r="K82" s="23">
        <f t="shared" si="29"/>
        <v>233691.69702173592</v>
      </c>
      <c r="L82" s="23">
        <f t="shared" si="29"/>
        <v>228003.17079128869</v>
      </c>
      <c r="M82" s="23">
        <f t="shared" si="29"/>
        <v>222428.92195525841</v>
      </c>
      <c r="N82" s="23">
        <f t="shared" si="29"/>
        <v>216966.83507975098</v>
      </c>
      <c r="O82" s="23">
        <f t="shared" si="29"/>
        <v>211614.83226238837</v>
      </c>
      <c r="P82" s="23">
        <f t="shared" si="29"/>
        <v>206370.87248238904</v>
      </c>
      <c r="Q82" s="23">
        <f t="shared" si="29"/>
        <v>201232.95096173932</v>
      </c>
      <c r="R82" s="23">
        <f t="shared" si="29"/>
        <v>196199.0985372685</v>
      </c>
      <c r="S82" s="23">
        <f t="shared" si="29"/>
        <v>191267.38104344322</v>
      </c>
      <c r="T82" s="23">
        <f t="shared" si="29"/>
        <v>186435.89870570024</v>
      </c>
      <c r="U82" s="23">
        <f t="shared" si="29"/>
        <v>181702.78554413849</v>
      </c>
      <c r="V82" s="23">
        <f t="shared" si="30"/>
        <v>177066.20878739553</v>
      </c>
      <c r="W82" s="23">
        <f t="shared" si="30"/>
        <v>172524.36829653662</v>
      </c>
      <c r="X82" s="23">
        <f t="shared" si="30"/>
        <v>168075.49599878603</v>
      </c>
      <c r="Y82" s="23">
        <f t="shared" si="30"/>
        <v>163717.85533093449</v>
      </c>
      <c r="Z82" s="23">
        <f t="shared" si="30"/>
        <v>159449.74069225948</v>
      </c>
      <c r="AA82" s="23">
        <f t="shared" si="30"/>
        <v>155269.47690679645</v>
      </c>
      <c r="AB82" s="23">
        <f t="shared" si="30"/>
        <v>151175.41869480291</v>
      </c>
    </row>
    <row r="83" spans="1:28">
      <c r="A83" s="20">
        <v>0.08</v>
      </c>
      <c r="B83" s="22">
        <f t="shared" si="31"/>
        <v>6.6666666666666671E-3</v>
      </c>
      <c r="C83" s="23">
        <f t="shared" si="32"/>
        <v>226.13645728092251</v>
      </c>
      <c r="D83" s="24">
        <f t="shared" si="28"/>
        <v>4998119.3535084054</v>
      </c>
      <c r="E83" s="23">
        <f t="shared" si="33"/>
        <v>272623.3714692599</v>
      </c>
      <c r="F83" s="23">
        <f t="shared" si="29"/>
        <v>266181.79404865886</v>
      </c>
      <c r="G83" s="23">
        <f t="shared" si="29"/>
        <v>259866.61028545978</v>
      </c>
      <c r="H83" s="23">
        <f t="shared" si="29"/>
        <v>253675.52339872028</v>
      </c>
      <c r="I83" s="23">
        <f t="shared" si="29"/>
        <v>247606.27677685468</v>
      </c>
      <c r="J83" s="23">
        <f t="shared" si="29"/>
        <v>241656.65328956262</v>
      </c>
      <c r="K83" s="23">
        <f t="shared" si="29"/>
        <v>235824.4746114047</v>
      </c>
      <c r="L83" s="23">
        <f t="shared" si="29"/>
        <v>230107.60055683012</v>
      </c>
      <c r="M83" s="23">
        <f t="shared" si="29"/>
        <v>224503.92842646327</v>
      </c>
      <c r="N83" s="23">
        <f t="shared" si="29"/>
        <v>219011.39236445981</v>
      </c>
      <c r="O83" s="23">
        <f t="shared" si="29"/>
        <v>213627.96272674631</v>
      </c>
      <c r="P83" s="23">
        <f t="shared" si="29"/>
        <v>208351.6454599612</v>
      </c>
      <c r="Q83" s="23">
        <f t="shared" si="29"/>
        <v>203180.48149091555</v>
      </c>
      <c r="R83" s="23">
        <f t="shared" si="29"/>
        <v>198112.54612639811</v>
      </c>
      <c r="S83" s="23">
        <f t="shared" si="29"/>
        <v>193145.94846314981</v>
      </c>
      <c r="T83" s="23">
        <f t="shared" si="29"/>
        <v>188278.83080783681</v>
      </c>
      <c r="U83" s="23">
        <f t="shared" si="29"/>
        <v>183509.36810685482</v>
      </c>
      <c r="V83" s="23">
        <f t="shared" si="30"/>
        <v>178835.7673857972</v>
      </c>
      <c r="W83" s="23">
        <f t="shared" si="30"/>
        <v>174256.26719842697</v>
      </c>
      <c r="X83" s="23">
        <f t="shared" si="30"/>
        <v>169769.13708499048</v>
      </c>
      <c r="Y83" s="23">
        <f t="shared" si="30"/>
        <v>165372.67703971674</v>
      </c>
      <c r="Z83" s="23">
        <f t="shared" si="30"/>
        <v>161065.2169873479</v>
      </c>
      <c r="AA83" s="23">
        <f t="shared" si="30"/>
        <v>156845.11626854804</v>
      </c>
      <c r="AB83" s="23">
        <f t="shared" si="30"/>
        <v>152710.76313404189</v>
      </c>
    </row>
    <row r="84" spans="1:28">
      <c r="A84" s="20">
        <v>0.09</v>
      </c>
      <c r="B84" s="22">
        <f t="shared" si="31"/>
        <v>7.4999999999999997E-3</v>
      </c>
      <c r="C84" s="23">
        <f t="shared" si="32"/>
        <v>228.42371139586308</v>
      </c>
      <c r="D84" s="24">
        <f t="shared" si="28"/>
        <v>5045029.2622419624</v>
      </c>
      <c r="E84" s="23">
        <f t="shared" si="33"/>
        <v>274914.16544917651</v>
      </c>
      <c r="F84" s="23">
        <f t="shared" si="29"/>
        <v>268451.48336617049</v>
      </c>
      <c r="G84" s="23">
        <f t="shared" si="29"/>
        <v>262113.82708220222</v>
      </c>
      <c r="H84" s="23">
        <f t="shared" si="29"/>
        <v>255898.95424470343</v>
      </c>
      <c r="I84" s="23">
        <f t="shared" si="29"/>
        <v>249804.66131271078</v>
      </c>
      <c r="J84" s="23">
        <f t="shared" si="29"/>
        <v>243828.78289717564</v>
      </c>
      <c r="K84" s="23">
        <f t="shared" si="29"/>
        <v>237969.19111237768</v>
      </c>
      <c r="L84" s="23">
        <f t="shared" si="29"/>
        <v>232223.79493825973</v>
      </c>
      <c r="M84" s="23">
        <f t="shared" si="29"/>
        <v>226590.53959349764</v>
      </c>
      <c r="N84" s="23">
        <f t="shared" si="29"/>
        <v>221067.40591912705</v>
      </c>
      <c r="O84" s="23">
        <f t="shared" si="29"/>
        <v>215652.40977255141</v>
      </c>
      <c r="P84" s="23">
        <f t="shared" si="29"/>
        <v>210343.60143175451</v>
      </c>
      <c r="Q84" s="23">
        <f t="shared" si="29"/>
        <v>205139.06500954853</v>
      </c>
      <c r="R84" s="23">
        <f t="shared" si="29"/>
        <v>200036.91787768959</v>
      </c>
      <c r="S84" s="23">
        <f t="shared" si="29"/>
        <v>195035.31010069457</v>
      </c>
      <c r="T84" s="23">
        <f t="shared" si="29"/>
        <v>190132.42387919707</v>
      </c>
      <c r="U84" s="23">
        <f t="shared" si="29"/>
        <v>185326.47300268288</v>
      </c>
      <c r="V84" s="23">
        <f t="shared" si="30"/>
        <v>180615.70231144733</v>
      </c>
      <c r="W84" s="23">
        <f t="shared" si="30"/>
        <v>175998.38716762111</v>
      </c>
      <c r="X84" s="23">
        <f t="shared" si="30"/>
        <v>171472.83293511096</v>
      </c>
      <c r="Y84" s="23">
        <f t="shared" si="30"/>
        <v>167037.37446830649</v>
      </c>
      <c r="Z84" s="23">
        <f t="shared" si="30"/>
        <v>162690.37560940802</v>
      </c>
      <c r="AA84" s="23">
        <f t="shared" si="30"/>
        <v>158430.22869422709</v>
      </c>
      <c r="AB84" s="23">
        <f t="shared" si="30"/>
        <v>154255.35406632195</v>
      </c>
    </row>
    <row r="85" spans="1:28">
      <c r="A85" s="20">
        <v>0.1</v>
      </c>
      <c r="B85" s="22">
        <f t="shared" si="31"/>
        <v>8.3333333333333332E-3</v>
      </c>
      <c r="C85" s="23">
        <f t="shared" si="32"/>
        <v>230.72463168758347</v>
      </c>
      <c r="D85" s="24">
        <f t="shared" si="28"/>
        <v>5092207.2366804229</v>
      </c>
      <c r="E85" s="23">
        <f t="shared" si="33"/>
        <v>277218.39821524429</v>
      </c>
      <c r="F85" s="23">
        <f t="shared" si="29"/>
        <v>270734.2833315531</v>
      </c>
      <c r="G85" s="23">
        <f t="shared" si="29"/>
        <v>264373.86061218422</v>
      </c>
      <c r="H85" s="23">
        <f t="shared" si="29"/>
        <v>258134.93850325153</v>
      </c>
      <c r="I85" s="23">
        <f t="shared" si="29"/>
        <v>252015.36304286084</v>
      </c>
      <c r="J85" s="23">
        <f t="shared" si="29"/>
        <v>246013.01722610416</v>
      </c>
      <c r="K85" s="23">
        <f t="shared" si="29"/>
        <v>240125.82038069947</v>
      </c>
      <c r="L85" s="23">
        <f t="shared" si="29"/>
        <v>234351.72755309899</v>
      </c>
      <c r="M85" s="23">
        <f t="shared" si="29"/>
        <v>228688.72890489094</v>
      </c>
      <c r="N85" s="23">
        <f t="shared" si="29"/>
        <v>223134.84911932264</v>
      </c>
      <c r="O85" s="23">
        <f t="shared" si="29"/>
        <v>217688.14681777655</v>
      </c>
      <c r="P85" s="23">
        <f t="shared" si="29"/>
        <v>212346.71398603229</v>
      </c>
      <c r="Q85" s="23">
        <f t="shared" si="29"/>
        <v>207108.67541015119</v>
      </c>
      <c r="R85" s="23">
        <f t="shared" si="29"/>
        <v>201972.18812182359</v>
      </c>
      <c r="S85" s="23">
        <f t="shared" si="29"/>
        <v>196935.44085301895</v>
      </c>
      <c r="T85" s="23">
        <f t="shared" si="29"/>
        <v>191996.65349978552</v>
      </c>
      <c r="U85" s="23">
        <f t="shared" si="29"/>
        <v>187154.07659504496</v>
      </c>
      <c r="V85" s="23">
        <f t="shared" si="30"/>
        <v>182405.99079023238</v>
      </c>
      <c r="W85" s="23">
        <f t="shared" si="30"/>
        <v>177750.7063456343</v>
      </c>
      <c r="X85" s="23">
        <f t="shared" si="30"/>
        <v>173186.5626292784</v>
      </c>
      <c r="Y85" s="23">
        <f t="shared" si="30"/>
        <v>168711.92762423254</v>
      </c>
      <c r="Z85" s="23">
        <f t="shared" si="30"/>
        <v>164325.19744417316</v>
      </c>
      <c r="AA85" s="23">
        <f t="shared" si="30"/>
        <v>160024.79585708317</v>
      </c>
      <c r="AB85" s="23">
        <f t="shared" si="30"/>
        <v>155809.1738169459</v>
      </c>
    </row>
    <row r="86" spans="1:28">
      <c r="A86" s="20">
        <v>0.11</v>
      </c>
      <c r="B86" s="22">
        <f t="shared" si="31"/>
        <v>9.1666666666666667E-3</v>
      </c>
      <c r="C86" s="23">
        <f t="shared" si="32"/>
        <v>233.03919098262318</v>
      </c>
      <c r="D86" s="24">
        <f t="shared" si="28"/>
        <v>5139652.6799101979</v>
      </c>
      <c r="E86" s="23">
        <f t="shared" si="33"/>
        <v>279536.04304614029</v>
      </c>
      <c r="F86" s="23">
        <f t="shared" si="29"/>
        <v>273030.16760190116</v>
      </c>
      <c r="G86" s="23">
        <f t="shared" si="29"/>
        <v>266646.68464814656</v>
      </c>
      <c r="H86" s="23">
        <f t="shared" si="29"/>
        <v>260383.44987702067</v>
      </c>
      <c r="I86" s="23">
        <f t="shared" si="29"/>
        <v>254238.35548182676</v>
      </c>
      <c r="J86" s="23">
        <f t="shared" si="29"/>
        <v>248209.32954341773</v>
      </c>
      <c r="K86" s="23">
        <f t="shared" si="29"/>
        <v>242294.33542684439</v>
      </c>
      <c r="L86" s="23">
        <f t="shared" si="29"/>
        <v>236491.37118809079</v>
      </c>
      <c r="M86" s="23">
        <f t="shared" si="29"/>
        <v>230798.46899072707</v>
      </c>
      <c r="N86" s="23">
        <f t="shared" si="29"/>
        <v>225213.69453231589</v>
      </c>
      <c r="O86" s="23">
        <f t="shared" si="29"/>
        <v>219735.14648040946</v>
      </c>
      <c r="P86" s="23">
        <f t="shared" si="29"/>
        <v>214360.95591797616</v>
      </c>
      <c r="Q86" s="23">
        <f t="shared" si="29"/>
        <v>209089.28579810096</v>
      </c>
      <c r="R86" s="23">
        <f t="shared" si="29"/>
        <v>203918.33040780402</v>
      </c>
      <c r="S86" s="23">
        <f t="shared" si="29"/>
        <v>198846.31484082629</v>
      </c>
      <c r="T86" s="23">
        <f t="shared" si="29"/>
        <v>193871.49447923093</v>
      </c>
      <c r="U86" s="23">
        <f t="shared" si="29"/>
        <v>188992.15448367593</v>
      </c>
      <c r="V86" s="23">
        <f t="shared" si="30"/>
        <v>184206.60929221078</v>
      </c>
      <c r="W86" s="23">
        <f t="shared" si="30"/>
        <v>179513.20212745728</v>
      </c>
      <c r="X86" s="23">
        <f t="shared" si="30"/>
        <v>174910.30451203277</v>
      </c>
      <c r="Y86" s="23">
        <f t="shared" si="30"/>
        <v>170396.31579207958</v>
      </c>
      <c r="Z86" s="23">
        <f t="shared" si="30"/>
        <v>165969.66266876506</v>
      </c>
      <c r="AA86" s="23">
        <f t="shared" si="30"/>
        <v>161628.79873761893</v>
      </c>
      <c r="AB86" s="23">
        <f t="shared" si="30"/>
        <v>157372.20403557806</v>
      </c>
    </row>
    <row r="87" spans="1:28">
      <c r="A87" s="20">
        <v>0.12</v>
      </c>
      <c r="B87" s="22">
        <f t="shared" si="31"/>
        <v>0.01</v>
      </c>
      <c r="C87" s="23">
        <f t="shared" si="32"/>
        <v>235.36736111632322</v>
      </c>
      <c r="D87" s="24">
        <f t="shared" si="28"/>
        <v>5187364.9758749455</v>
      </c>
      <c r="E87" s="23">
        <f t="shared" si="33"/>
        <v>281867.07224583527</v>
      </c>
      <c r="F87" s="23">
        <f t="shared" si="29"/>
        <v>275339.10888653912</v>
      </c>
      <c r="G87" s="23">
        <f t="shared" si="29"/>
        <v>268932.27204125689</v>
      </c>
      <c r="H87" s="23">
        <f t="shared" si="29"/>
        <v>262644.46117172699</v>
      </c>
      <c r="I87" s="23">
        <f t="shared" si="29"/>
        <v>256473.61126969068</v>
      </c>
      <c r="J87" s="23">
        <f t="shared" si="29"/>
        <v>250417.69226176894</v>
      </c>
      <c r="K87" s="23">
        <f t="shared" si="29"/>
        <v>244474.70842426698</v>
      </c>
      <c r="L87" s="23">
        <f t="shared" si="29"/>
        <v>238642.69780774452</v>
      </c>
      <c r="M87" s="23">
        <f t="shared" si="29"/>
        <v>232919.73167118506</v>
      </c>
      <c r="N87" s="23">
        <f t="shared" si="29"/>
        <v>227303.91392560743</v>
      </c>
      <c r="O87" s="23">
        <f t="shared" si="29"/>
        <v>221793.3805869605</v>
      </c>
      <c r="P87" s="23">
        <f t="shared" si="29"/>
        <v>216386.2992381478</v>
      </c>
      <c r="Q87" s="23">
        <f t="shared" si="29"/>
        <v>211080.86850002839</v>
      </c>
      <c r="R87" s="23">
        <f t="shared" si="29"/>
        <v>205875.31751124625</v>
      </c>
      <c r="S87" s="23">
        <f t="shared" si="29"/>
        <v>200767.90541673885</v>
      </c>
      <c r="T87" s="23">
        <f t="shared" si="29"/>
        <v>195756.92086478291</v>
      </c>
      <c r="U87" s="23">
        <f t="shared" si="29"/>
        <v>190840.68151243342</v>
      </c>
      <c r="V87" s="23">
        <f t="shared" si="30"/>
        <v>186017.53353921606</v>
      </c>
      <c r="W87" s="23">
        <f t="shared" si="30"/>
        <v>181285.85116893615</v>
      </c>
      <c r="X87" s="23">
        <f t="shared" si="30"/>
        <v>176644.03619946979</v>
      </c>
      <c r="Y87" s="23">
        <f t="shared" si="30"/>
        <v>172090.51754040096</v>
      </c>
      <c r="Z87" s="23">
        <f t="shared" si="30"/>
        <v>167623.75075837894</v>
      </c>
      <c r="AA87" s="23">
        <f t="shared" si="30"/>
        <v>163242.21763006147</v>
      </c>
      <c r="AB87" s="23">
        <f t="shared" si="30"/>
        <v>158944.42570252292</v>
      </c>
    </row>
    <row r="90" spans="1:28">
      <c r="A90" s="100" t="s">
        <v>68</v>
      </c>
      <c r="B90" s="101"/>
      <c r="C90" s="101"/>
      <c r="D90" s="101"/>
      <c r="E90" s="101"/>
      <c r="F90" s="101"/>
      <c r="G90" s="101"/>
      <c r="H90" s="101"/>
      <c r="I90" s="101"/>
    </row>
    <row r="91" spans="1:28">
      <c r="A91" s="18" t="s">
        <v>67</v>
      </c>
      <c r="B91" s="19">
        <v>0.05</v>
      </c>
      <c r="C91" s="19">
        <v>0.06</v>
      </c>
      <c r="D91" s="19">
        <v>7.0000000000000007E-2</v>
      </c>
      <c r="E91" s="19">
        <v>0.08</v>
      </c>
      <c r="F91" s="19">
        <v>0.09</v>
      </c>
      <c r="G91" s="19">
        <v>0.1</v>
      </c>
      <c r="H91" s="19">
        <v>0.11</v>
      </c>
      <c r="I91" s="19">
        <v>0.12</v>
      </c>
    </row>
    <row r="92" spans="1:28">
      <c r="A92" s="20">
        <v>0</v>
      </c>
      <c r="B92" s="50">
        <f>$D$80*(1+$A92)</f>
        <v>4859003.6995211551</v>
      </c>
      <c r="C92" s="50">
        <f>$D$81*(1+$A92)</f>
        <v>4905106.0239454042</v>
      </c>
      <c r="D92" s="50">
        <f>$D$82*(1+$A92)</f>
        <v>4951478.0880576232</v>
      </c>
      <c r="E92" s="50">
        <f>$D$83*(1+$A92)</f>
        <v>4998119.3535084054</v>
      </c>
      <c r="F92" s="50">
        <f>$D$84*(1+$A92)</f>
        <v>5045029.2622419624</v>
      </c>
      <c r="G92" s="50">
        <f>$D$85*(1+$A92)</f>
        <v>5092207.2366804229</v>
      </c>
      <c r="H92" s="50">
        <f>$D$86*(1+$A92)</f>
        <v>5139652.6799101979</v>
      </c>
      <c r="I92" s="50">
        <f>$D$87*(1+$A92)</f>
        <v>5187364.9758749455</v>
      </c>
    </row>
    <row r="93" spans="1:28">
      <c r="A93" s="20">
        <v>5.0000000000000001E-3</v>
      </c>
      <c r="B93" s="50">
        <f t="shared" ref="B93:B100" si="34">$D$80*(1+$A93)</f>
        <v>4883298.71801876</v>
      </c>
      <c r="C93" s="50">
        <f t="shared" ref="C93:C100" si="35">$D$81*(1+$A93)</f>
        <v>4929631.5540651307</v>
      </c>
      <c r="D93" s="50">
        <f t="shared" ref="D93:D100" si="36">$D$82*(1+$A93)</f>
        <v>4976235.4784979112</v>
      </c>
      <c r="E93" s="50">
        <f t="shared" ref="E93:E100" si="37">$D$83*(1+$A93)</f>
        <v>5023109.9502759473</v>
      </c>
      <c r="F93" s="50">
        <f t="shared" ref="F93:F100" si="38">$D$84*(1+$A93)</f>
        <v>5070254.4085531719</v>
      </c>
      <c r="G93" s="50">
        <f t="shared" ref="G93:G100" si="39">$D$85*(1+$A93)</f>
        <v>5117668.2728638249</v>
      </c>
      <c r="H93" s="50">
        <f t="shared" ref="H93:H100" si="40">$D$86*(1+$A93)</f>
        <v>5165350.9433097485</v>
      </c>
      <c r="I93" s="50">
        <f t="shared" ref="I93:I100" si="41">$D$87*(1+$A93)</f>
        <v>5213301.8007543199</v>
      </c>
    </row>
    <row r="94" spans="1:28">
      <c r="A94" s="20">
        <v>0.01</v>
      </c>
      <c r="B94" s="50">
        <f t="shared" si="34"/>
        <v>4907593.7365163667</v>
      </c>
      <c r="C94" s="50">
        <f t="shared" si="35"/>
        <v>4954157.084184858</v>
      </c>
      <c r="D94" s="50">
        <f t="shared" si="36"/>
        <v>5000992.8689381992</v>
      </c>
      <c r="E94" s="50">
        <f t="shared" si="37"/>
        <v>5048100.5470434893</v>
      </c>
      <c r="F94" s="50">
        <f t="shared" si="38"/>
        <v>5095479.5548643824</v>
      </c>
      <c r="G94" s="50">
        <f t="shared" si="39"/>
        <v>5143129.3090472268</v>
      </c>
      <c r="H94" s="50">
        <f t="shared" si="40"/>
        <v>5191049.2067093002</v>
      </c>
      <c r="I94" s="50">
        <f t="shared" si="41"/>
        <v>5239238.6256336952</v>
      </c>
    </row>
    <row r="95" spans="1:28">
      <c r="A95" s="20">
        <v>1.4999999999999999E-2</v>
      </c>
      <c r="B95" s="50">
        <f t="shared" si="34"/>
        <v>4931888.7550139716</v>
      </c>
      <c r="C95" s="50">
        <f t="shared" si="35"/>
        <v>4978682.6143045845</v>
      </c>
      <c r="D95" s="50">
        <f t="shared" si="36"/>
        <v>5025750.2593784872</v>
      </c>
      <c r="E95" s="50">
        <f t="shared" si="37"/>
        <v>5073091.1438110312</v>
      </c>
      <c r="F95" s="50">
        <f t="shared" si="38"/>
        <v>5120704.701175591</v>
      </c>
      <c r="G95" s="50">
        <f t="shared" si="39"/>
        <v>5168590.3452306287</v>
      </c>
      <c r="H95" s="50">
        <f t="shared" si="40"/>
        <v>5216747.4701088499</v>
      </c>
      <c r="I95" s="50">
        <f t="shared" si="41"/>
        <v>5265175.4505130695</v>
      </c>
    </row>
    <row r="96" spans="1:28">
      <c r="A96" s="20">
        <v>0.02</v>
      </c>
      <c r="B96" s="50">
        <f t="shared" si="34"/>
        <v>4956183.7735115783</v>
      </c>
      <c r="C96" s="50">
        <f t="shared" si="35"/>
        <v>5003208.1444243127</v>
      </c>
      <c r="D96" s="51">
        <f t="shared" si="36"/>
        <v>5050507.6498187762</v>
      </c>
      <c r="E96" s="50">
        <f t="shared" si="37"/>
        <v>5098081.7405785732</v>
      </c>
      <c r="F96" s="50">
        <f t="shared" si="38"/>
        <v>5145929.8474868014</v>
      </c>
      <c r="G96" s="50">
        <f t="shared" si="39"/>
        <v>5194051.3814140316</v>
      </c>
      <c r="H96" s="50">
        <f t="shared" si="40"/>
        <v>5242445.7335084016</v>
      </c>
      <c r="I96" s="50">
        <f t="shared" si="41"/>
        <v>5291112.2753924448</v>
      </c>
    </row>
    <row r="97" spans="1:9">
      <c r="A97" s="20">
        <v>2.5000000000000001E-2</v>
      </c>
      <c r="B97" s="50">
        <f t="shared" si="34"/>
        <v>4980478.7920091832</v>
      </c>
      <c r="C97" s="50">
        <f t="shared" si="35"/>
        <v>5027733.6745440392</v>
      </c>
      <c r="D97" s="50">
        <f t="shared" si="36"/>
        <v>5075265.0402590632</v>
      </c>
      <c r="E97" s="50">
        <f t="shared" si="37"/>
        <v>5123072.3373461151</v>
      </c>
      <c r="F97" s="50">
        <f t="shared" si="38"/>
        <v>5171154.993798011</v>
      </c>
      <c r="G97" s="50">
        <f t="shared" si="39"/>
        <v>5219512.4175974326</v>
      </c>
      <c r="H97" s="50">
        <f t="shared" si="40"/>
        <v>5268143.9969079522</v>
      </c>
      <c r="I97" s="50">
        <f t="shared" si="41"/>
        <v>5317049.1002718192</v>
      </c>
    </row>
    <row r="98" spans="1:9">
      <c r="A98" s="20">
        <v>0.03</v>
      </c>
      <c r="B98" s="50">
        <f t="shared" si="34"/>
        <v>5004773.8105067899</v>
      </c>
      <c r="C98" s="50">
        <f t="shared" si="35"/>
        <v>5052259.2046637665</v>
      </c>
      <c r="D98" s="50">
        <f t="shared" si="36"/>
        <v>5100022.4306993522</v>
      </c>
      <c r="E98" s="50">
        <f t="shared" si="37"/>
        <v>5148062.934113658</v>
      </c>
      <c r="F98" s="50">
        <f t="shared" si="38"/>
        <v>5196380.1401092215</v>
      </c>
      <c r="G98" s="50">
        <f t="shared" si="39"/>
        <v>5244973.4537808355</v>
      </c>
      <c r="H98" s="50">
        <f t="shared" si="40"/>
        <v>5293842.2603075039</v>
      </c>
      <c r="I98" s="50">
        <f t="shared" si="41"/>
        <v>5342985.9251511944</v>
      </c>
    </row>
    <row r="99" spans="1:9">
      <c r="A99" s="20">
        <v>3.5000000000000003E-2</v>
      </c>
      <c r="B99" s="50">
        <f t="shared" si="34"/>
        <v>5029068.8290043948</v>
      </c>
      <c r="C99" s="50">
        <f t="shared" si="35"/>
        <v>5076784.734783493</v>
      </c>
      <c r="D99" s="50">
        <f t="shared" si="36"/>
        <v>5124779.8211396392</v>
      </c>
      <c r="E99" s="50">
        <f t="shared" si="37"/>
        <v>5173053.5308811991</v>
      </c>
      <c r="F99" s="50">
        <f t="shared" si="38"/>
        <v>5221605.286420431</v>
      </c>
      <c r="G99" s="50">
        <f t="shared" si="39"/>
        <v>5270434.4899642374</v>
      </c>
      <c r="H99" s="50">
        <f t="shared" si="40"/>
        <v>5319540.5237070546</v>
      </c>
      <c r="I99" s="50">
        <f t="shared" si="41"/>
        <v>5368922.7500305679</v>
      </c>
    </row>
    <row r="100" spans="1:9">
      <c r="A100" s="20">
        <v>0.04</v>
      </c>
      <c r="B100" s="50">
        <f t="shared" si="34"/>
        <v>5053363.8475020016</v>
      </c>
      <c r="C100" s="50">
        <f t="shared" si="35"/>
        <v>5101310.2649032203</v>
      </c>
      <c r="D100" s="50">
        <f t="shared" si="36"/>
        <v>5149537.2115799282</v>
      </c>
      <c r="E100" s="50">
        <f t="shared" si="37"/>
        <v>5198044.1276487419</v>
      </c>
      <c r="F100" s="50">
        <f t="shared" si="38"/>
        <v>5246830.4327316415</v>
      </c>
      <c r="G100" s="50">
        <f t="shared" si="39"/>
        <v>5295895.5261476403</v>
      </c>
      <c r="H100" s="50">
        <f t="shared" si="40"/>
        <v>5345238.7871066062</v>
      </c>
      <c r="I100" s="50">
        <f t="shared" si="41"/>
        <v>5394859.5749099432</v>
      </c>
    </row>
    <row r="103" spans="1:9">
      <c r="A103" s="100" t="s">
        <v>74</v>
      </c>
      <c r="B103" s="101"/>
    </row>
    <row r="104" spans="1:9">
      <c r="A104" s="3" t="s">
        <v>69</v>
      </c>
      <c r="B104" s="25">
        <f>$M$46</f>
        <v>5146782.7313981894</v>
      </c>
    </row>
    <row r="105" spans="1:9">
      <c r="A105" s="3" t="s">
        <v>70</v>
      </c>
      <c r="B105" s="25">
        <f>$O$46</f>
        <v>5050507.6498187762</v>
      </c>
    </row>
    <row r="106" spans="1:9">
      <c r="A106" s="3" t="s">
        <v>71</v>
      </c>
      <c r="B106" s="25">
        <f>-B18</f>
        <v>-5000000</v>
      </c>
    </row>
    <row r="107" spans="1:9">
      <c r="A107" s="26" t="s">
        <v>72</v>
      </c>
      <c r="B107" s="27">
        <f>B105+B106</f>
        <v>50507.649818776175</v>
      </c>
    </row>
    <row r="108" spans="1:9">
      <c r="A108" s="3" t="s">
        <v>73</v>
      </c>
      <c r="B108" s="28">
        <f>$B$107/$B$18</f>
        <v>1.0101529963755235E-2</v>
      </c>
    </row>
  </sheetData>
  <mergeCells count="17">
    <mergeCell ref="A90:I90"/>
    <mergeCell ref="A103:B103"/>
    <mergeCell ref="B18:E18"/>
    <mergeCell ref="B16:E16"/>
    <mergeCell ref="B17:E17"/>
    <mergeCell ref="B15:E15"/>
    <mergeCell ref="B9:E9"/>
    <mergeCell ref="A1:E1"/>
    <mergeCell ref="B5:E5"/>
    <mergeCell ref="B6:E6"/>
    <mergeCell ref="B7:E7"/>
    <mergeCell ref="B8:E8"/>
    <mergeCell ref="B10:E10"/>
    <mergeCell ref="B11:E11"/>
    <mergeCell ref="B12:E12"/>
    <mergeCell ref="B13:E13"/>
    <mergeCell ref="B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FCE1-E7F6-46F1-930C-0E86F934820C}">
  <sheetPr>
    <pageSetUpPr fitToPage="1"/>
  </sheetPr>
  <dimension ref="A1:E29"/>
  <sheetViews>
    <sheetView showGridLines="0" tabSelected="1" topLeftCell="A4" workbookViewId="0">
      <selection activeCell="E28" sqref="E28"/>
    </sheetView>
  </sheetViews>
  <sheetFormatPr defaultRowHeight="14.25"/>
  <cols>
    <col min="1" max="1" width="45.7109375" style="30" customWidth="1"/>
    <col min="2" max="3" width="25.140625" style="30" customWidth="1"/>
    <col min="4" max="4" width="28.5703125" style="30" customWidth="1"/>
    <col min="5" max="16384" width="9.140625" style="30"/>
  </cols>
  <sheetData>
    <row r="1" spans="1:5" ht="21" customHeight="1" thickBot="1">
      <c r="A1" s="63" t="s">
        <v>0</v>
      </c>
      <c r="B1" s="64"/>
      <c r="C1" s="64"/>
      <c r="D1" s="64"/>
      <c r="E1" s="64"/>
    </row>
    <row r="2" spans="1:5" ht="27.95" customHeight="1" thickBot="1">
      <c r="A2" s="109" t="s">
        <v>75</v>
      </c>
      <c r="B2" s="110"/>
      <c r="C2" s="110"/>
      <c r="D2" s="110"/>
      <c r="E2" s="111"/>
    </row>
    <row r="3" spans="1:5" ht="21" customHeight="1">
      <c r="A3" s="29"/>
      <c r="B3" s="29"/>
      <c r="C3" s="29"/>
      <c r="D3" s="29"/>
    </row>
    <row r="4" spans="1:5" ht="21" customHeight="1">
      <c r="A4" s="31" t="s">
        <v>76</v>
      </c>
      <c r="B4" s="112" t="str">
        <f>IF(B18&lt;C18,"Chase Bank",IF(C18&lt;B18,"Wells Fargo Bank","Either loan"))</f>
        <v>Wells Fargo Bank</v>
      </c>
      <c r="C4" s="112"/>
      <c r="D4" s="112"/>
      <c r="E4" s="112"/>
    </row>
    <row r="5" spans="1:5" ht="21" customHeight="1">
      <c r="A5" s="113" t="s">
        <v>85</v>
      </c>
      <c r="B5" s="113"/>
      <c r="C5" s="113"/>
      <c r="D5" s="113"/>
      <c r="E5" s="113"/>
    </row>
    <row r="6" spans="1:5" ht="21" customHeight="1">
      <c r="A6" s="114"/>
      <c r="B6" s="114"/>
      <c r="C6" s="114"/>
      <c r="D6" s="114"/>
      <c r="E6" s="114"/>
    </row>
    <row r="7" spans="1:5" ht="21" customHeight="1"/>
    <row r="8" spans="1:5" ht="21" customHeight="1">
      <c r="A8" s="29"/>
      <c r="B8" s="29"/>
      <c r="C8" s="29"/>
      <c r="D8" s="29"/>
    </row>
    <row r="9" spans="1:5" ht="36" customHeight="1">
      <c r="A9" s="32" t="s">
        <v>77</v>
      </c>
      <c r="B9" s="32" t="s">
        <v>78</v>
      </c>
      <c r="C9" s="32" t="s">
        <v>79</v>
      </c>
      <c r="D9" s="32" t="s">
        <v>87</v>
      </c>
    </row>
    <row r="10" spans="1:5" ht="21" customHeight="1">
      <c r="A10" s="33" t="s">
        <v>86</v>
      </c>
      <c r="B10" s="34">
        <f>'Sheet 1 - Amortization &amp; Charts'!$B$19</f>
        <v>5000</v>
      </c>
      <c r="C10" s="34">
        <f>'Sheet 1 - Amortization &amp; Charts'!$C$5</f>
        <v>5000</v>
      </c>
      <c r="D10" s="42" t="s">
        <v>88</v>
      </c>
    </row>
    <row r="11" spans="1:5" ht="21" customHeight="1">
      <c r="A11" s="35" t="s">
        <v>8</v>
      </c>
      <c r="B11" s="36">
        <f>'Sheet 1 - Amortization &amp; Charts'!$C$5</f>
        <v>5000</v>
      </c>
      <c r="C11" s="36">
        <f>'Sheet 1 - Amortization &amp; Charts'!$J$19</f>
        <v>5100</v>
      </c>
      <c r="D11" s="43">
        <f>B11-C11</f>
        <v>-100</v>
      </c>
    </row>
    <row r="12" spans="1:5" ht="21" customHeight="1">
      <c r="A12" s="33" t="s">
        <v>80</v>
      </c>
      <c r="B12" s="34">
        <f>'Sheet 1 - Amortization &amp; Charts'!$B$14</f>
        <v>230.72463168758347</v>
      </c>
      <c r="C12" s="34">
        <f>'Sheet 1 - Amortization &amp; Charts'!$D$14</f>
        <v>228.34015342604093</v>
      </c>
      <c r="D12" s="39">
        <f>B12-C12</f>
        <v>2.3844782615425402</v>
      </c>
    </row>
    <row r="13" spans="1:5" ht="21" customHeight="1">
      <c r="A13" s="35" t="s">
        <v>81</v>
      </c>
      <c r="B13" s="36">
        <f>'Sheet 1 - Amortization &amp; Charts'!$C$43</f>
        <v>537.39116050197811</v>
      </c>
      <c r="C13" s="36">
        <f>'Sheet 1 - Amortization &amp; Charts'!$K$43</f>
        <v>380.16368222500125</v>
      </c>
      <c r="D13" s="40">
        <f t="shared" ref="D13:D18" si="0">B13-C13</f>
        <v>157.22747827697685</v>
      </c>
    </row>
    <row r="14" spans="1:5" ht="21" customHeight="1">
      <c r="A14" s="33" t="s">
        <v>82</v>
      </c>
      <c r="B14" s="34">
        <f>0</f>
        <v>0</v>
      </c>
      <c r="C14" s="34">
        <f>'Sheet 1 - Amortization &amp; Charts'!$D$13-'Sheet 1 - Amortization &amp; Charts'!$C$5</f>
        <v>100</v>
      </c>
      <c r="D14" s="38">
        <f t="shared" si="0"/>
        <v>-100</v>
      </c>
    </row>
    <row r="15" spans="1:5" ht="21" customHeight="1">
      <c r="A15" s="35" t="s">
        <v>83</v>
      </c>
      <c r="B15" s="36">
        <f>SUM(B13:B14)</f>
        <v>537.39116050197811</v>
      </c>
      <c r="C15" s="36">
        <f>SUM(C13:C14)</f>
        <v>480.16368222500125</v>
      </c>
      <c r="D15" s="40">
        <f t="shared" si="0"/>
        <v>57.227478276976854</v>
      </c>
    </row>
    <row r="16" spans="1:5" ht="21" customHeight="1">
      <c r="A16" s="33" t="s">
        <v>89</v>
      </c>
      <c r="B16" s="37">
        <f>RATE('Sheet 1 - Amortization &amp; Charts'!$A$42,-$B$12,'Sheet 4 - Executive Summary'!$B$10)</f>
        <v>8.3333333341957701E-3</v>
      </c>
      <c r="C16" s="37">
        <f>RATE('Sheet 1 - Amortization &amp; Charts'!$I$42,-'Sheet 4 - Executive Summary'!$C$12,'Sheet 4 - Executive Summary'!$C$10)</f>
        <v>7.4696441095777593E-3</v>
      </c>
      <c r="D16" s="44">
        <f>B16-C16</f>
        <v>8.6368922461801077E-4</v>
      </c>
    </row>
    <row r="17" spans="1:5" ht="21" customHeight="1">
      <c r="A17" s="35" t="s">
        <v>90</v>
      </c>
      <c r="B17" s="45">
        <f>B16*12</f>
        <v>0.10000000001034924</v>
      </c>
      <c r="C17" s="45">
        <f>C16*12</f>
        <v>8.9635729314933105E-2</v>
      </c>
      <c r="D17" s="44">
        <f>B17-C17</f>
        <v>1.0364270695416136E-2</v>
      </c>
      <c r="E17" s="41" t="s">
        <v>91</v>
      </c>
    </row>
    <row r="18" spans="1:5" ht="21" customHeight="1">
      <c r="A18" s="35" t="s">
        <v>84</v>
      </c>
      <c r="B18" s="36">
        <f>'Sheet 1 - Amortization &amp; Charts'!$D$43</f>
        <v>5537.391160502003</v>
      </c>
      <c r="C18" s="36">
        <f>'Sheet 1 - Amortization &amp; Charts'!$L$43</f>
        <v>5480.1636822249839</v>
      </c>
      <c r="D18" s="40">
        <f t="shared" si="0"/>
        <v>57.227478277019145</v>
      </c>
    </row>
    <row r="19" spans="1:5" ht="21" customHeight="1">
      <c r="A19" s="108" t="str">
        <f>IF(C18&lt;B18,"Wells Fargo saves "&amp;TEXT(D12,"$0.00")&amp;" per month and "&amp;TEXT(D18,"$0.00")&amp;" over 24 months, including the fee.",IF(B18&lt;C18,"Chase saves "&amp;TEXT(-D12,"$0.00")&amp;" per month and "&amp;TEXT(-D18,"$0.00")&amp;" over 24 months, including fees.","Both loans have the same total scheduled payments."))</f>
        <v>Wells Fargo saves $2.38 per month and $57.23 over 24 months, including the fee.</v>
      </c>
      <c r="B19" s="108"/>
      <c r="C19" s="108"/>
      <c r="D19" s="108"/>
    </row>
    <row r="20" spans="1:5" ht="21" customHeight="1">
      <c r="A20" s="108"/>
      <c r="B20" s="108"/>
      <c r="C20" s="108"/>
      <c r="D20" s="108"/>
    </row>
    <row r="21" spans="1:5" ht="21" customHeight="1"/>
    <row r="22" spans="1:5" ht="21" customHeight="1"/>
    <row r="23" spans="1:5" ht="21" customHeight="1">
      <c r="A23" s="29"/>
      <c r="B23" s="29"/>
      <c r="C23" s="29"/>
      <c r="D23" s="29"/>
    </row>
    <row r="24" spans="1:5" ht="21" customHeight="1">
      <c r="B24" s="29"/>
      <c r="C24" s="29"/>
      <c r="D24" s="29"/>
    </row>
    <row r="25" spans="1:5" ht="21" customHeight="1">
      <c r="A25" s="29"/>
      <c r="B25" s="29"/>
      <c r="C25" s="29"/>
      <c r="D25" s="29"/>
    </row>
    <row r="26" spans="1:5" ht="21" customHeight="1">
      <c r="A26" s="29"/>
      <c r="B26" s="29"/>
      <c r="C26" s="29"/>
      <c r="D26" s="29"/>
    </row>
    <row r="27" spans="1:5" ht="21" customHeight="1">
      <c r="A27" s="29"/>
      <c r="B27" s="29"/>
      <c r="C27" s="29"/>
      <c r="D27" s="29"/>
    </row>
    <row r="28" spans="1:5" ht="21" customHeight="1">
      <c r="A28" s="29"/>
      <c r="B28" s="29"/>
      <c r="C28" s="29"/>
      <c r="D28" s="29"/>
    </row>
    <row r="29" spans="1:5" ht="21" customHeight="1">
      <c r="A29" s="29"/>
      <c r="B29" s="29"/>
      <c r="C29" s="29"/>
      <c r="D29" s="29"/>
    </row>
  </sheetData>
  <mergeCells count="5">
    <mergeCell ref="A19:D20"/>
    <mergeCell ref="A1:E1"/>
    <mergeCell ref="A2:E2"/>
    <mergeCell ref="B4:E4"/>
    <mergeCell ref="A5:E6"/>
  </mergeCells>
  <pageMargins left="0.35" right="0.35" top="0.4" bottom="0.4" header="0.2" footer="0.2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 1 - Amortization &amp; Charts</vt:lpstr>
      <vt:lpstr>Sheet 2 - Payoff Analysis</vt:lpstr>
      <vt:lpstr>Sheet 3 - Bank's View</vt:lpstr>
      <vt:lpstr>Sheet 4 - Executive Summary</vt:lpstr>
      <vt:lpstr>'Sheet 4 - Executive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</dc:creator>
  <cp:lastModifiedBy>Harsh Raj</cp:lastModifiedBy>
  <dcterms:created xsi:type="dcterms:W3CDTF">2026-09-11T06:31:13Z</dcterms:created>
  <dcterms:modified xsi:type="dcterms:W3CDTF">2026-09-12T00:01:26Z</dcterms:modified>
</cp:coreProperties>
</file>