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7EAAEF62-68AB-4275-B725-DF87CDCE7F07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Methodology" sheetId="1" r:id="rId1"/>
    <sheet name="Input Data" sheetId="2" r:id="rId2"/>
    <sheet name="Cash Flows" sheetId="7" r:id="rId3"/>
    <sheet name="ZCB Curve - Payment Dates" sheetId="3" r:id="rId4"/>
    <sheet name="ZCB Curve - Smooth Grid" sheetId="4" r:id="rId5"/>
    <sheet name="Curve Chart" sheetId="5" r:id="rId6"/>
    <sheet name="Fit Diagnostics" sheetId="6" r:id="rId7"/>
  </sheets>
  <definedNames>
    <definedName name="_xlnm._FilterDatabase" localSheetId="2" hidden="1">'Cash Flows'!$A$1:$E$5628</definedName>
    <definedName name="_xlnm.Print_Area" localSheetId="5">'Curve Chart'!$A$1:$N$30</definedName>
  </definedNames>
  <calcPr calcId="181029"/>
</workbook>
</file>

<file path=xl/calcChain.xml><?xml version="1.0" encoding="utf-8"?>
<calcChain xmlns="http://schemas.openxmlformats.org/spreadsheetml/2006/main">
  <c r="D5" i="7" l="1"/>
  <c r="D3" i="7"/>
  <c r="D2" i="7"/>
  <c r="C5628" i="7"/>
  <c r="C5627" i="7"/>
  <c r="C5626" i="7"/>
  <c r="C5625" i="7"/>
  <c r="C5624" i="7"/>
  <c r="C5623" i="7"/>
  <c r="C5622" i="7"/>
  <c r="C5621" i="7"/>
  <c r="C5620" i="7"/>
  <c r="C5619" i="7"/>
  <c r="C5618" i="7"/>
  <c r="C5617" i="7"/>
  <c r="C5616" i="7"/>
  <c r="C5615" i="7"/>
  <c r="C5614" i="7"/>
  <c r="C5613" i="7"/>
  <c r="C5612" i="7"/>
  <c r="C5611" i="7"/>
  <c r="C5610" i="7"/>
  <c r="C5609" i="7"/>
  <c r="C5608" i="7"/>
  <c r="C5607" i="7"/>
  <c r="C5606" i="7"/>
  <c r="C5605" i="7"/>
  <c r="C5604" i="7"/>
  <c r="C5603" i="7"/>
  <c r="C5602" i="7"/>
  <c r="C5601" i="7"/>
  <c r="C5600" i="7"/>
  <c r="C5599" i="7"/>
  <c r="C5598" i="7"/>
  <c r="C5597" i="7"/>
  <c r="C5596" i="7"/>
  <c r="C5595" i="7"/>
  <c r="C5594" i="7"/>
  <c r="C5593" i="7"/>
  <c r="C5592" i="7"/>
  <c r="C5591" i="7"/>
  <c r="C5590" i="7"/>
  <c r="C5589" i="7"/>
  <c r="C5588" i="7"/>
  <c r="C5587" i="7"/>
  <c r="C5586" i="7"/>
  <c r="C5585" i="7"/>
  <c r="C5584" i="7"/>
  <c r="C5583" i="7"/>
  <c r="C5582" i="7"/>
  <c r="C5581" i="7"/>
  <c r="C5580" i="7"/>
  <c r="C5579" i="7"/>
  <c r="C5578" i="7"/>
  <c r="C5577" i="7"/>
  <c r="C5576" i="7"/>
  <c r="C5575" i="7"/>
  <c r="C5574" i="7"/>
  <c r="C5573" i="7"/>
  <c r="C5572" i="7"/>
  <c r="C5571" i="7"/>
  <c r="C5570" i="7"/>
  <c r="C5569" i="7"/>
  <c r="C5568" i="7"/>
  <c r="C5567" i="7"/>
  <c r="C5566" i="7"/>
  <c r="C5565" i="7"/>
  <c r="C5564" i="7"/>
  <c r="C5563" i="7"/>
  <c r="C5562" i="7"/>
  <c r="C5561" i="7"/>
  <c r="C5560" i="7"/>
  <c r="C5559" i="7"/>
  <c r="C5558" i="7"/>
  <c r="C5557" i="7"/>
  <c r="C5556" i="7"/>
  <c r="C5555" i="7"/>
  <c r="C5554" i="7"/>
  <c r="C5553" i="7"/>
  <c r="C5552" i="7"/>
  <c r="C5551" i="7"/>
  <c r="C5550" i="7"/>
  <c r="C5549" i="7"/>
  <c r="C5548" i="7"/>
  <c r="C5547" i="7"/>
  <c r="C5546" i="7"/>
  <c r="C5545" i="7"/>
  <c r="C5544" i="7"/>
  <c r="C5543" i="7"/>
  <c r="C5542" i="7"/>
  <c r="C5541" i="7"/>
  <c r="C5540" i="7"/>
  <c r="C5539" i="7"/>
  <c r="C5538" i="7"/>
  <c r="C5537" i="7"/>
  <c r="C5536" i="7"/>
  <c r="C5535" i="7"/>
  <c r="C5534" i="7"/>
  <c r="C5533" i="7"/>
  <c r="C5532" i="7"/>
  <c r="C5531" i="7"/>
  <c r="C5530" i="7"/>
  <c r="C5529" i="7"/>
  <c r="C5528" i="7"/>
  <c r="C5527" i="7"/>
  <c r="C5526" i="7"/>
  <c r="C5525" i="7"/>
  <c r="C5524" i="7"/>
  <c r="C5523" i="7"/>
  <c r="C5522" i="7"/>
  <c r="C5521" i="7"/>
  <c r="C5520" i="7"/>
  <c r="C5519" i="7"/>
  <c r="C5518" i="7"/>
  <c r="C5517" i="7"/>
  <c r="C5516" i="7"/>
  <c r="C5515" i="7"/>
  <c r="C5514" i="7"/>
  <c r="C5513" i="7"/>
  <c r="C5512" i="7"/>
  <c r="C5511" i="7"/>
  <c r="C5510" i="7"/>
  <c r="C5509" i="7"/>
  <c r="C5508" i="7"/>
  <c r="C5507" i="7"/>
  <c r="C5506" i="7"/>
  <c r="C5505" i="7"/>
  <c r="C5504" i="7"/>
  <c r="C5503" i="7"/>
  <c r="C5502" i="7"/>
  <c r="C5501" i="7"/>
  <c r="C5500" i="7"/>
  <c r="C5499" i="7"/>
  <c r="C5498" i="7"/>
  <c r="C5497" i="7"/>
  <c r="C5496" i="7"/>
  <c r="C5495" i="7"/>
  <c r="C5494" i="7"/>
  <c r="C5493" i="7"/>
  <c r="C5492" i="7"/>
  <c r="C5491" i="7"/>
  <c r="C5490" i="7"/>
  <c r="C5489" i="7"/>
  <c r="C5488" i="7"/>
  <c r="C5487" i="7"/>
  <c r="C5486" i="7"/>
  <c r="C5485" i="7"/>
  <c r="C5484" i="7"/>
  <c r="C5483" i="7"/>
  <c r="C5482" i="7"/>
  <c r="C5481" i="7"/>
  <c r="C5480" i="7"/>
  <c r="C5479" i="7"/>
  <c r="C5478" i="7"/>
  <c r="C5477" i="7"/>
  <c r="C5476" i="7"/>
  <c r="C5475" i="7"/>
  <c r="C5474" i="7"/>
  <c r="C5473" i="7"/>
  <c r="C5472" i="7"/>
  <c r="C5471" i="7"/>
  <c r="C5470" i="7"/>
  <c r="C5469" i="7"/>
  <c r="C5468" i="7"/>
  <c r="C5467" i="7"/>
  <c r="C5466" i="7"/>
  <c r="C5465" i="7"/>
  <c r="C5464" i="7"/>
  <c r="C5463" i="7"/>
  <c r="C5462" i="7"/>
  <c r="C5461" i="7"/>
  <c r="C5460" i="7"/>
  <c r="C5459" i="7"/>
  <c r="C5458" i="7"/>
  <c r="C5457" i="7"/>
  <c r="C5456" i="7"/>
  <c r="C5455" i="7"/>
  <c r="C5454" i="7"/>
  <c r="C5453" i="7"/>
  <c r="C5452" i="7"/>
  <c r="C5451" i="7"/>
  <c r="C5450" i="7"/>
  <c r="C5449" i="7"/>
  <c r="C5448" i="7"/>
  <c r="C5447" i="7"/>
  <c r="C5446" i="7"/>
  <c r="C5445" i="7"/>
  <c r="C5444" i="7"/>
  <c r="C5443" i="7"/>
  <c r="C5442" i="7"/>
  <c r="C5441" i="7"/>
  <c r="C5440" i="7"/>
  <c r="C5439" i="7"/>
  <c r="C5438" i="7"/>
  <c r="C5437" i="7"/>
  <c r="C5436" i="7"/>
  <c r="C5435" i="7"/>
  <c r="C5434" i="7"/>
  <c r="C5433" i="7"/>
  <c r="C5432" i="7"/>
  <c r="C5431" i="7"/>
  <c r="C5430" i="7"/>
  <c r="C5429" i="7"/>
  <c r="C5428" i="7"/>
  <c r="C5427" i="7"/>
  <c r="C5426" i="7"/>
  <c r="C5425" i="7"/>
  <c r="C5424" i="7"/>
  <c r="C5423" i="7"/>
  <c r="C5422" i="7"/>
  <c r="C5421" i="7"/>
  <c r="C5420" i="7"/>
  <c r="C5419" i="7"/>
  <c r="C5418" i="7"/>
  <c r="C5417" i="7"/>
  <c r="C5416" i="7"/>
  <c r="C5415" i="7"/>
  <c r="C5414" i="7"/>
  <c r="C5413" i="7"/>
  <c r="C5412" i="7"/>
  <c r="C5411" i="7"/>
  <c r="C5410" i="7"/>
  <c r="C5409" i="7"/>
  <c r="C5408" i="7"/>
  <c r="C5407" i="7"/>
  <c r="C5406" i="7"/>
  <c r="C5405" i="7"/>
  <c r="C5404" i="7"/>
  <c r="C5403" i="7"/>
  <c r="C5402" i="7"/>
  <c r="C5401" i="7"/>
  <c r="C5400" i="7"/>
  <c r="C5399" i="7"/>
  <c r="C5398" i="7"/>
  <c r="C5397" i="7"/>
  <c r="C5396" i="7"/>
  <c r="C5395" i="7"/>
  <c r="C5394" i="7"/>
  <c r="C5393" i="7"/>
  <c r="C5392" i="7"/>
  <c r="C5391" i="7"/>
  <c r="C5390" i="7"/>
  <c r="C5389" i="7"/>
  <c r="C5388" i="7"/>
  <c r="C5387" i="7"/>
  <c r="C5386" i="7"/>
  <c r="C5385" i="7"/>
  <c r="C5384" i="7"/>
  <c r="C5383" i="7"/>
  <c r="C5382" i="7"/>
  <c r="C5381" i="7"/>
  <c r="C5380" i="7"/>
  <c r="C5379" i="7"/>
  <c r="C5378" i="7"/>
  <c r="C5377" i="7"/>
  <c r="C5376" i="7"/>
  <c r="C5375" i="7"/>
  <c r="C5374" i="7"/>
  <c r="C5373" i="7"/>
  <c r="C5372" i="7"/>
  <c r="C5371" i="7"/>
  <c r="C5370" i="7"/>
  <c r="C5369" i="7"/>
  <c r="C5368" i="7"/>
  <c r="C5367" i="7"/>
  <c r="C5366" i="7"/>
  <c r="C5365" i="7"/>
  <c r="C5364" i="7"/>
  <c r="C5363" i="7"/>
  <c r="C5362" i="7"/>
  <c r="C5361" i="7"/>
  <c r="C5360" i="7"/>
  <c r="C5359" i="7"/>
  <c r="C5358" i="7"/>
  <c r="C5357" i="7"/>
  <c r="C5356" i="7"/>
  <c r="C5355" i="7"/>
  <c r="C5354" i="7"/>
  <c r="C5353" i="7"/>
  <c r="C5352" i="7"/>
  <c r="C5351" i="7"/>
  <c r="C5350" i="7"/>
  <c r="C5349" i="7"/>
  <c r="C5348" i="7"/>
  <c r="C5347" i="7"/>
  <c r="C5346" i="7"/>
  <c r="C5345" i="7"/>
  <c r="C5344" i="7"/>
  <c r="C5343" i="7"/>
  <c r="C5342" i="7"/>
  <c r="C5341" i="7"/>
  <c r="C5340" i="7"/>
  <c r="C5339" i="7"/>
  <c r="C5338" i="7"/>
  <c r="C5337" i="7"/>
  <c r="C5336" i="7"/>
  <c r="C5335" i="7"/>
  <c r="C5334" i="7"/>
  <c r="C5333" i="7"/>
  <c r="C5332" i="7"/>
  <c r="C5331" i="7"/>
  <c r="C5330" i="7"/>
  <c r="C5329" i="7"/>
  <c r="C5328" i="7"/>
  <c r="C5327" i="7"/>
  <c r="C5326" i="7"/>
  <c r="C5325" i="7"/>
  <c r="C5324" i="7"/>
  <c r="C5323" i="7"/>
  <c r="C5322" i="7"/>
  <c r="C5321" i="7"/>
  <c r="C5320" i="7"/>
  <c r="C5319" i="7"/>
  <c r="C5318" i="7"/>
  <c r="C5317" i="7"/>
  <c r="C5316" i="7"/>
  <c r="C5315" i="7"/>
  <c r="C5314" i="7"/>
  <c r="C5313" i="7"/>
  <c r="C5312" i="7"/>
  <c r="C5311" i="7"/>
  <c r="C5310" i="7"/>
  <c r="C5309" i="7"/>
  <c r="C5308" i="7"/>
  <c r="C5307" i="7"/>
  <c r="C5306" i="7"/>
  <c r="C5305" i="7"/>
  <c r="C5304" i="7"/>
  <c r="C5303" i="7"/>
  <c r="C5302" i="7"/>
  <c r="C5301" i="7"/>
  <c r="C5300" i="7"/>
  <c r="C5299" i="7"/>
  <c r="C5298" i="7"/>
  <c r="C5297" i="7"/>
  <c r="C5296" i="7"/>
  <c r="C5295" i="7"/>
  <c r="C5294" i="7"/>
  <c r="C5293" i="7"/>
  <c r="C5292" i="7"/>
  <c r="C5291" i="7"/>
  <c r="C5290" i="7"/>
  <c r="C5289" i="7"/>
  <c r="C5288" i="7"/>
  <c r="C5287" i="7"/>
  <c r="C5286" i="7"/>
  <c r="C5285" i="7"/>
  <c r="C5284" i="7"/>
  <c r="C5283" i="7"/>
  <c r="C5282" i="7"/>
  <c r="C5281" i="7"/>
  <c r="C5280" i="7"/>
  <c r="C5279" i="7"/>
  <c r="C5278" i="7"/>
  <c r="C5277" i="7"/>
  <c r="C5276" i="7"/>
  <c r="C5275" i="7"/>
  <c r="C5274" i="7"/>
  <c r="C5273" i="7"/>
  <c r="C5272" i="7"/>
  <c r="C5271" i="7"/>
  <c r="C5270" i="7"/>
  <c r="C5269" i="7"/>
  <c r="C5268" i="7"/>
  <c r="C5267" i="7"/>
  <c r="C5266" i="7"/>
  <c r="C5265" i="7"/>
  <c r="C5264" i="7"/>
  <c r="C5263" i="7"/>
  <c r="C5262" i="7"/>
  <c r="C5261" i="7"/>
  <c r="C5260" i="7"/>
  <c r="C5259" i="7"/>
  <c r="C5258" i="7"/>
  <c r="C5257" i="7"/>
  <c r="C5256" i="7"/>
  <c r="C5255" i="7"/>
  <c r="C5254" i="7"/>
  <c r="C5253" i="7"/>
  <c r="C5252" i="7"/>
  <c r="C5251" i="7"/>
  <c r="C5250" i="7"/>
  <c r="C5249" i="7"/>
  <c r="C5248" i="7"/>
  <c r="C5247" i="7"/>
  <c r="C5246" i="7"/>
  <c r="C5245" i="7"/>
  <c r="C5244" i="7"/>
  <c r="C5243" i="7"/>
  <c r="C5242" i="7"/>
  <c r="C5241" i="7"/>
  <c r="C5240" i="7"/>
  <c r="C5239" i="7"/>
  <c r="C5238" i="7"/>
  <c r="C5237" i="7"/>
  <c r="C5236" i="7"/>
  <c r="C5235" i="7"/>
  <c r="C5234" i="7"/>
  <c r="C5233" i="7"/>
  <c r="C5232" i="7"/>
  <c r="C5231" i="7"/>
  <c r="C5230" i="7"/>
  <c r="C5229" i="7"/>
  <c r="C5228" i="7"/>
  <c r="C5227" i="7"/>
  <c r="C5226" i="7"/>
  <c r="C5225" i="7"/>
  <c r="C5224" i="7"/>
  <c r="C5223" i="7"/>
  <c r="C5222" i="7"/>
  <c r="C5221" i="7"/>
  <c r="C5220" i="7"/>
  <c r="C5219" i="7"/>
  <c r="C5218" i="7"/>
  <c r="C5217" i="7"/>
  <c r="C5216" i="7"/>
  <c r="C5215" i="7"/>
  <c r="C5214" i="7"/>
  <c r="C5213" i="7"/>
  <c r="C5212" i="7"/>
  <c r="C5211" i="7"/>
  <c r="C5210" i="7"/>
  <c r="C5209" i="7"/>
  <c r="C5208" i="7"/>
  <c r="C5207" i="7"/>
  <c r="C5206" i="7"/>
  <c r="C5205" i="7"/>
  <c r="C5204" i="7"/>
  <c r="C5203" i="7"/>
  <c r="C5202" i="7"/>
  <c r="C5201" i="7"/>
  <c r="C5200" i="7"/>
  <c r="C5199" i="7"/>
  <c r="C5198" i="7"/>
  <c r="C5197" i="7"/>
  <c r="C5196" i="7"/>
  <c r="C5195" i="7"/>
  <c r="C5194" i="7"/>
  <c r="C5193" i="7"/>
  <c r="C5192" i="7"/>
  <c r="C5191" i="7"/>
  <c r="C5190" i="7"/>
  <c r="C5189" i="7"/>
  <c r="C5188" i="7"/>
  <c r="C5187" i="7"/>
  <c r="C5186" i="7"/>
  <c r="C5185" i="7"/>
  <c r="C5184" i="7"/>
  <c r="C5183" i="7"/>
  <c r="C5182" i="7"/>
  <c r="C5181" i="7"/>
  <c r="C5180" i="7"/>
  <c r="C5179" i="7"/>
  <c r="C5178" i="7"/>
  <c r="C5177" i="7"/>
  <c r="C5176" i="7"/>
  <c r="C5175" i="7"/>
  <c r="C5174" i="7"/>
  <c r="C5173" i="7"/>
  <c r="C5172" i="7"/>
  <c r="C5171" i="7"/>
  <c r="C5170" i="7"/>
  <c r="C5169" i="7"/>
  <c r="C5168" i="7"/>
  <c r="C5167" i="7"/>
  <c r="C5166" i="7"/>
  <c r="C5165" i="7"/>
  <c r="C5164" i="7"/>
  <c r="C5163" i="7"/>
  <c r="C5162" i="7"/>
  <c r="C5161" i="7"/>
  <c r="C5160" i="7"/>
  <c r="C5159" i="7"/>
  <c r="C5158" i="7"/>
  <c r="C5157" i="7"/>
  <c r="C5156" i="7"/>
  <c r="C5155" i="7"/>
  <c r="C5154" i="7"/>
  <c r="C5153" i="7"/>
  <c r="C5152" i="7"/>
  <c r="C5151" i="7"/>
  <c r="C5150" i="7"/>
  <c r="C5149" i="7"/>
  <c r="C5148" i="7"/>
  <c r="C5147" i="7"/>
  <c r="C5146" i="7"/>
  <c r="C5145" i="7"/>
  <c r="C5144" i="7"/>
  <c r="C5143" i="7"/>
  <c r="C5142" i="7"/>
  <c r="C5141" i="7"/>
  <c r="C5140" i="7"/>
  <c r="C5139" i="7"/>
  <c r="C5138" i="7"/>
  <c r="C5137" i="7"/>
  <c r="C5136" i="7"/>
  <c r="C5135" i="7"/>
  <c r="C5134" i="7"/>
  <c r="C5133" i="7"/>
  <c r="C5132" i="7"/>
  <c r="C5131" i="7"/>
  <c r="C5130" i="7"/>
  <c r="C5129" i="7"/>
  <c r="C5128" i="7"/>
  <c r="C5127" i="7"/>
  <c r="C5126" i="7"/>
  <c r="C5125" i="7"/>
  <c r="C5124" i="7"/>
  <c r="C5123" i="7"/>
  <c r="C5122" i="7"/>
  <c r="C5121" i="7"/>
  <c r="C5120" i="7"/>
  <c r="C5119" i="7"/>
  <c r="C5118" i="7"/>
  <c r="C5117" i="7"/>
  <c r="C5116" i="7"/>
  <c r="C5115" i="7"/>
  <c r="C5114" i="7"/>
  <c r="C5113" i="7"/>
  <c r="C5112" i="7"/>
  <c r="C5111" i="7"/>
  <c r="C5110" i="7"/>
  <c r="C5109" i="7"/>
  <c r="C5108" i="7"/>
  <c r="C5107" i="7"/>
  <c r="C5106" i="7"/>
  <c r="C5105" i="7"/>
  <c r="C5104" i="7"/>
  <c r="C5103" i="7"/>
  <c r="C5102" i="7"/>
  <c r="C5101" i="7"/>
  <c r="C5100" i="7"/>
  <c r="C5099" i="7"/>
  <c r="C5098" i="7"/>
  <c r="C5097" i="7"/>
  <c r="C5096" i="7"/>
  <c r="C5095" i="7"/>
  <c r="C5094" i="7"/>
  <c r="C5093" i="7"/>
  <c r="C5092" i="7"/>
  <c r="C5091" i="7"/>
  <c r="C5090" i="7"/>
  <c r="C5089" i="7"/>
  <c r="C5088" i="7"/>
  <c r="C5087" i="7"/>
  <c r="C5086" i="7"/>
  <c r="C5085" i="7"/>
  <c r="C5084" i="7"/>
  <c r="C5083" i="7"/>
  <c r="C5082" i="7"/>
  <c r="C5081" i="7"/>
  <c r="C5080" i="7"/>
  <c r="C5079" i="7"/>
  <c r="C5078" i="7"/>
  <c r="C5077" i="7"/>
  <c r="C5076" i="7"/>
  <c r="C5075" i="7"/>
  <c r="C5074" i="7"/>
  <c r="C5073" i="7"/>
  <c r="C5072" i="7"/>
  <c r="C5071" i="7"/>
  <c r="C5070" i="7"/>
  <c r="C5069" i="7"/>
  <c r="C5068" i="7"/>
  <c r="C5067" i="7"/>
  <c r="C5066" i="7"/>
  <c r="C5065" i="7"/>
  <c r="C5064" i="7"/>
  <c r="C5063" i="7"/>
  <c r="C5062" i="7"/>
  <c r="C5061" i="7"/>
  <c r="C5060" i="7"/>
  <c r="C5059" i="7"/>
  <c r="C5058" i="7"/>
  <c r="C5057" i="7"/>
  <c r="C5056" i="7"/>
  <c r="C5055" i="7"/>
  <c r="C5054" i="7"/>
  <c r="C5053" i="7"/>
  <c r="C5052" i="7"/>
  <c r="C5051" i="7"/>
  <c r="C5050" i="7"/>
  <c r="C5049" i="7"/>
  <c r="C5048" i="7"/>
  <c r="C5047" i="7"/>
  <c r="C5046" i="7"/>
  <c r="C5045" i="7"/>
  <c r="C5044" i="7"/>
  <c r="C5043" i="7"/>
  <c r="C5042" i="7"/>
  <c r="C5041" i="7"/>
  <c r="C5040" i="7"/>
  <c r="C5039" i="7"/>
  <c r="C5038" i="7"/>
  <c r="C5037" i="7"/>
  <c r="C5036" i="7"/>
  <c r="C5035" i="7"/>
  <c r="C5034" i="7"/>
  <c r="C5033" i="7"/>
  <c r="C5032" i="7"/>
  <c r="C5031" i="7"/>
  <c r="C5030" i="7"/>
  <c r="C5029" i="7"/>
  <c r="C5028" i="7"/>
  <c r="C5027" i="7"/>
  <c r="C5026" i="7"/>
  <c r="C5025" i="7"/>
  <c r="C5024" i="7"/>
  <c r="C5023" i="7"/>
  <c r="C5022" i="7"/>
  <c r="C5021" i="7"/>
  <c r="C5020" i="7"/>
  <c r="C5019" i="7"/>
  <c r="C5018" i="7"/>
  <c r="C5017" i="7"/>
  <c r="C5016" i="7"/>
  <c r="C5015" i="7"/>
  <c r="C5014" i="7"/>
  <c r="C5013" i="7"/>
  <c r="C5012" i="7"/>
  <c r="C5011" i="7"/>
  <c r="C5010" i="7"/>
  <c r="C5009" i="7"/>
  <c r="C5008" i="7"/>
  <c r="C5007" i="7"/>
  <c r="C5006" i="7"/>
  <c r="C5005" i="7"/>
  <c r="C5004" i="7"/>
  <c r="C5003" i="7"/>
  <c r="C5002" i="7"/>
  <c r="C5001" i="7"/>
  <c r="C5000" i="7"/>
  <c r="C4999" i="7"/>
  <c r="C4998" i="7"/>
  <c r="C4997" i="7"/>
  <c r="C4996" i="7"/>
  <c r="C4995" i="7"/>
  <c r="C4994" i="7"/>
  <c r="C4993" i="7"/>
  <c r="C4992" i="7"/>
  <c r="C4991" i="7"/>
  <c r="C4990" i="7"/>
  <c r="C4989" i="7"/>
  <c r="C4988" i="7"/>
  <c r="C4987" i="7"/>
  <c r="C4986" i="7"/>
  <c r="C4985" i="7"/>
  <c r="C4984" i="7"/>
  <c r="C4983" i="7"/>
  <c r="C4982" i="7"/>
  <c r="C4981" i="7"/>
  <c r="C4980" i="7"/>
  <c r="C4979" i="7"/>
  <c r="C4978" i="7"/>
  <c r="C4977" i="7"/>
  <c r="C4976" i="7"/>
  <c r="C4975" i="7"/>
  <c r="C4974" i="7"/>
  <c r="C4973" i="7"/>
  <c r="C4972" i="7"/>
  <c r="C4971" i="7"/>
  <c r="C4970" i="7"/>
  <c r="C4969" i="7"/>
  <c r="C4968" i="7"/>
  <c r="C4967" i="7"/>
  <c r="C4966" i="7"/>
  <c r="C4965" i="7"/>
  <c r="C4964" i="7"/>
  <c r="C4963" i="7"/>
  <c r="C4962" i="7"/>
  <c r="C4961" i="7"/>
  <c r="C4960" i="7"/>
  <c r="C4959" i="7"/>
  <c r="C4958" i="7"/>
  <c r="C4957" i="7"/>
  <c r="C4956" i="7"/>
  <c r="C4955" i="7"/>
  <c r="C4954" i="7"/>
  <c r="C4953" i="7"/>
  <c r="C4952" i="7"/>
  <c r="C4951" i="7"/>
  <c r="C4950" i="7"/>
  <c r="C4949" i="7"/>
  <c r="C4948" i="7"/>
  <c r="C4947" i="7"/>
  <c r="C4946" i="7"/>
  <c r="C4945" i="7"/>
  <c r="C4944" i="7"/>
  <c r="C4943" i="7"/>
  <c r="C4942" i="7"/>
  <c r="C4941" i="7"/>
  <c r="C4940" i="7"/>
  <c r="C4939" i="7"/>
  <c r="C4938" i="7"/>
  <c r="C4937" i="7"/>
  <c r="C4936" i="7"/>
  <c r="C4935" i="7"/>
  <c r="C4934" i="7"/>
  <c r="C4933" i="7"/>
  <c r="C4932" i="7"/>
  <c r="C4931" i="7"/>
  <c r="C4930" i="7"/>
  <c r="C4929" i="7"/>
  <c r="C4928" i="7"/>
  <c r="C4927" i="7"/>
  <c r="C4926" i="7"/>
  <c r="C4925" i="7"/>
  <c r="C4924" i="7"/>
  <c r="C4923" i="7"/>
  <c r="C4922" i="7"/>
  <c r="C4921" i="7"/>
  <c r="C4920" i="7"/>
  <c r="C4919" i="7"/>
  <c r="C4918" i="7"/>
  <c r="C4917" i="7"/>
  <c r="C4916" i="7"/>
  <c r="C4915" i="7"/>
  <c r="C4914" i="7"/>
  <c r="C4913" i="7"/>
  <c r="C4912" i="7"/>
  <c r="C4911" i="7"/>
  <c r="C4910" i="7"/>
  <c r="C4909" i="7"/>
  <c r="C4908" i="7"/>
  <c r="C4907" i="7"/>
  <c r="C4906" i="7"/>
  <c r="C4905" i="7"/>
  <c r="C4904" i="7"/>
  <c r="C4903" i="7"/>
  <c r="C4902" i="7"/>
  <c r="C4901" i="7"/>
  <c r="C4900" i="7"/>
  <c r="C4899" i="7"/>
  <c r="C4898" i="7"/>
  <c r="C4897" i="7"/>
  <c r="C4896" i="7"/>
  <c r="C4895" i="7"/>
  <c r="C4894" i="7"/>
  <c r="C4893" i="7"/>
  <c r="C4892" i="7"/>
  <c r="C4891" i="7"/>
  <c r="C4890" i="7"/>
  <c r="C4889" i="7"/>
  <c r="C4888" i="7"/>
  <c r="C4887" i="7"/>
  <c r="C4886" i="7"/>
  <c r="C4885" i="7"/>
  <c r="C4884" i="7"/>
  <c r="C4883" i="7"/>
  <c r="C4882" i="7"/>
  <c r="C4881" i="7"/>
  <c r="C4880" i="7"/>
  <c r="C4879" i="7"/>
  <c r="C4878" i="7"/>
  <c r="C4877" i="7"/>
  <c r="C4876" i="7"/>
  <c r="C4875" i="7"/>
  <c r="C4874" i="7"/>
  <c r="C4873" i="7"/>
  <c r="C4872" i="7"/>
  <c r="C4871" i="7"/>
  <c r="C4870" i="7"/>
  <c r="C4869" i="7"/>
  <c r="C4868" i="7"/>
  <c r="C4867" i="7"/>
  <c r="C4866" i="7"/>
  <c r="C4865" i="7"/>
  <c r="C4864" i="7"/>
  <c r="C4863" i="7"/>
  <c r="C4862" i="7"/>
  <c r="C4861" i="7"/>
  <c r="C4860" i="7"/>
  <c r="C4859" i="7"/>
  <c r="C4858" i="7"/>
  <c r="C4857" i="7"/>
  <c r="C4856" i="7"/>
  <c r="C4855" i="7"/>
  <c r="C4854" i="7"/>
  <c r="C4853" i="7"/>
  <c r="C4852" i="7"/>
  <c r="C4851" i="7"/>
  <c r="C4850" i="7"/>
  <c r="C4849" i="7"/>
  <c r="C4848" i="7"/>
  <c r="C4847" i="7"/>
  <c r="C4846" i="7"/>
  <c r="C4845" i="7"/>
  <c r="C4844" i="7"/>
  <c r="C4843" i="7"/>
  <c r="C4842" i="7"/>
  <c r="C4841" i="7"/>
  <c r="C4840" i="7"/>
  <c r="C4839" i="7"/>
  <c r="C4838" i="7"/>
  <c r="C4837" i="7"/>
  <c r="C4836" i="7"/>
  <c r="C4835" i="7"/>
  <c r="C4834" i="7"/>
  <c r="C4833" i="7"/>
  <c r="C4832" i="7"/>
  <c r="C4831" i="7"/>
  <c r="C4830" i="7"/>
  <c r="C4829" i="7"/>
  <c r="C4828" i="7"/>
  <c r="C4827" i="7"/>
  <c r="C4826" i="7"/>
  <c r="C4825" i="7"/>
  <c r="C4824" i="7"/>
  <c r="C4823" i="7"/>
  <c r="C4822" i="7"/>
  <c r="C4821" i="7"/>
  <c r="C4820" i="7"/>
  <c r="C4819" i="7"/>
  <c r="C4818" i="7"/>
  <c r="C4817" i="7"/>
  <c r="C4816" i="7"/>
  <c r="C4815" i="7"/>
  <c r="C4814" i="7"/>
  <c r="C4813" i="7"/>
  <c r="C4812" i="7"/>
  <c r="C4811" i="7"/>
  <c r="C4810" i="7"/>
  <c r="C4809" i="7"/>
  <c r="C4808" i="7"/>
  <c r="C4807" i="7"/>
  <c r="C4806" i="7"/>
  <c r="C4805" i="7"/>
  <c r="C4804" i="7"/>
  <c r="C4803" i="7"/>
  <c r="C4802" i="7"/>
  <c r="C4801" i="7"/>
  <c r="C4800" i="7"/>
  <c r="C4799" i="7"/>
  <c r="C4798" i="7"/>
  <c r="C4797" i="7"/>
  <c r="C4796" i="7"/>
  <c r="C4795" i="7"/>
  <c r="C4794" i="7"/>
  <c r="C4793" i="7"/>
  <c r="C4792" i="7"/>
  <c r="C4791" i="7"/>
  <c r="C4790" i="7"/>
  <c r="C4789" i="7"/>
  <c r="C4788" i="7"/>
  <c r="C4787" i="7"/>
  <c r="C4786" i="7"/>
  <c r="C4785" i="7"/>
  <c r="C4784" i="7"/>
  <c r="C4783" i="7"/>
  <c r="C4782" i="7"/>
  <c r="C4781" i="7"/>
  <c r="C4780" i="7"/>
  <c r="C4779" i="7"/>
  <c r="C4778" i="7"/>
  <c r="C4777" i="7"/>
  <c r="C4776" i="7"/>
  <c r="C4775" i="7"/>
  <c r="C4774" i="7"/>
  <c r="C4773" i="7"/>
  <c r="C4772" i="7"/>
  <c r="C4771" i="7"/>
  <c r="C4770" i="7"/>
  <c r="C4769" i="7"/>
  <c r="C4768" i="7"/>
  <c r="C4767" i="7"/>
  <c r="C4766" i="7"/>
  <c r="C4765" i="7"/>
  <c r="C4764" i="7"/>
  <c r="C4763" i="7"/>
  <c r="C4762" i="7"/>
  <c r="C4761" i="7"/>
  <c r="C4760" i="7"/>
  <c r="C4759" i="7"/>
  <c r="C4758" i="7"/>
  <c r="C4757" i="7"/>
  <c r="C4756" i="7"/>
  <c r="C4755" i="7"/>
  <c r="C4754" i="7"/>
  <c r="C4753" i="7"/>
  <c r="C4752" i="7"/>
  <c r="C4751" i="7"/>
  <c r="C4750" i="7"/>
  <c r="C4749" i="7"/>
  <c r="C4748" i="7"/>
  <c r="C4747" i="7"/>
  <c r="C4746" i="7"/>
  <c r="C4745" i="7"/>
  <c r="C4744" i="7"/>
  <c r="C4743" i="7"/>
  <c r="C4742" i="7"/>
  <c r="C4741" i="7"/>
  <c r="C4740" i="7"/>
  <c r="C4739" i="7"/>
  <c r="C4738" i="7"/>
  <c r="C4737" i="7"/>
  <c r="C4736" i="7"/>
  <c r="C4735" i="7"/>
  <c r="C4734" i="7"/>
  <c r="C4733" i="7"/>
  <c r="C4732" i="7"/>
  <c r="C4731" i="7"/>
  <c r="C4730" i="7"/>
  <c r="C4729" i="7"/>
  <c r="C4728" i="7"/>
  <c r="C4727" i="7"/>
  <c r="C4726" i="7"/>
  <c r="C4725" i="7"/>
  <c r="C4724" i="7"/>
  <c r="C4723" i="7"/>
  <c r="C4722" i="7"/>
  <c r="C4721" i="7"/>
  <c r="C4720" i="7"/>
  <c r="C4719" i="7"/>
  <c r="C4718" i="7"/>
  <c r="C4717" i="7"/>
  <c r="C4716" i="7"/>
  <c r="C4715" i="7"/>
  <c r="C4714" i="7"/>
  <c r="C4713" i="7"/>
  <c r="C4712" i="7"/>
  <c r="C4711" i="7"/>
  <c r="C4710" i="7"/>
  <c r="C4709" i="7"/>
  <c r="C4708" i="7"/>
  <c r="C4707" i="7"/>
  <c r="C4706" i="7"/>
  <c r="C4705" i="7"/>
  <c r="C4704" i="7"/>
  <c r="C4703" i="7"/>
  <c r="C4702" i="7"/>
  <c r="C4701" i="7"/>
  <c r="C4700" i="7"/>
  <c r="C4699" i="7"/>
  <c r="C4698" i="7"/>
  <c r="C4697" i="7"/>
  <c r="C4696" i="7"/>
  <c r="C4695" i="7"/>
  <c r="C4694" i="7"/>
  <c r="C4693" i="7"/>
  <c r="C4692" i="7"/>
  <c r="C4691" i="7"/>
  <c r="C4690" i="7"/>
  <c r="C4689" i="7"/>
  <c r="C4688" i="7"/>
  <c r="C4687" i="7"/>
  <c r="C4686" i="7"/>
  <c r="C4685" i="7"/>
  <c r="C4684" i="7"/>
  <c r="C4683" i="7"/>
  <c r="C4682" i="7"/>
  <c r="C4681" i="7"/>
  <c r="C4680" i="7"/>
  <c r="C4679" i="7"/>
  <c r="C4678" i="7"/>
  <c r="C4677" i="7"/>
  <c r="C4676" i="7"/>
  <c r="C4675" i="7"/>
  <c r="C4674" i="7"/>
  <c r="C4673" i="7"/>
  <c r="C4672" i="7"/>
  <c r="C4671" i="7"/>
  <c r="C4670" i="7"/>
  <c r="C4669" i="7"/>
  <c r="C4668" i="7"/>
  <c r="C4667" i="7"/>
  <c r="C4666" i="7"/>
  <c r="C4665" i="7"/>
  <c r="C4664" i="7"/>
  <c r="C4663" i="7"/>
  <c r="C4662" i="7"/>
  <c r="C4661" i="7"/>
  <c r="C4660" i="7"/>
  <c r="C4659" i="7"/>
  <c r="C4658" i="7"/>
  <c r="C4657" i="7"/>
  <c r="C4656" i="7"/>
  <c r="C4655" i="7"/>
  <c r="C4654" i="7"/>
  <c r="C4653" i="7"/>
  <c r="C4652" i="7"/>
  <c r="C4651" i="7"/>
  <c r="C4650" i="7"/>
  <c r="C4649" i="7"/>
  <c r="C4648" i="7"/>
  <c r="C4647" i="7"/>
  <c r="C4646" i="7"/>
  <c r="C4645" i="7"/>
  <c r="C4644" i="7"/>
  <c r="C4643" i="7"/>
  <c r="C4642" i="7"/>
  <c r="C4641" i="7"/>
  <c r="C4640" i="7"/>
  <c r="C4639" i="7"/>
  <c r="C4638" i="7"/>
  <c r="C4637" i="7"/>
  <c r="C4636" i="7"/>
  <c r="C4635" i="7"/>
  <c r="C4634" i="7"/>
  <c r="C4633" i="7"/>
  <c r="C4632" i="7"/>
  <c r="C4631" i="7"/>
  <c r="C4630" i="7"/>
  <c r="C4629" i="7"/>
  <c r="C4628" i="7"/>
  <c r="C4627" i="7"/>
  <c r="C4626" i="7"/>
  <c r="C4625" i="7"/>
  <c r="C4624" i="7"/>
  <c r="C4623" i="7"/>
  <c r="C4622" i="7"/>
  <c r="C4621" i="7"/>
  <c r="C4620" i="7"/>
  <c r="C4619" i="7"/>
  <c r="C4618" i="7"/>
  <c r="C4617" i="7"/>
  <c r="C4616" i="7"/>
  <c r="C4615" i="7"/>
  <c r="C4614" i="7"/>
  <c r="C4613" i="7"/>
  <c r="C4612" i="7"/>
  <c r="C4611" i="7"/>
  <c r="C4610" i="7"/>
  <c r="C4609" i="7"/>
  <c r="C4608" i="7"/>
  <c r="C4607" i="7"/>
  <c r="C4606" i="7"/>
  <c r="C4605" i="7"/>
  <c r="C4604" i="7"/>
  <c r="C4603" i="7"/>
  <c r="C4602" i="7"/>
  <c r="C4601" i="7"/>
  <c r="C4600" i="7"/>
  <c r="C4599" i="7"/>
  <c r="C4598" i="7"/>
  <c r="C4597" i="7"/>
  <c r="C4596" i="7"/>
  <c r="C4595" i="7"/>
  <c r="C4594" i="7"/>
  <c r="C4593" i="7"/>
  <c r="C4592" i="7"/>
  <c r="C4591" i="7"/>
  <c r="C4590" i="7"/>
  <c r="C4589" i="7"/>
  <c r="C4588" i="7"/>
  <c r="C4587" i="7"/>
  <c r="C4586" i="7"/>
  <c r="C4585" i="7"/>
  <c r="C4584" i="7"/>
  <c r="C4583" i="7"/>
  <c r="C4582" i="7"/>
  <c r="C4581" i="7"/>
  <c r="C4580" i="7"/>
  <c r="C4579" i="7"/>
  <c r="C4578" i="7"/>
  <c r="C4577" i="7"/>
  <c r="C4576" i="7"/>
  <c r="C4575" i="7"/>
  <c r="C4574" i="7"/>
  <c r="C4573" i="7"/>
  <c r="C4572" i="7"/>
  <c r="C4571" i="7"/>
  <c r="C4570" i="7"/>
  <c r="C4569" i="7"/>
  <c r="C4568" i="7"/>
  <c r="C4567" i="7"/>
  <c r="C4566" i="7"/>
  <c r="C4565" i="7"/>
  <c r="C4564" i="7"/>
  <c r="C4563" i="7"/>
  <c r="C4562" i="7"/>
  <c r="C4561" i="7"/>
  <c r="C4560" i="7"/>
  <c r="C4559" i="7"/>
  <c r="C4558" i="7"/>
  <c r="C4557" i="7"/>
  <c r="C4556" i="7"/>
  <c r="C4555" i="7"/>
  <c r="C4554" i="7"/>
  <c r="C4553" i="7"/>
  <c r="C4552" i="7"/>
  <c r="C4551" i="7"/>
  <c r="C4550" i="7"/>
  <c r="C4549" i="7"/>
  <c r="C4548" i="7"/>
  <c r="C4547" i="7"/>
  <c r="C4546" i="7"/>
  <c r="C4545" i="7"/>
  <c r="C4544" i="7"/>
  <c r="C4543" i="7"/>
  <c r="C4542" i="7"/>
  <c r="C4541" i="7"/>
  <c r="C4540" i="7"/>
  <c r="C4539" i="7"/>
  <c r="C4538" i="7"/>
  <c r="C4537" i="7"/>
  <c r="C4536" i="7"/>
  <c r="C4535" i="7"/>
  <c r="C4534" i="7"/>
  <c r="C4533" i="7"/>
  <c r="C4532" i="7"/>
  <c r="C4531" i="7"/>
  <c r="C4530" i="7"/>
  <c r="C4529" i="7"/>
  <c r="C4528" i="7"/>
  <c r="C4527" i="7"/>
  <c r="C4526" i="7"/>
  <c r="C4525" i="7"/>
  <c r="C4524" i="7"/>
  <c r="C4523" i="7"/>
  <c r="C4522" i="7"/>
  <c r="C4521" i="7"/>
  <c r="C4520" i="7"/>
  <c r="C4519" i="7"/>
  <c r="C4518" i="7"/>
  <c r="C4517" i="7"/>
  <c r="C4516" i="7"/>
  <c r="C4515" i="7"/>
  <c r="C4514" i="7"/>
  <c r="C4513" i="7"/>
  <c r="C4512" i="7"/>
  <c r="C4511" i="7"/>
  <c r="C4510" i="7"/>
  <c r="C4509" i="7"/>
  <c r="C4508" i="7"/>
  <c r="C4507" i="7"/>
  <c r="C4506" i="7"/>
  <c r="C4505" i="7"/>
  <c r="C4504" i="7"/>
  <c r="C4503" i="7"/>
  <c r="C4502" i="7"/>
  <c r="C4501" i="7"/>
  <c r="C4500" i="7"/>
  <c r="C4499" i="7"/>
  <c r="C4498" i="7"/>
  <c r="C4497" i="7"/>
  <c r="C4496" i="7"/>
  <c r="C4495" i="7"/>
  <c r="C4494" i="7"/>
  <c r="C4493" i="7"/>
  <c r="C4492" i="7"/>
  <c r="C4491" i="7"/>
  <c r="C4490" i="7"/>
  <c r="C4489" i="7"/>
  <c r="C4488" i="7"/>
  <c r="C4487" i="7"/>
  <c r="C4486" i="7"/>
  <c r="C4485" i="7"/>
  <c r="C4484" i="7"/>
  <c r="C4483" i="7"/>
  <c r="C4482" i="7"/>
  <c r="C4481" i="7"/>
  <c r="C4480" i="7"/>
  <c r="C4479" i="7"/>
  <c r="C4478" i="7"/>
  <c r="C4477" i="7"/>
  <c r="C4476" i="7"/>
  <c r="C4475" i="7"/>
  <c r="C4474" i="7"/>
  <c r="C4473" i="7"/>
  <c r="C4472" i="7"/>
  <c r="C4471" i="7"/>
  <c r="C4470" i="7"/>
  <c r="C4469" i="7"/>
  <c r="C4468" i="7"/>
  <c r="C4467" i="7"/>
  <c r="C4466" i="7"/>
  <c r="C4465" i="7"/>
  <c r="C4464" i="7"/>
  <c r="C4463" i="7"/>
  <c r="C4462" i="7"/>
  <c r="C4461" i="7"/>
  <c r="C4460" i="7"/>
  <c r="C4459" i="7"/>
  <c r="C4458" i="7"/>
  <c r="C4457" i="7"/>
  <c r="C4456" i="7"/>
  <c r="C4455" i="7"/>
  <c r="C4454" i="7"/>
  <c r="C4453" i="7"/>
  <c r="C4452" i="7"/>
  <c r="C4451" i="7"/>
  <c r="C4450" i="7"/>
  <c r="C4449" i="7"/>
  <c r="C4448" i="7"/>
  <c r="C4447" i="7"/>
  <c r="C4446" i="7"/>
  <c r="C4445" i="7"/>
  <c r="C4444" i="7"/>
  <c r="C4443" i="7"/>
  <c r="C4442" i="7"/>
  <c r="C4441" i="7"/>
  <c r="C4440" i="7"/>
  <c r="C4439" i="7"/>
  <c r="C4438" i="7"/>
  <c r="C4437" i="7"/>
  <c r="C4436" i="7"/>
  <c r="C4435" i="7"/>
  <c r="C4434" i="7"/>
  <c r="C4433" i="7"/>
  <c r="C4432" i="7"/>
  <c r="C4431" i="7"/>
  <c r="C4430" i="7"/>
  <c r="C4429" i="7"/>
  <c r="C4428" i="7"/>
  <c r="C4427" i="7"/>
  <c r="C4426" i="7"/>
  <c r="C4425" i="7"/>
  <c r="C4424" i="7"/>
  <c r="C4423" i="7"/>
  <c r="C4422" i="7"/>
  <c r="C4421" i="7"/>
  <c r="C4420" i="7"/>
  <c r="C4419" i="7"/>
  <c r="C4418" i="7"/>
  <c r="C4417" i="7"/>
  <c r="C4416" i="7"/>
  <c r="C4415" i="7"/>
  <c r="C4414" i="7"/>
  <c r="C4413" i="7"/>
  <c r="C4412" i="7"/>
  <c r="C4411" i="7"/>
  <c r="C4410" i="7"/>
  <c r="C4409" i="7"/>
  <c r="C4408" i="7"/>
  <c r="C4407" i="7"/>
  <c r="C4406" i="7"/>
  <c r="C4405" i="7"/>
  <c r="C4404" i="7"/>
  <c r="C4403" i="7"/>
  <c r="C4402" i="7"/>
  <c r="C4401" i="7"/>
  <c r="C4400" i="7"/>
  <c r="C4399" i="7"/>
  <c r="C4398" i="7"/>
  <c r="C4397" i="7"/>
  <c r="C4396" i="7"/>
  <c r="C4395" i="7"/>
  <c r="C4394" i="7"/>
  <c r="C4393" i="7"/>
  <c r="C4392" i="7"/>
  <c r="C4391" i="7"/>
  <c r="C4390" i="7"/>
  <c r="C4389" i="7"/>
  <c r="C4388" i="7"/>
  <c r="C4387" i="7"/>
  <c r="C4386" i="7"/>
  <c r="C4385" i="7"/>
  <c r="C4384" i="7"/>
  <c r="C4383" i="7"/>
  <c r="C4382" i="7"/>
  <c r="C4381" i="7"/>
  <c r="C4380" i="7"/>
  <c r="C4379" i="7"/>
  <c r="C4378" i="7"/>
  <c r="C4377" i="7"/>
  <c r="C4376" i="7"/>
  <c r="C4375" i="7"/>
  <c r="C4374" i="7"/>
  <c r="C4373" i="7"/>
  <c r="C4372" i="7"/>
  <c r="C4371" i="7"/>
  <c r="C4370" i="7"/>
  <c r="C4369" i="7"/>
  <c r="C4368" i="7"/>
  <c r="C4367" i="7"/>
  <c r="C4366" i="7"/>
  <c r="C4365" i="7"/>
  <c r="C4364" i="7"/>
  <c r="C4363" i="7"/>
  <c r="C4362" i="7"/>
  <c r="C4361" i="7"/>
  <c r="C4360" i="7"/>
  <c r="C4359" i="7"/>
  <c r="C4358" i="7"/>
  <c r="C4357" i="7"/>
  <c r="C4356" i="7"/>
  <c r="C4355" i="7"/>
  <c r="C4354" i="7"/>
  <c r="C4353" i="7"/>
  <c r="C4352" i="7"/>
  <c r="C4351" i="7"/>
  <c r="C4350" i="7"/>
  <c r="C4349" i="7"/>
  <c r="C4348" i="7"/>
  <c r="C4347" i="7"/>
  <c r="C4346" i="7"/>
  <c r="C4345" i="7"/>
  <c r="C4344" i="7"/>
  <c r="C4343" i="7"/>
  <c r="C4342" i="7"/>
  <c r="C4341" i="7"/>
  <c r="C4340" i="7"/>
  <c r="C4339" i="7"/>
  <c r="C4338" i="7"/>
  <c r="C4337" i="7"/>
  <c r="C4336" i="7"/>
  <c r="C4335" i="7"/>
  <c r="C4334" i="7"/>
  <c r="C4333" i="7"/>
  <c r="C4332" i="7"/>
  <c r="C4331" i="7"/>
  <c r="C4330" i="7"/>
  <c r="C4329" i="7"/>
  <c r="C4328" i="7"/>
  <c r="C4327" i="7"/>
  <c r="C4326" i="7"/>
  <c r="C4325" i="7"/>
  <c r="C4324" i="7"/>
  <c r="C4323" i="7"/>
  <c r="C4322" i="7"/>
  <c r="C4321" i="7"/>
  <c r="C4320" i="7"/>
  <c r="C4319" i="7"/>
  <c r="C4318" i="7"/>
  <c r="C4317" i="7"/>
  <c r="C4316" i="7"/>
  <c r="C4315" i="7"/>
  <c r="C4314" i="7"/>
  <c r="C4313" i="7"/>
  <c r="C4312" i="7"/>
  <c r="C4311" i="7"/>
  <c r="C4310" i="7"/>
  <c r="C4309" i="7"/>
  <c r="C4308" i="7"/>
  <c r="C4307" i="7"/>
  <c r="C4306" i="7"/>
  <c r="C4305" i="7"/>
  <c r="C4304" i="7"/>
  <c r="C4303" i="7"/>
  <c r="C4302" i="7"/>
  <c r="C4301" i="7"/>
  <c r="C4300" i="7"/>
  <c r="C4299" i="7"/>
  <c r="C4298" i="7"/>
  <c r="C4297" i="7"/>
  <c r="C4296" i="7"/>
  <c r="C4295" i="7"/>
  <c r="C4294" i="7"/>
  <c r="C4293" i="7"/>
  <c r="C4292" i="7"/>
  <c r="C4291" i="7"/>
  <c r="C4290" i="7"/>
  <c r="C4289" i="7"/>
  <c r="C4288" i="7"/>
  <c r="C4287" i="7"/>
  <c r="C4286" i="7"/>
  <c r="C4285" i="7"/>
  <c r="C4284" i="7"/>
  <c r="C4283" i="7"/>
  <c r="C4282" i="7"/>
  <c r="C4281" i="7"/>
  <c r="C4280" i="7"/>
  <c r="C4279" i="7"/>
  <c r="C4278" i="7"/>
  <c r="C4277" i="7"/>
  <c r="C4276" i="7"/>
  <c r="C4275" i="7"/>
  <c r="C4274" i="7"/>
  <c r="C4273" i="7"/>
  <c r="C4272" i="7"/>
  <c r="C4271" i="7"/>
  <c r="C4270" i="7"/>
  <c r="C4269" i="7"/>
  <c r="C4268" i="7"/>
  <c r="C4267" i="7"/>
  <c r="C4266" i="7"/>
  <c r="C4265" i="7"/>
  <c r="C4264" i="7"/>
  <c r="C4263" i="7"/>
  <c r="C4262" i="7"/>
  <c r="C4261" i="7"/>
  <c r="C4260" i="7"/>
  <c r="C4259" i="7"/>
  <c r="C4258" i="7"/>
  <c r="C4257" i="7"/>
  <c r="C4256" i="7"/>
  <c r="C4255" i="7"/>
  <c r="C4254" i="7"/>
  <c r="C4253" i="7"/>
  <c r="C4252" i="7"/>
  <c r="C4251" i="7"/>
  <c r="C4250" i="7"/>
  <c r="C4249" i="7"/>
  <c r="C4248" i="7"/>
  <c r="C4247" i="7"/>
  <c r="C4246" i="7"/>
  <c r="C4245" i="7"/>
  <c r="C4244" i="7"/>
  <c r="C4243" i="7"/>
  <c r="C4242" i="7"/>
  <c r="C4241" i="7"/>
  <c r="C4240" i="7"/>
  <c r="C4239" i="7"/>
  <c r="C4238" i="7"/>
  <c r="C4237" i="7"/>
  <c r="C4236" i="7"/>
  <c r="C4235" i="7"/>
  <c r="C4234" i="7"/>
  <c r="C4233" i="7"/>
  <c r="C4232" i="7"/>
  <c r="C4231" i="7"/>
  <c r="C4230" i="7"/>
  <c r="C4229" i="7"/>
  <c r="C4228" i="7"/>
  <c r="C4227" i="7"/>
  <c r="C4226" i="7"/>
  <c r="C4225" i="7"/>
  <c r="C4224" i="7"/>
  <c r="C4223" i="7"/>
  <c r="C4222" i="7"/>
  <c r="C4221" i="7"/>
  <c r="C4220" i="7"/>
  <c r="C4219" i="7"/>
  <c r="C4218" i="7"/>
  <c r="C4217" i="7"/>
  <c r="C4216" i="7"/>
  <c r="C4215" i="7"/>
  <c r="C4214" i="7"/>
  <c r="C4213" i="7"/>
  <c r="C4212" i="7"/>
  <c r="C4211" i="7"/>
  <c r="C4210" i="7"/>
  <c r="C4209" i="7"/>
  <c r="C4208" i="7"/>
  <c r="C4207" i="7"/>
  <c r="C4206" i="7"/>
  <c r="C4205" i="7"/>
  <c r="C4204" i="7"/>
  <c r="C4203" i="7"/>
  <c r="C4202" i="7"/>
  <c r="C4201" i="7"/>
  <c r="C4200" i="7"/>
  <c r="C4199" i="7"/>
  <c r="C4198" i="7"/>
  <c r="C4197" i="7"/>
  <c r="C4196" i="7"/>
  <c r="C4195" i="7"/>
  <c r="C4194" i="7"/>
  <c r="C4193" i="7"/>
  <c r="C4192" i="7"/>
  <c r="C4191" i="7"/>
  <c r="C4190" i="7"/>
  <c r="C4189" i="7"/>
  <c r="C4188" i="7"/>
  <c r="C4187" i="7"/>
  <c r="C4186" i="7"/>
  <c r="C4185" i="7"/>
  <c r="C4184" i="7"/>
  <c r="C4183" i="7"/>
  <c r="C4182" i="7"/>
  <c r="C4181" i="7"/>
  <c r="C4180" i="7"/>
  <c r="C4179" i="7"/>
  <c r="C4178" i="7"/>
  <c r="C4177" i="7"/>
  <c r="C4176" i="7"/>
  <c r="C4175" i="7"/>
  <c r="C4174" i="7"/>
  <c r="C4173" i="7"/>
  <c r="C4172" i="7"/>
  <c r="C4171" i="7"/>
  <c r="C4170" i="7"/>
  <c r="C4169" i="7"/>
  <c r="C4168" i="7"/>
  <c r="C4167" i="7"/>
  <c r="C4166" i="7"/>
  <c r="C4165" i="7"/>
  <c r="C4164" i="7"/>
  <c r="C4163" i="7"/>
  <c r="C4162" i="7"/>
  <c r="C4161" i="7"/>
  <c r="C4160" i="7"/>
  <c r="C4159" i="7"/>
  <c r="C4158" i="7"/>
  <c r="C4157" i="7"/>
  <c r="C4156" i="7"/>
  <c r="C4155" i="7"/>
  <c r="C4154" i="7"/>
  <c r="C4153" i="7"/>
  <c r="C4152" i="7"/>
  <c r="C4151" i="7"/>
  <c r="C4150" i="7"/>
  <c r="C4149" i="7"/>
  <c r="C4148" i="7"/>
  <c r="C4147" i="7"/>
  <c r="C4146" i="7"/>
  <c r="C4145" i="7"/>
  <c r="C4144" i="7"/>
  <c r="C4143" i="7"/>
  <c r="C4142" i="7"/>
  <c r="C4141" i="7"/>
  <c r="C4140" i="7"/>
  <c r="C4139" i="7"/>
  <c r="C4138" i="7"/>
  <c r="C4137" i="7"/>
  <c r="C4136" i="7"/>
  <c r="C4135" i="7"/>
  <c r="C4134" i="7"/>
  <c r="C4133" i="7"/>
  <c r="C4132" i="7"/>
  <c r="C4131" i="7"/>
  <c r="C4130" i="7"/>
  <c r="C4129" i="7"/>
  <c r="C4128" i="7"/>
  <c r="C4127" i="7"/>
  <c r="C4126" i="7"/>
  <c r="C4125" i="7"/>
  <c r="C4124" i="7"/>
  <c r="C4123" i="7"/>
  <c r="C4122" i="7"/>
  <c r="C4121" i="7"/>
  <c r="C4120" i="7"/>
  <c r="C4119" i="7"/>
  <c r="C4118" i="7"/>
  <c r="C4117" i="7"/>
  <c r="C4116" i="7"/>
  <c r="C4115" i="7"/>
  <c r="C4114" i="7"/>
  <c r="C4113" i="7"/>
  <c r="C4112" i="7"/>
  <c r="C4111" i="7"/>
  <c r="C4110" i="7"/>
  <c r="C4109" i="7"/>
  <c r="C4108" i="7"/>
  <c r="C4107" i="7"/>
  <c r="C4106" i="7"/>
  <c r="C4105" i="7"/>
  <c r="C4104" i="7"/>
  <c r="C4103" i="7"/>
  <c r="C4102" i="7"/>
  <c r="C4101" i="7"/>
  <c r="C4100" i="7"/>
  <c r="C4099" i="7"/>
  <c r="C4098" i="7"/>
  <c r="C4097" i="7"/>
  <c r="C4096" i="7"/>
  <c r="C4095" i="7"/>
  <c r="C4094" i="7"/>
  <c r="C4093" i="7"/>
  <c r="C4092" i="7"/>
  <c r="C4091" i="7"/>
  <c r="C4090" i="7"/>
  <c r="C4089" i="7"/>
  <c r="C4088" i="7"/>
  <c r="C4087" i="7"/>
  <c r="C4086" i="7"/>
  <c r="C4085" i="7"/>
  <c r="C4084" i="7"/>
  <c r="C4083" i="7"/>
  <c r="C4082" i="7"/>
  <c r="C4081" i="7"/>
  <c r="C4080" i="7"/>
  <c r="C4079" i="7"/>
  <c r="C4078" i="7"/>
  <c r="C4077" i="7"/>
  <c r="C4076" i="7"/>
  <c r="C4075" i="7"/>
  <c r="C4074" i="7"/>
  <c r="C4073" i="7"/>
  <c r="C4072" i="7"/>
  <c r="C4071" i="7"/>
  <c r="C4070" i="7"/>
  <c r="C4069" i="7"/>
  <c r="C4068" i="7"/>
  <c r="C4067" i="7"/>
  <c r="C4066" i="7"/>
  <c r="C4065" i="7"/>
  <c r="C4064" i="7"/>
  <c r="C4063" i="7"/>
  <c r="C4062" i="7"/>
  <c r="C4061" i="7"/>
  <c r="C4060" i="7"/>
  <c r="C4059" i="7"/>
  <c r="C4058" i="7"/>
  <c r="C4057" i="7"/>
  <c r="C4056" i="7"/>
  <c r="C4055" i="7"/>
  <c r="C4054" i="7"/>
  <c r="C4053" i="7"/>
  <c r="C4052" i="7"/>
  <c r="C4051" i="7"/>
  <c r="C4050" i="7"/>
  <c r="C4049" i="7"/>
  <c r="C4048" i="7"/>
  <c r="C4047" i="7"/>
  <c r="C4046" i="7"/>
  <c r="C4045" i="7"/>
  <c r="C4044" i="7"/>
  <c r="C4043" i="7"/>
  <c r="C4042" i="7"/>
  <c r="C4041" i="7"/>
  <c r="C4040" i="7"/>
  <c r="C4039" i="7"/>
  <c r="C4038" i="7"/>
  <c r="C4037" i="7"/>
  <c r="C4036" i="7"/>
  <c r="C4035" i="7"/>
  <c r="C4034" i="7"/>
  <c r="C4033" i="7"/>
  <c r="C4032" i="7"/>
  <c r="C4031" i="7"/>
  <c r="C4030" i="7"/>
  <c r="C4029" i="7"/>
  <c r="C4028" i="7"/>
  <c r="C4027" i="7"/>
  <c r="C4026" i="7"/>
  <c r="C4025" i="7"/>
  <c r="C4024" i="7"/>
  <c r="C4023" i="7"/>
  <c r="C4022" i="7"/>
  <c r="C4021" i="7"/>
  <c r="C4020" i="7"/>
  <c r="C4019" i="7"/>
  <c r="C4018" i="7"/>
  <c r="C4017" i="7"/>
  <c r="C4016" i="7"/>
  <c r="C4015" i="7"/>
  <c r="C4014" i="7"/>
  <c r="C4013" i="7"/>
  <c r="C4012" i="7"/>
  <c r="C4011" i="7"/>
  <c r="C4010" i="7"/>
  <c r="C4009" i="7"/>
  <c r="C4008" i="7"/>
  <c r="C4007" i="7"/>
  <c r="C4006" i="7"/>
  <c r="C4005" i="7"/>
  <c r="C4004" i="7"/>
  <c r="C4003" i="7"/>
  <c r="C4002" i="7"/>
  <c r="C4001" i="7"/>
  <c r="C4000" i="7"/>
  <c r="C3999" i="7"/>
  <c r="C3998" i="7"/>
  <c r="C3997" i="7"/>
  <c r="C3996" i="7"/>
  <c r="C3995" i="7"/>
  <c r="C3994" i="7"/>
  <c r="C3993" i="7"/>
  <c r="C3992" i="7"/>
  <c r="C3991" i="7"/>
  <c r="C3990" i="7"/>
  <c r="C3989" i="7"/>
  <c r="C3988" i="7"/>
  <c r="C3987" i="7"/>
  <c r="C3986" i="7"/>
  <c r="C3985" i="7"/>
  <c r="C3984" i="7"/>
  <c r="C3983" i="7"/>
  <c r="C3982" i="7"/>
  <c r="C3981" i="7"/>
  <c r="C3980" i="7"/>
  <c r="C3979" i="7"/>
  <c r="C3978" i="7"/>
  <c r="C3977" i="7"/>
  <c r="C3976" i="7"/>
  <c r="C3975" i="7"/>
  <c r="C3974" i="7"/>
  <c r="C3973" i="7"/>
  <c r="C3972" i="7"/>
  <c r="C3971" i="7"/>
  <c r="C3970" i="7"/>
  <c r="C3969" i="7"/>
  <c r="C3968" i="7"/>
  <c r="C3967" i="7"/>
  <c r="C3966" i="7"/>
  <c r="C3965" i="7"/>
  <c r="C3964" i="7"/>
  <c r="C3963" i="7"/>
  <c r="C3962" i="7"/>
  <c r="C3961" i="7"/>
  <c r="C3960" i="7"/>
  <c r="C3959" i="7"/>
  <c r="C3958" i="7"/>
  <c r="C3957" i="7"/>
  <c r="C3956" i="7"/>
  <c r="C3955" i="7"/>
  <c r="C3954" i="7"/>
  <c r="C3953" i="7"/>
  <c r="C3952" i="7"/>
  <c r="C3951" i="7"/>
  <c r="C3950" i="7"/>
  <c r="C3949" i="7"/>
  <c r="C3948" i="7"/>
  <c r="C3947" i="7"/>
  <c r="C3946" i="7"/>
  <c r="C3945" i="7"/>
  <c r="C3944" i="7"/>
  <c r="C3943" i="7"/>
  <c r="C3942" i="7"/>
  <c r="C3941" i="7"/>
  <c r="C3940" i="7"/>
  <c r="C3939" i="7"/>
  <c r="C3938" i="7"/>
  <c r="C3937" i="7"/>
  <c r="C3936" i="7"/>
  <c r="C3935" i="7"/>
  <c r="C3934" i="7"/>
  <c r="C3933" i="7"/>
  <c r="C3932" i="7"/>
  <c r="C3931" i="7"/>
  <c r="C3930" i="7"/>
  <c r="C3929" i="7"/>
  <c r="C3928" i="7"/>
  <c r="C3927" i="7"/>
  <c r="C3926" i="7"/>
  <c r="C3925" i="7"/>
  <c r="C3924" i="7"/>
  <c r="C3923" i="7"/>
  <c r="C3922" i="7"/>
  <c r="C3921" i="7"/>
  <c r="C3920" i="7"/>
  <c r="C3919" i="7"/>
  <c r="C3918" i="7"/>
  <c r="C3917" i="7"/>
  <c r="C3916" i="7"/>
  <c r="C3915" i="7"/>
  <c r="C3914" i="7"/>
  <c r="C3913" i="7"/>
  <c r="C3912" i="7"/>
  <c r="C3911" i="7"/>
  <c r="C3910" i="7"/>
  <c r="C3909" i="7"/>
  <c r="C3908" i="7"/>
  <c r="C3907" i="7"/>
  <c r="C3906" i="7"/>
  <c r="C3905" i="7"/>
  <c r="C3904" i="7"/>
  <c r="C3903" i="7"/>
  <c r="C3902" i="7"/>
  <c r="C3901" i="7"/>
  <c r="C3900" i="7"/>
  <c r="C3899" i="7"/>
  <c r="C3898" i="7"/>
  <c r="C3897" i="7"/>
  <c r="C3896" i="7"/>
  <c r="C3895" i="7"/>
  <c r="C3894" i="7"/>
  <c r="C3893" i="7"/>
  <c r="C3892" i="7"/>
  <c r="C3891" i="7"/>
  <c r="C3890" i="7"/>
  <c r="C3889" i="7"/>
  <c r="C3888" i="7"/>
  <c r="C3887" i="7"/>
  <c r="C3886" i="7"/>
  <c r="C3885" i="7"/>
  <c r="C3884" i="7"/>
  <c r="C3883" i="7"/>
  <c r="C3882" i="7"/>
  <c r="C3881" i="7"/>
  <c r="C3880" i="7"/>
  <c r="C3879" i="7"/>
  <c r="C3878" i="7"/>
  <c r="C3877" i="7"/>
  <c r="C3876" i="7"/>
  <c r="C3875" i="7"/>
  <c r="C3874" i="7"/>
  <c r="C3873" i="7"/>
  <c r="C3872" i="7"/>
  <c r="C3871" i="7"/>
  <c r="C3870" i="7"/>
  <c r="C3869" i="7"/>
  <c r="C3868" i="7"/>
  <c r="C3867" i="7"/>
  <c r="C3866" i="7"/>
  <c r="C3865" i="7"/>
  <c r="C3864" i="7"/>
  <c r="C3863" i="7"/>
  <c r="C3862" i="7"/>
  <c r="C3861" i="7"/>
  <c r="C3860" i="7"/>
  <c r="C3859" i="7"/>
  <c r="C3858" i="7"/>
  <c r="C3857" i="7"/>
  <c r="C3856" i="7"/>
  <c r="C3855" i="7"/>
  <c r="C3854" i="7"/>
  <c r="C3853" i="7"/>
  <c r="C3852" i="7"/>
  <c r="C3851" i="7"/>
  <c r="C3850" i="7"/>
  <c r="C3849" i="7"/>
  <c r="C3848" i="7"/>
  <c r="C3847" i="7"/>
  <c r="C3846" i="7"/>
  <c r="C3845" i="7"/>
  <c r="C3844" i="7"/>
  <c r="C3843" i="7"/>
  <c r="C3842" i="7"/>
  <c r="C3841" i="7"/>
  <c r="C3840" i="7"/>
  <c r="C3839" i="7"/>
  <c r="C3838" i="7"/>
  <c r="C3837" i="7"/>
  <c r="C3836" i="7"/>
  <c r="C3835" i="7"/>
  <c r="C3834" i="7"/>
  <c r="C3833" i="7"/>
  <c r="C3832" i="7"/>
  <c r="C3831" i="7"/>
  <c r="C3830" i="7"/>
  <c r="C3829" i="7"/>
  <c r="C3828" i="7"/>
  <c r="C3827" i="7"/>
  <c r="C3826" i="7"/>
  <c r="C3825" i="7"/>
  <c r="C3824" i="7"/>
  <c r="C3823" i="7"/>
  <c r="C3822" i="7"/>
  <c r="C3821" i="7"/>
  <c r="C3820" i="7"/>
  <c r="C3819" i="7"/>
  <c r="C3818" i="7"/>
  <c r="C3817" i="7"/>
  <c r="C3816" i="7"/>
  <c r="C3815" i="7"/>
  <c r="C3814" i="7"/>
  <c r="C3813" i="7"/>
  <c r="C3812" i="7"/>
  <c r="C3811" i="7"/>
  <c r="C3810" i="7"/>
  <c r="C3809" i="7"/>
  <c r="C3808" i="7"/>
  <c r="C3807" i="7"/>
  <c r="C3806" i="7"/>
  <c r="C3805" i="7"/>
  <c r="C3804" i="7"/>
  <c r="C3803" i="7"/>
  <c r="C3802" i="7"/>
  <c r="C3801" i="7"/>
  <c r="C3800" i="7"/>
  <c r="C3799" i="7"/>
  <c r="C3798" i="7"/>
  <c r="C3797" i="7"/>
  <c r="C3796" i="7"/>
  <c r="C3795" i="7"/>
  <c r="C3794" i="7"/>
  <c r="C3793" i="7"/>
  <c r="C3792" i="7"/>
  <c r="C3791" i="7"/>
  <c r="C3790" i="7"/>
  <c r="C3789" i="7"/>
  <c r="C3788" i="7"/>
  <c r="C3787" i="7"/>
  <c r="C3786" i="7"/>
  <c r="C3785" i="7"/>
  <c r="C3784" i="7"/>
  <c r="C3783" i="7"/>
  <c r="C3782" i="7"/>
  <c r="C3781" i="7"/>
  <c r="C3780" i="7"/>
  <c r="C3779" i="7"/>
  <c r="C3778" i="7"/>
  <c r="C3777" i="7"/>
  <c r="C3776" i="7"/>
  <c r="C3775" i="7"/>
  <c r="C3774" i="7"/>
  <c r="C3773" i="7"/>
  <c r="C3772" i="7"/>
  <c r="C3771" i="7"/>
  <c r="C3770" i="7"/>
  <c r="C3769" i="7"/>
  <c r="C3768" i="7"/>
  <c r="C3767" i="7"/>
  <c r="C3766" i="7"/>
  <c r="C3765" i="7"/>
  <c r="C3764" i="7"/>
  <c r="C3763" i="7"/>
  <c r="C3762" i="7"/>
  <c r="C3761" i="7"/>
  <c r="C3760" i="7"/>
  <c r="C3759" i="7"/>
  <c r="C3758" i="7"/>
  <c r="C3757" i="7"/>
  <c r="C3756" i="7"/>
  <c r="C3755" i="7"/>
  <c r="C3754" i="7"/>
  <c r="C3753" i="7"/>
  <c r="C3752" i="7"/>
  <c r="C3751" i="7"/>
  <c r="C3750" i="7"/>
  <c r="C3749" i="7"/>
  <c r="C3748" i="7"/>
  <c r="C3747" i="7"/>
  <c r="C3746" i="7"/>
  <c r="C3745" i="7"/>
  <c r="C3744" i="7"/>
  <c r="C3743" i="7"/>
  <c r="C3742" i="7"/>
  <c r="C3741" i="7"/>
  <c r="C3740" i="7"/>
  <c r="C3739" i="7"/>
  <c r="C3738" i="7"/>
  <c r="C3737" i="7"/>
  <c r="C3736" i="7"/>
  <c r="C3735" i="7"/>
  <c r="C3734" i="7"/>
  <c r="C3733" i="7"/>
  <c r="C3732" i="7"/>
  <c r="C3731" i="7"/>
  <c r="C3730" i="7"/>
  <c r="C3729" i="7"/>
  <c r="C3728" i="7"/>
  <c r="C3727" i="7"/>
  <c r="C3726" i="7"/>
  <c r="C3725" i="7"/>
  <c r="C3724" i="7"/>
  <c r="C3723" i="7"/>
  <c r="C3722" i="7"/>
  <c r="C3721" i="7"/>
  <c r="C3720" i="7"/>
  <c r="C3719" i="7"/>
  <c r="C3718" i="7"/>
  <c r="C3717" i="7"/>
  <c r="C3716" i="7"/>
  <c r="C3715" i="7"/>
  <c r="C3714" i="7"/>
  <c r="C3713" i="7"/>
  <c r="C3712" i="7"/>
  <c r="C3711" i="7"/>
  <c r="C3710" i="7"/>
  <c r="C3709" i="7"/>
  <c r="C3708" i="7"/>
  <c r="C3707" i="7"/>
  <c r="C3706" i="7"/>
  <c r="C3705" i="7"/>
  <c r="C3704" i="7"/>
  <c r="C3703" i="7"/>
  <c r="C3702" i="7"/>
  <c r="C3701" i="7"/>
  <c r="C3700" i="7"/>
  <c r="C3699" i="7"/>
  <c r="C3698" i="7"/>
  <c r="C3697" i="7"/>
  <c r="C3696" i="7"/>
  <c r="C3695" i="7"/>
  <c r="C3694" i="7"/>
  <c r="C3693" i="7"/>
  <c r="C3692" i="7"/>
  <c r="C3691" i="7"/>
  <c r="C3690" i="7"/>
  <c r="C3689" i="7"/>
  <c r="C3688" i="7"/>
  <c r="C3687" i="7"/>
  <c r="C3686" i="7"/>
  <c r="C3685" i="7"/>
  <c r="C3684" i="7"/>
  <c r="C3683" i="7"/>
  <c r="C3682" i="7"/>
  <c r="C3681" i="7"/>
  <c r="C3680" i="7"/>
  <c r="C3679" i="7"/>
  <c r="C3678" i="7"/>
  <c r="C3677" i="7"/>
  <c r="C3676" i="7"/>
  <c r="C3675" i="7"/>
  <c r="C3674" i="7"/>
  <c r="C3673" i="7"/>
  <c r="C3672" i="7"/>
  <c r="C3671" i="7"/>
  <c r="C3670" i="7"/>
  <c r="C3669" i="7"/>
  <c r="C3668" i="7"/>
  <c r="C3667" i="7"/>
  <c r="C3666" i="7"/>
  <c r="C3665" i="7"/>
  <c r="C3664" i="7"/>
  <c r="C3663" i="7"/>
  <c r="C3662" i="7"/>
  <c r="C3661" i="7"/>
  <c r="C3660" i="7"/>
  <c r="C3659" i="7"/>
  <c r="C3658" i="7"/>
  <c r="C3657" i="7"/>
  <c r="C3656" i="7"/>
  <c r="C3655" i="7"/>
  <c r="C3654" i="7"/>
  <c r="C3653" i="7"/>
  <c r="C3652" i="7"/>
  <c r="C3651" i="7"/>
  <c r="C3650" i="7"/>
  <c r="C3649" i="7"/>
  <c r="C3648" i="7"/>
  <c r="C3647" i="7"/>
  <c r="C3646" i="7"/>
  <c r="C3645" i="7"/>
  <c r="C3644" i="7"/>
  <c r="C3643" i="7"/>
  <c r="C3642" i="7"/>
  <c r="C3641" i="7"/>
  <c r="C3640" i="7"/>
  <c r="C3639" i="7"/>
  <c r="C3638" i="7"/>
  <c r="C3637" i="7"/>
  <c r="C3636" i="7"/>
  <c r="C3635" i="7"/>
  <c r="C3634" i="7"/>
  <c r="C3633" i="7"/>
  <c r="C3632" i="7"/>
  <c r="C3631" i="7"/>
  <c r="C3630" i="7"/>
  <c r="C3629" i="7"/>
  <c r="C3628" i="7"/>
  <c r="C3627" i="7"/>
  <c r="C3626" i="7"/>
  <c r="C3625" i="7"/>
  <c r="C3624" i="7"/>
  <c r="C3623" i="7"/>
  <c r="C3622" i="7"/>
  <c r="C3621" i="7"/>
  <c r="C3620" i="7"/>
  <c r="C3619" i="7"/>
  <c r="C3618" i="7"/>
  <c r="C3617" i="7"/>
  <c r="C3616" i="7"/>
  <c r="C3615" i="7"/>
  <c r="C3614" i="7"/>
  <c r="C3613" i="7"/>
  <c r="C3612" i="7"/>
  <c r="C3611" i="7"/>
  <c r="C3610" i="7"/>
  <c r="C3609" i="7"/>
  <c r="C3608" i="7"/>
  <c r="C3607" i="7"/>
  <c r="C3606" i="7"/>
  <c r="C3605" i="7"/>
  <c r="C3604" i="7"/>
  <c r="C3603" i="7"/>
  <c r="C3602" i="7"/>
  <c r="C3601" i="7"/>
  <c r="C3600" i="7"/>
  <c r="C3599" i="7"/>
  <c r="C3598" i="7"/>
  <c r="C3597" i="7"/>
  <c r="C3596" i="7"/>
  <c r="C3595" i="7"/>
  <c r="C3594" i="7"/>
  <c r="C3593" i="7"/>
  <c r="C3592" i="7"/>
  <c r="C3591" i="7"/>
  <c r="C3590" i="7"/>
  <c r="C3589" i="7"/>
  <c r="C3588" i="7"/>
  <c r="C3587" i="7"/>
  <c r="C3586" i="7"/>
  <c r="C3585" i="7"/>
  <c r="C3584" i="7"/>
  <c r="C3583" i="7"/>
  <c r="C3582" i="7"/>
  <c r="C3581" i="7"/>
  <c r="C3580" i="7"/>
  <c r="C3579" i="7"/>
  <c r="C3578" i="7"/>
  <c r="C3577" i="7"/>
  <c r="C3576" i="7"/>
  <c r="C3575" i="7"/>
  <c r="C3574" i="7"/>
  <c r="C3573" i="7"/>
  <c r="C3572" i="7"/>
  <c r="C3571" i="7"/>
  <c r="C3570" i="7"/>
  <c r="C3569" i="7"/>
  <c r="C3568" i="7"/>
  <c r="C3567" i="7"/>
  <c r="C3566" i="7"/>
  <c r="C3565" i="7"/>
  <c r="C3564" i="7"/>
  <c r="C3563" i="7"/>
  <c r="C3562" i="7"/>
  <c r="C3561" i="7"/>
  <c r="C3560" i="7"/>
  <c r="C3559" i="7"/>
  <c r="C3558" i="7"/>
  <c r="C3557" i="7"/>
  <c r="C3556" i="7"/>
  <c r="C3555" i="7"/>
  <c r="C3554" i="7"/>
  <c r="C3553" i="7"/>
  <c r="C3552" i="7"/>
  <c r="C3551" i="7"/>
  <c r="C3550" i="7"/>
  <c r="C3549" i="7"/>
  <c r="C3548" i="7"/>
  <c r="C3547" i="7"/>
  <c r="C3546" i="7"/>
  <c r="C3545" i="7"/>
  <c r="C3544" i="7"/>
  <c r="C3543" i="7"/>
  <c r="C3542" i="7"/>
  <c r="C3541" i="7"/>
  <c r="C3540" i="7"/>
  <c r="C3539" i="7"/>
  <c r="C3538" i="7"/>
  <c r="C3537" i="7"/>
  <c r="C3536" i="7"/>
  <c r="C3535" i="7"/>
  <c r="C3534" i="7"/>
  <c r="C3533" i="7"/>
  <c r="C3532" i="7"/>
  <c r="C3531" i="7"/>
  <c r="C3530" i="7"/>
  <c r="C3529" i="7"/>
  <c r="C3528" i="7"/>
  <c r="C3527" i="7"/>
  <c r="C3526" i="7"/>
  <c r="C3525" i="7"/>
  <c r="C3524" i="7"/>
  <c r="C3523" i="7"/>
  <c r="C3522" i="7"/>
  <c r="C3521" i="7"/>
  <c r="C3520" i="7"/>
  <c r="C3519" i="7"/>
  <c r="C3518" i="7"/>
  <c r="C3517" i="7"/>
  <c r="C3516" i="7"/>
  <c r="C3515" i="7"/>
  <c r="C3514" i="7"/>
  <c r="C3513" i="7"/>
  <c r="C3512" i="7"/>
  <c r="C3511" i="7"/>
  <c r="C3510" i="7"/>
  <c r="C3509" i="7"/>
  <c r="C3508" i="7"/>
  <c r="C3507" i="7"/>
  <c r="C3506" i="7"/>
  <c r="C3505" i="7"/>
  <c r="C3504" i="7"/>
  <c r="C3503" i="7"/>
  <c r="C3502" i="7"/>
  <c r="C3501" i="7"/>
  <c r="C3500" i="7"/>
  <c r="C3499" i="7"/>
  <c r="C3498" i="7"/>
  <c r="C3497" i="7"/>
  <c r="C3496" i="7"/>
  <c r="C3495" i="7"/>
  <c r="C3494" i="7"/>
  <c r="C3493" i="7"/>
  <c r="C3492" i="7"/>
  <c r="C3491" i="7"/>
  <c r="C3490" i="7"/>
  <c r="C3489" i="7"/>
  <c r="C3488" i="7"/>
  <c r="C3487" i="7"/>
  <c r="C3486" i="7"/>
  <c r="C3485" i="7"/>
  <c r="C3484" i="7"/>
  <c r="C3483" i="7"/>
  <c r="C3482" i="7"/>
  <c r="C3481" i="7"/>
  <c r="C3480" i="7"/>
  <c r="C3479" i="7"/>
  <c r="C3478" i="7"/>
  <c r="C3477" i="7"/>
  <c r="C3476" i="7"/>
  <c r="C3475" i="7"/>
  <c r="C3474" i="7"/>
  <c r="C3473" i="7"/>
  <c r="C3472" i="7"/>
  <c r="C3471" i="7"/>
  <c r="C3470" i="7"/>
  <c r="C3469" i="7"/>
  <c r="C3468" i="7"/>
  <c r="C3467" i="7"/>
  <c r="C3466" i="7"/>
  <c r="C3465" i="7"/>
  <c r="C3464" i="7"/>
  <c r="C3463" i="7"/>
  <c r="C3462" i="7"/>
  <c r="C3461" i="7"/>
  <c r="C3460" i="7"/>
  <c r="C3459" i="7"/>
  <c r="C3458" i="7"/>
  <c r="C3457" i="7"/>
  <c r="C3456" i="7"/>
  <c r="C3455" i="7"/>
  <c r="C3454" i="7"/>
  <c r="C3453" i="7"/>
  <c r="C3452" i="7"/>
  <c r="C3451" i="7"/>
  <c r="C3450" i="7"/>
  <c r="C3449" i="7"/>
  <c r="C3448" i="7"/>
  <c r="C3447" i="7"/>
  <c r="C3446" i="7"/>
  <c r="C3445" i="7"/>
  <c r="C3444" i="7"/>
  <c r="C3443" i="7"/>
  <c r="C3442" i="7"/>
  <c r="C3441" i="7"/>
  <c r="C3440" i="7"/>
  <c r="C3439" i="7"/>
  <c r="C3438" i="7"/>
  <c r="C3437" i="7"/>
  <c r="C3436" i="7"/>
  <c r="C3435" i="7"/>
  <c r="C3434" i="7"/>
  <c r="C3433" i="7"/>
  <c r="C3432" i="7"/>
  <c r="C3431" i="7"/>
  <c r="C3430" i="7"/>
  <c r="C3429" i="7"/>
  <c r="C3428" i="7"/>
  <c r="C3427" i="7"/>
  <c r="C3426" i="7"/>
  <c r="C3425" i="7"/>
  <c r="C3424" i="7"/>
  <c r="C3423" i="7"/>
  <c r="C3422" i="7"/>
  <c r="C3421" i="7"/>
  <c r="C3420" i="7"/>
  <c r="C3419" i="7"/>
  <c r="C3418" i="7"/>
  <c r="C3417" i="7"/>
  <c r="C3416" i="7"/>
  <c r="C3415" i="7"/>
  <c r="C3414" i="7"/>
  <c r="C3413" i="7"/>
  <c r="C3412" i="7"/>
  <c r="C3411" i="7"/>
  <c r="C3410" i="7"/>
  <c r="C3409" i="7"/>
  <c r="C3408" i="7"/>
  <c r="C3407" i="7"/>
  <c r="C3406" i="7"/>
  <c r="C3405" i="7"/>
  <c r="C3404" i="7"/>
  <c r="C3403" i="7"/>
  <c r="C3402" i="7"/>
  <c r="C3401" i="7"/>
  <c r="C3400" i="7"/>
  <c r="C3399" i="7"/>
  <c r="C3398" i="7"/>
  <c r="C3397" i="7"/>
  <c r="C3396" i="7"/>
  <c r="C3395" i="7"/>
  <c r="C3394" i="7"/>
  <c r="C3393" i="7"/>
  <c r="C3392" i="7"/>
  <c r="C3391" i="7"/>
  <c r="C3390" i="7"/>
  <c r="C3389" i="7"/>
  <c r="C3388" i="7"/>
  <c r="C3387" i="7"/>
  <c r="C3386" i="7"/>
  <c r="C3385" i="7"/>
  <c r="C3384" i="7"/>
  <c r="C3383" i="7"/>
  <c r="C3382" i="7"/>
  <c r="C3381" i="7"/>
  <c r="C3380" i="7"/>
  <c r="C3379" i="7"/>
  <c r="C3378" i="7"/>
  <c r="C3377" i="7"/>
  <c r="C3376" i="7"/>
  <c r="C3375" i="7"/>
  <c r="C3374" i="7"/>
  <c r="C3373" i="7"/>
  <c r="C3372" i="7"/>
  <c r="C3371" i="7"/>
  <c r="C3370" i="7"/>
  <c r="C3369" i="7"/>
  <c r="C3368" i="7"/>
  <c r="C3367" i="7"/>
  <c r="C3366" i="7"/>
  <c r="C3365" i="7"/>
  <c r="C3364" i="7"/>
  <c r="C3363" i="7"/>
  <c r="C3362" i="7"/>
  <c r="C3361" i="7"/>
  <c r="C3360" i="7"/>
  <c r="C3359" i="7"/>
  <c r="C3358" i="7"/>
  <c r="C3357" i="7"/>
  <c r="C3356" i="7"/>
  <c r="C3355" i="7"/>
  <c r="C3354" i="7"/>
  <c r="C3353" i="7"/>
  <c r="C3352" i="7"/>
  <c r="C3351" i="7"/>
  <c r="C3350" i="7"/>
  <c r="C3349" i="7"/>
  <c r="C3348" i="7"/>
  <c r="C3347" i="7"/>
  <c r="C3346" i="7"/>
  <c r="C3345" i="7"/>
  <c r="C3344" i="7"/>
  <c r="C3343" i="7"/>
  <c r="C3342" i="7"/>
  <c r="C3341" i="7"/>
  <c r="C3340" i="7"/>
  <c r="C3339" i="7"/>
  <c r="C3338" i="7"/>
  <c r="C3337" i="7"/>
  <c r="C3336" i="7"/>
  <c r="C3335" i="7"/>
  <c r="C3334" i="7"/>
  <c r="C3333" i="7"/>
  <c r="C3332" i="7"/>
  <c r="C3331" i="7"/>
  <c r="C3330" i="7"/>
  <c r="C3329" i="7"/>
  <c r="C3328" i="7"/>
  <c r="C3327" i="7"/>
  <c r="C3326" i="7"/>
  <c r="C3325" i="7"/>
  <c r="C3324" i="7"/>
  <c r="C3323" i="7"/>
  <c r="C3322" i="7"/>
  <c r="C3321" i="7"/>
  <c r="C3320" i="7"/>
  <c r="C3319" i="7"/>
  <c r="C3318" i="7"/>
  <c r="C3317" i="7"/>
  <c r="C3316" i="7"/>
  <c r="C3315" i="7"/>
  <c r="C3314" i="7"/>
  <c r="C3313" i="7"/>
  <c r="C3312" i="7"/>
  <c r="C3311" i="7"/>
  <c r="C3310" i="7"/>
  <c r="C3309" i="7"/>
  <c r="C3308" i="7"/>
  <c r="C3307" i="7"/>
  <c r="C3306" i="7"/>
  <c r="C3305" i="7"/>
  <c r="C3304" i="7"/>
  <c r="C3303" i="7"/>
  <c r="C3302" i="7"/>
  <c r="C3301" i="7"/>
  <c r="C3300" i="7"/>
  <c r="C3299" i="7"/>
  <c r="C3298" i="7"/>
  <c r="C3297" i="7"/>
  <c r="C3296" i="7"/>
  <c r="C3295" i="7"/>
  <c r="C3294" i="7"/>
  <c r="C3293" i="7"/>
  <c r="C3292" i="7"/>
  <c r="C3291" i="7"/>
  <c r="C3290" i="7"/>
  <c r="C3289" i="7"/>
  <c r="C3288" i="7"/>
  <c r="C3287" i="7"/>
  <c r="C3286" i="7"/>
  <c r="C3285" i="7"/>
  <c r="C3284" i="7"/>
  <c r="C3283" i="7"/>
  <c r="C3282" i="7"/>
  <c r="C3281" i="7"/>
  <c r="C3280" i="7"/>
  <c r="C3279" i="7"/>
  <c r="C3278" i="7"/>
  <c r="C3277" i="7"/>
  <c r="C3276" i="7"/>
  <c r="C3275" i="7"/>
  <c r="C3274" i="7"/>
  <c r="C3273" i="7"/>
  <c r="C3272" i="7"/>
  <c r="C3271" i="7"/>
  <c r="C3270" i="7"/>
  <c r="C3269" i="7"/>
  <c r="C3268" i="7"/>
  <c r="C3267" i="7"/>
  <c r="C3266" i="7"/>
  <c r="C3265" i="7"/>
  <c r="C3264" i="7"/>
  <c r="C3263" i="7"/>
  <c r="C3262" i="7"/>
  <c r="C3261" i="7"/>
  <c r="C3260" i="7"/>
  <c r="C3259" i="7"/>
  <c r="C3258" i="7"/>
  <c r="C3257" i="7"/>
  <c r="C3256" i="7"/>
  <c r="C3255" i="7"/>
  <c r="C3254" i="7"/>
  <c r="C3253" i="7"/>
  <c r="C3252" i="7"/>
  <c r="C3251" i="7"/>
  <c r="C3250" i="7"/>
  <c r="C3249" i="7"/>
  <c r="C3248" i="7"/>
  <c r="C3247" i="7"/>
  <c r="C3246" i="7"/>
  <c r="C3245" i="7"/>
  <c r="C3244" i="7"/>
  <c r="C3243" i="7"/>
  <c r="C3242" i="7"/>
  <c r="C3241" i="7"/>
  <c r="C3240" i="7"/>
  <c r="C3239" i="7"/>
  <c r="C3238" i="7"/>
  <c r="C3237" i="7"/>
  <c r="C3236" i="7"/>
  <c r="C3235" i="7"/>
  <c r="C3234" i="7"/>
  <c r="C3233" i="7"/>
  <c r="C3232" i="7"/>
  <c r="C3231" i="7"/>
  <c r="C3230" i="7"/>
  <c r="C3229" i="7"/>
  <c r="C3228" i="7"/>
  <c r="C3227" i="7"/>
  <c r="C3226" i="7"/>
  <c r="C3225" i="7"/>
  <c r="C3224" i="7"/>
  <c r="C3223" i="7"/>
  <c r="C3222" i="7"/>
  <c r="C3221" i="7"/>
  <c r="C3220" i="7"/>
  <c r="C3219" i="7"/>
  <c r="C3218" i="7"/>
  <c r="C3217" i="7"/>
  <c r="C3216" i="7"/>
  <c r="C3215" i="7"/>
  <c r="C3214" i="7"/>
  <c r="C3213" i="7"/>
  <c r="C3212" i="7"/>
  <c r="C3211" i="7"/>
  <c r="C3210" i="7"/>
  <c r="C3209" i="7"/>
  <c r="C3208" i="7"/>
  <c r="C3207" i="7"/>
  <c r="C3206" i="7"/>
  <c r="C3205" i="7"/>
  <c r="C3204" i="7"/>
  <c r="C3203" i="7"/>
  <c r="C3202" i="7"/>
  <c r="C3201" i="7"/>
  <c r="C3200" i="7"/>
  <c r="C3199" i="7"/>
  <c r="C3198" i="7"/>
  <c r="C3197" i="7"/>
  <c r="C3196" i="7"/>
  <c r="C3195" i="7"/>
  <c r="C3194" i="7"/>
  <c r="C3193" i="7"/>
  <c r="C3192" i="7"/>
  <c r="C3191" i="7"/>
  <c r="C3190" i="7"/>
  <c r="C3189" i="7"/>
  <c r="C3188" i="7"/>
  <c r="C3187" i="7"/>
  <c r="C3186" i="7"/>
  <c r="C3185" i="7"/>
  <c r="C3184" i="7"/>
  <c r="C3183" i="7"/>
  <c r="C3182" i="7"/>
  <c r="C3181" i="7"/>
  <c r="C3180" i="7"/>
  <c r="C3179" i="7"/>
  <c r="C3178" i="7"/>
  <c r="C3177" i="7"/>
  <c r="C3176" i="7"/>
  <c r="C3175" i="7"/>
  <c r="C3174" i="7"/>
  <c r="C3173" i="7"/>
  <c r="C3172" i="7"/>
  <c r="C3171" i="7"/>
  <c r="C3170" i="7"/>
  <c r="C3169" i="7"/>
  <c r="C3168" i="7"/>
  <c r="C3167" i="7"/>
  <c r="C3166" i="7"/>
  <c r="C3165" i="7"/>
  <c r="C3164" i="7"/>
  <c r="C3163" i="7"/>
  <c r="C3162" i="7"/>
  <c r="C3161" i="7"/>
  <c r="C3160" i="7"/>
  <c r="C3159" i="7"/>
  <c r="C3158" i="7"/>
  <c r="C3157" i="7"/>
  <c r="C3156" i="7"/>
  <c r="C3155" i="7"/>
  <c r="C3154" i="7"/>
  <c r="C3153" i="7"/>
  <c r="C3152" i="7"/>
  <c r="C3151" i="7"/>
  <c r="C3150" i="7"/>
  <c r="C3149" i="7"/>
  <c r="C3148" i="7"/>
  <c r="C3147" i="7"/>
  <c r="C3146" i="7"/>
  <c r="C3145" i="7"/>
  <c r="C3144" i="7"/>
  <c r="C3143" i="7"/>
  <c r="C3142" i="7"/>
  <c r="C3141" i="7"/>
  <c r="C3140" i="7"/>
  <c r="C3139" i="7"/>
  <c r="C3138" i="7"/>
  <c r="C3137" i="7"/>
  <c r="C3136" i="7"/>
  <c r="C3135" i="7"/>
  <c r="C3134" i="7"/>
  <c r="C3133" i="7"/>
  <c r="C3132" i="7"/>
  <c r="C3131" i="7"/>
  <c r="C3130" i="7"/>
  <c r="C3129" i="7"/>
  <c r="C3128" i="7"/>
  <c r="C3127" i="7"/>
  <c r="C3126" i="7"/>
  <c r="C3125" i="7"/>
  <c r="C3124" i="7"/>
  <c r="C3123" i="7"/>
  <c r="C3122" i="7"/>
  <c r="C3121" i="7"/>
  <c r="C3120" i="7"/>
  <c r="C3119" i="7"/>
  <c r="C3118" i="7"/>
  <c r="C3117" i="7"/>
  <c r="C3116" i="7"/>
  <c r="C3115" i="7"/>
  <c r="C3114" i="7"/>
  <c r="C3113" i="7"/>
  <c r="C3112" i="7"/>
  <c r="C3111" i="7"/>
  <c r="C3110" i="7"/>
  <c r="C3109" i="7"/>
  <c r="C3108" i="7"/>
  <c r="C3107" i="7"/>
  <c r="C3106" i="7"/>
  <c r="C3105" i="7"/>
  <c r="C3104" i="7"/>
  <c r="C3103" i="7"/>
  <c r="C3102" i="7"/>
  <c r="C3101" i="7"/>
  <c r="C3100" i="7"/>
  <c r="C3099" i="7"/>
  <c r="C3098" i="7"/>
  <c r="C3097" i="7"/>
  <c r="C3096" i="7"/>
  <c r="C3095" i="7"/>
  <c r="C3094" i="7"/>
  <c r="C3093" i="7"/>
  <c r="C3092" i="7"/>
  <c r="C3091" i="7"/>
  <c r="C3090" i="7"/>
  <c r="C3089" i="7"/>
  <c r="C3088" i="7"/>
  <c r="C3087" i="7"/>
  <c r="C3086" i="7"/>
  <c r="C3085" i="7"/>
  <c r="C3084" i="7"/>
  <c r="C3083" i="7"/>
  <c r="C3082" i="7"/>
  <c r="C3081" i="7"/>
  <c r="C3080" i="7"/>
  <c r="C3079" i="7"/>
  <c r="C3078" i="7"/>
  <c r="C3077" i="7"/>
  <c r="C3076" i="7"/>
  <c r="C3075" i="7"/>
  <c r="C3074" i="7"/>
  <c r="C3073" i="7"/>
  <c r="C3072" i="7"/>
  <c r="C3071" i="7"/>
  <c r="C3070" i="7"/>
  <c r="C3069" i="7"/>
  <c r="C3068" i="7"/>
  <c r="C3067" i="7"/>
  <c r="C3066" i="7"/>
  <c r="C3065" i="7"/>
  <c r="C3064" i="7"/>
  <c r="C3063" i="7"/>
  <c r="C3062" i="7"/>
  <c r="C3061" i="7"/>
  <c r="C3060" i="7"/>
  <c r="C3059" i="7"/>
  <c r="C3058" i="7"/>
  <c r="C3057" i="7"/>
  <c r="C3056" i="7"/>
  <c r="C3055" i="7"/>
  <c r="C3054" i="7"/>
  <c r="C3053" i="7"/>
  <c r="C3052" i="7"/>
  <c r="C3051" i="7"/>
  <c r="C3050" i="7"/>
  <c r="C3049" i="7"/>
  <c r="C3048" i="7"/>
  <c r="C3047" i="7"/>
  <c r="C3046" i="7"/>
  <c r="C3045" i="7"/>
  <c r="C3044" i="7"/>
  <c r="C3043" i="7"/>
  <c r="C3042" i="7"/>
  <c r="C3041" i="7"/>
  <c r="C3040" i="7"/>
  <c r="C3039" i="7"/>
  <c r="C3038" i="7"/>
  <c r="C3037" i="7"/>
  <c r="C3036" i="7"/>
  <c r="C3035" i="7"/>
  <c r="C3034" i="7"/>
  <c r="C3033" i="7"/>
  <c r="C3032" i="7"/>
  <c r="C3031" i="7"/>
  <c r="C3030" i="7"/>
  <c r="C3029" i="7"/>
  <c r="C3028" i="7"/>
  <c r="C3027" i="7"/>
  <c r="C3026" i="7"/>
  <c r="C3025" i="7"/>
  <c r="C3024" i="7"/>
  <c r="C3023" i="7"/>
  <c r="C3022" i="7"/>
  <c r="C3021" i="7"/>
  <c r="C3020" i="7"/>
  <c r="C3019" i="7"/>
  <c r="C3018" i="7"/>
  <c r="C3017" i="7"/>
  <c r="C3016" i="7"/>
  <c r="C3015" i="7"/>
  <c r="C3014" i="7"/>
  <c r="C3013" i="7"/>
  <c r="C3012" i="7"/>
  <c r="C3011" i="7"/>
  <c r="C3010" i="7"/>
  <c r="C3009" i="7"/>
  <c r="C3008" i="7"/>
  <c r="C3007" i="7"/>
  <c r="C3006" i="7"/>
  <c r="C3005" i="7"/>
  <c r="C3004" i="7"/>
  <c r="C3003" i="7"/>
  <c r="C3002" i="7"/>
  <c r="C3001" i="7"/>
  <c r="C3000" i="7"/>
  <c r="C2999" i="7"/>
  <c r="C2998" i="7"/>
  <c r="C2997" i="7"/>
  <c r="C2996" i="7"/>
  <c r="C2995" i="7"/>
  <c r="C2994" i="7"/>
  <c r="C2993" i="7"/>
  <c r="C2992" i="7"/>
  <c r="C2991" i="7"/>
  <c r="C2990" i="7"/>
  <c r="C2989" i="7"/>
  <c r="C2988" i="7"/>
  <c r="C2987" i="7"/>
  <c r="C2986" i="7"/>
  <c r="C2985" i="7"/>
  <c r="C2984" i="7"/>
  <c r="C2983" i="7"/>
  <c r="C2982" i="7"/>
  <c r="C2981" i="7"/>
  <c r="C2980" i="7"/>
  <c r="C2979" i="7"/>
  <c r="C2978" i="7"/>
  <c r="C2977" i="7"/>
  <c r="C2976" i="7"/>
  <c r="C2975" i="7"/>
  <c r="C2974" i="7"/>
  <c r="C2973" i="7"/>
  <c r="C2972" i="7"/>
  <c r="C2971" i="7"/>
  <c r="C2970" i="7"/>
  <c r="C2969" i="7"/>
  <c r="C2968" i="7"/>
  <c r="C2967" i="7"/>
  <c r="C2966" i="7"/>
  <c r="C2965" i="7"/>
  <c r="C2964" i="7"/>
  <c r="C2963" i="7"/>
  <c r="C2962" i="7"/>
  <c r="C2961" i="7"/>
  <c r="C2960" i="7"/>
  <c r="C2959" i="7"/>
  <c r="C2958" i="7"/>
  <c r="C2957" i="7"/>
  <c r="C2956" i="7"/>
  <c r="C2955" i="7"/>
  <c r="C2954" i="7"/>
  <c r="C2953" i="7"/>
  <c r="C2952" i="7"/>
  <c r="C2951" i="7"/>
  <c r="C2950" i="7"/>
  <c r="C2949" i="7"/>
  <c r="C2948" i="7"/>
  <c r="C2947" i="7"/>
  <c r="C2946" i="7"/>
  <c r="C2945" i="7"/>
  <c r="C2944" i="7"/>
  <c r="C2943" i="7"/>
  <c r="C2942" i="7"/>
  <c r="C2941" i="7"/>
  <c r="C2940" i="7"/>
  <c r="C2939" i="7"/>
  <c r="C2938" i="7"/>
  <c r="C2937" i="7"/>
  <c r="C2936" i="7"/>
  <c r="C2935" i="7"/>
  <c r="C2934" i="7"/>
  <c r="C2933" i="7"/>
  <c r="C2932" i="7"/>
  <c r="C2931" i="7"/>
  <c r="C2930" i="7"/>
  <c r="C2929" i="7"/>
  <c r="C2928" i="7"/>
  <c r="C2927" i="7"/>
  <c r="C2926" i="7"/>
  <c r="C2925" i="7"/>
  <c r="C2924" i="7"/>
  <c r="C2923" i="7"/>
  <c r="C2922" i="7"/>
  <c r="C2921" i="7"/>
  <c r="C2920" i="7"/>
  <c r="C2919" i="7"/>
  <c r="C2918" i="7"/>
  <c r="C2917" i="7"/>
  <c r="C2916" i="7"/>
  <c r="C2915" i="7"/>
  <c r="C2914" i="7"/>
  <c r="C2913" i="7"/>
  <c r="C2912" i="7"/>
  <c r="C2911" i="7"/>
  <c r="C2910" i="7"/>
  <c r="C2909" i="7"/>
  <c r="C2908" i="7"/>
  <c r="C2907" i="7"/>
  <c r="C2906" i="7"/>
  <c r="C2905" i="7"/>
  <c r="C2904" i="7"/>
  <c r="C2903" i="7"/>
  <c r="C2902" i="7"/>
  <c r="C2901" i="7"/>
  <c r="C2900" i="7"/>
  <c r="C2899" i="7"/>
  <c r="C2898" i="7"/>
  <c r="C2897" i="7"/>
  <c r="C2896" i="7"/>
  <c r="C2895" i="7"/>
  <c r="C2894" i="7"/>
  <c r="C2893" i="7"/>
  <c r="C2892" i="7"/>
  <c r="C2891" i="7"/>
  <c r="C2890" i="7"/>
  <c r="C2889" i="7"/>
  <c r="C2888" i="7"/>
  <c r="C2887" i="7"/>
  <c r="C2886" i="7"/>
  <c r="C2885" i="7"/>
  <c r="C2884" i="7"/>
  <c r="C2883" i="7"/>
  <c r="C2882" i="7"/>
  <c r="C2881" i="7"/>
  <c r="C2880" i="7"/>
  <c r="C2879" i="7"/>
  <c r="C2878" i="7"/>
  <c r="C2877" i="7"/>
  <c r="C2876" i="7"/>
  <c r="C2875" i="7"/>
  <c r="C2874" i="7"/>
  <c r="C2873" i="7"/>
  <c r="C2872" i="7"/>
  <c r="C2871" i="7"/>
  <c r="C2870" i="7"/>
  <c r="C2869" i="7"/>
  <c r="C2868" i="7"/>
  <c r="C2867" i="7"/>
  <c r="C2866" i="7"/>
  <c r="C2865" i="7"/>
  <c r="C2864" i="7"/>
  <c r="C2863" i="7"/>
  <c r="C2862" i="7"/>
  <c r="C2861" i="7"/>
  <c r="C2860" i="7"/>
  <c r="C2859" i="7"/>
  <c r="C2858" i="7"/>
  <c r="C2857" i="7"/>
  <c r="C2856" i="7"/>
  <c r="C2855" i="7"/>
  <c r="C2854" i="7"/>
  <c r="C2853" i="7"/>
  <c r="C2852" i="7"/>
  <c r="C2851" i="7"/>
  <c r="C2850" i="7"/>
  <c r="C2849" i="7"/>
  <c r="C2848" i="7"/>
  <c r="C2847" i="7"/>
  <c r="C2846" i="7"/>
  <c r="C2845" i="7"/>
  <c r="C2844" i="7"/>
  <c r="C2843" i="7"/>
  <c r="C2842" i="7"/>
  <c r="C2841" i="7"/>
  <c r="C2840" i="7"/>
  <c r="C2839" i="7"/>
  <c r="C2838" i="7"/>
  <c r="C2837" i="7"/>
  <c r="C2836" i="7"/>
  <c r="C2835" i="7"/>
  <c r="C2834" i="7"/>
  <c r="C2833" i="7"/>
  <c r="C2832" i="7"/>
  <c r="C2831" i="7"/>
  <c r="C2830" i="7"/>
  <c r="C2829" i="7"/>
  <c r="C2828" i="7"/>
  <c r="C2827" i="7"/>
  <c r="C2826" i="7"/>
  <c r="C2825" i="7"/>
  <c r="C2824" i="7"/>
  <c r="C2823" i="7"/>
  <c r="C2822" i="7"/>
  <c r="C2821" i="7"/>
  <c r="C2820" i="7"/>
  <c r="C2819" i="7"/>
  <c r="C2818" i="7"/>
  <c r="C2817" i="7"/>
  <c r="C2816" i="7"/>
  <c r="C2815" i="7"/>
  <c r="C2814" i="7"/>
  <c r="C2813" i="7"/>
  <c r="C2812" i="7"/>
  <c r="C2811" i="7"/>
  <c r="C2810" i="7"/>
  <c r="C2809" i="7"/>
  <c r="C2808" i="7"/>
  <c r="C2807" i="7"/>
  <c r="C2806" i="7"/>
  <c r="C2805" i="7"/>
  <c r="C2804" i="7"/>
  <c r="C2803" i="7"/>
  <c r="C2802" i="7"/>
  <c r="C2801" i="7"/>
  <c r="C2800" i="7"/>
  <c r="C2799" i="7"/>
  <c r="C2798" i="7"/>
  <c r="C2797" i="7"/>
  <c r="C2796" i="7"/>
  <c r="C2795" i="7"/>
  <c r="C2794" i="7"/>
  <c r="C2793" i="7"/>
  <c r="C2792" i="7"/>
  <c r="C2791" i="7"/>
  <c r="C2790" i="7"/>
  <c r="C2789" i="7"/>
  <c r="C2788" i="7"/>
  <c r="C2787" i="7"/>
  <c r="C2786" i="7"/>
  <c r="C2785" i="7"/>
  <c r="C2784" i="7"/>
  <c r="C2783" i="7"/>
  <c r="C2782" i="7"/>
  <c r="C2781" i="7"/>
  <c r="C2780" i="7"/>
  <c r="C2779" i="7"/>
  <c r="C2778" i="7"/>
  <c r="C2777" i="7"/>
  <c r="C2776" i="7"/>
  <c r="C2775" i="7"/>
  <c r="C2774" i="7"/>
  <c r="C2773" i="7"/>
  <c r="C2772" i="7"/>
  <c r="C2771" i="7"/>
  <c r="C2770" i="7"/>
  <c r="C2769" i="7"/>
  <c r="C2768" i="7"/>
  <c r="C2767" i="7"/>
  <c r="C2766" i="7"/>
  <c r="C2765" i="7"/>
  <c r="C2764" i="7"/>
  <c r="C2763" i="7"/>
  <c r="C2762" i="7"/>
  <c r="C2761" i="7"/>
  <c r="C2760" i="7"/>
  <c r="C2759" i="7"/>
  <c r="C2758" i="7"/>
  <c r="C2757" i="7"/>
  <c r="C2756" i="7"/>
  <c r="C2755" i="7"/>
  <c r="C2754" i="7"/>
  <c r="C2753" i="7"/>
  <c r="C2752" i="7"/>
  <c r="C2751" i="7"/>
  <c r="C2750" i="7"/>
  <c r="C2749" i="7"/>
  <c r="C2748" i="7"/>
  <c r="C2747" i="7"/>
  <c r="C2746" i="7"/>
  <c r="C2745" i="7"/>
  <c r="C2744" i="7"/>
  <c r="C2743" i="7"/>
  <c r="C2742" i="7"/>
  <c r="C2741" i="7"/>
  <c r="C2740" i="7"/>
  <c r="C2739" i="7"/>
  <c r="C2738" i="7"/>
  <c r="C2737" i="7"/>
  <c r="C2736" i="7"/>
  <c r="C2735" i="7"/>
  <c r="C2734" i="7"/>
  <c r="C2733" i="7"/>
  <c r="C2732" i="7"/>
  <c r="C2731" i="7"/>
  <c r="C2730" i="7"/>
  <c r="C2729" i="7"/>
  <c r="C2728" i="7"/>
  <c r="C2727" i="7"/>
  <c r="C2726" i="7"/>
  <c r="C2725" i="7"/>
  <c r="C2724" i="7"/>
  <c r="C2723" i="7"/>
  <c r="C2722" i="7"/>
  <c r="C2721" i="7"/>
  <c r="C2720" i="7"/>
  <c r="C2719" i="7"/>
  <c r="C2718" i="7"/>
  <c r="C2717" i="7"/>
  <c r="C2716" i="7"/>
  <c r="C2715" i="7"/>
  <c r="C2714" i="7"/>
  <c r="C2713" i="7"/>
  <c r="C2712" i="7"/>
  <c r="C2711" i="7"/>
  <c r="C2710" i="7"/>
  <c r="C2709" i="7"/>
  <c r="C2708" i="7"/>
  <c r="C2707" i="7"/>
  <c r="C2706" i="7"/>
  <c r="C2705" i="7"/>
  <c r="C2704" i="7"/>
  <c r="C2703" i="7"/>
  <c r="C2702" i="7"/>
  <c r="C2701" i="7"/>
  <c r="C2700" i="7"/>
  <c r="C2699" i="7"/>
  <c r="C2698" i="7"/>
  <c r="C2697" i="7"/>
  <c r="C2696" i="7"/>
  <c r="C2695" i="7"/>
  <c r="C2694" i="7"/>
  <c r="C2693" i="7"/>
  <c r="C2692" i="7"/>
  <c r="C2691" i="7"/>
  <c r="C2690" i="7"/>
  <c r="C2689" i="7"/>
  <c r="C2688" i="7"/>
  <c r="C2687" i="7"/>
  <c r="C2686" i="7"/>
  <c r="C2685" i="7"/>
  <c r="C2684" i="7"/>
  <c r="C2683" i="7"/>
  <c r="C2682" i="7"/>
  <c r="C2681" i="7"/>
  <c r="C2680" i="7"/>
  <c r="C2679" i="7"/>
  <c r="C2678" i="7"/>
  <c r="C2677" i="7"/>
  <c r="C2676" i="7"/>
  <c r="C2675" i="7"/>
  <c r="C2674" i="7"/>
  <c r="C2673" i="7"/>
  <c r="C2672" i="7"/>
  <c r="C2671" i="7"/>
  <c r="C2670" i="7"/>
  <c r="C2669" i="7"/>
  <c r="C2668" i="7"/>
  <c r="C2667" i="7"/>
  <c r="C2666" i="7"/>
  <c r="C2665" i="7"/>
  <c r="C2664" i="7"/>
  <c r="C2663" i="7"/>
  <c r="C2662" i="7"/>
  <c r="C2661" i="7"/>
  <c r="C2660" i="7"/>
  <c r="C2659" i="7"/>
  <c r="C2658" i="7"/>
  <c r="C2657" i="7"/>
  <c r="C2656" i="7"/>
  <c r="C2655" i="7"/>
  <c r="C2654" i="7"/>
  <c r="C2653" i="7"/>
  <c r="C2652" i="7"/>
  <c r="C2651" i="7"/>
  <c r="C2650" i="7"/>
  <c r="C2649" i="7"/>
  <c r="C2648" i="7"/>
  <c r="C2647" i="7"/>
  <c r="C2646" i="7"/>
  <c r="C2645" i="7"/>
  <c r="C2644" i="7"/>
  <c r="C2643" i="7"/>
  <c r="C2642" i="7"/>
  <c r="C2641" i="7"/>
  <c r="C2640" i="7"/>
  <c r="C2639" i="7"/>
  <c r="C2638" i="7"/>
  <c r="C2637" i="7"/>
  <c r="C2636" i="7"/>
  <c r="C2635" i="7"/>
  <c r="C2634" i="7"/>
  <c r="C2633" i="7"/>
  <c r="C2632" i="7"/>
  <c r="C2631" i="7"/>
  <c r="C2630" i="7"/>
  <c r="C2629" i="7"/>
  <c r="C2628" i="7"/>
  <c r="C2627" i="7"/>
  <c r="C2626" i="7"/>
  <c r="C2625" i="7"/>
  <c r="C2624" i="7"/>
  <c r="C2623" i="7"/>
  <c r="C2622" i="7"/>
  <c r="C2621" i="7"/>
  <c r="C2620" i="7"/>
  <c r="C2619" i="7"/>
  <c r="C2618" i="7"/>
  <c r="C2617" i="7"/>
  <c r="C2616" i="7"/>
  <c r="C2615" i="7"/>
  <c r="C2614" i="7"/>
  <c r="C2613" i="7"/>
  <c r="C2612" i="7"/>
  <c r="C2611" i="7"/>
  <c r="C2610" i="7"/>
  <c r="C2609" i="7"/>
  <c r="C2608" i="7"/>
  <c r="C2607" i="7"/>
  <c r="C2606" i="7"/>
  <c r="C2605" i="7"/>
  <c r="C2604" i="7"/>
  <c r="C2603" i="7"/>
  <c r="C2602" i="7"/>
  <c r="C2601" i="7"/>
  <c r="C2600" i="7"/>
  <c r="C2599" i="7"/>
  <c r="C2598" i="7"/>
  <c r="C2597" i="7"/>
  <c r="C2596" i="7"/>
  <c r="C2595" i="7"/>
  <c r="C2594" i="7"/>
  <c r="C2593" i="7"/>
  <c r="C2592" i="7"/>
  <c r="C2591" i="7"/>
  <c r="C2590" i="7"/>
  <c r="C2589" i="7"/>
  <c r="C2588" i="7"/>
  <c r="C2587" i="7"/>
  <c r="C2586" i="7"/>
  <c r="C2585" i="7"/>
  <c r="C2584" i="7"/>
  <c r="C2583" i="7"/>
  <c r="C2582" i="7"/>
  <c r="C2581" i="7"/>
  <c r="C2580" i="7"/>
  <c r="C2579" i="7"/>
  <c r="C2578" i="7"/>
  <c r="C2577" i="7"/>
  <c r="C2576" i="7"/>
  <c r="C2575" i="7"/>
  <c r="C2574" i="7"/>
  <c r="C2573" i="7"/>
  <c r="C2572" i="7"/>
  <c r="C2571" i="7"/>
  <c r="C2570" i="7"/>
  <c r="C2569" i="7"/>
  <c r="C2568" i="7"/>
  <c r="C2567" i="7"/>
  <c r="C2566" i="7"/>
  <c r="C2565" i="7"/>
  <c r="C2564" i="7"/>
  <c r="C2563" i="7"/>
  <c r="C2562" i="7"/>
  <c r="C2561" i="7"/>
  <c r="C2560" i="7"/>
  <c r="C2559" i="7"/>
  <c r="C2558" i="7"/>
  <c r="C2557" i="7"/>
  <c r="C2556" i="7"/>
  <c r="C2555" i="7"/>
  <c r="C2554" i="7"/>
  <c r="C2553" i="7"/>
  <c r="C2552" i="7"/>
  <c r="C2551" i="7"/>
  <c r="C2550" i="7"/>
  <c r="C2549" i="7"/>
  <c r="C2548" i="7"/>
  <c r="C2547" i="7"/>
  <c r="C2546" i="7"/>
  <c r="C2545" i="7"/>
  <c r="C2544" i="7"/>
  <c r="C2543" i="7"/>
  <c r="C2542" i="7"/>
  <c r="C2541" i="7"/>
  <c r="C2540" i="7"/>
  <c r="C2539" i="7"/>
  <c r="C2538" i="7"/>
  <c r="C2537" i="7"/>
  <c r="C2536" i="7"/>
  <c r="C2535" i="7"/>
  <c r="C2534" i="7"/>
  <c r="C2533" i="7"/>
  <c r="C2532" i="7"/>
  <c r="C2531" i="7"/>
  <c r="C2530" i="7"/>
  <c r="C2529" i="7"/>
  <c r="C2528" i="7"/>
  <c r="C2527" i="7"/>
  <c r="C2526" i="7"/>
  <c r="C2525" i="7"/>
  <c r="C2524" i="7"/>
  <c r="C2523" i="7"/>
  <c r="C2522" i="7"/>
  <c r="C2521" i="7"/>
  <c r="C2520" i="7"/>
  <c r="C2519" i="7"/>
  <c r="C2518" i="7"/>
  <c r="C2517" i="7"/>
  <c r="C2516" i="7"/>
  <c r="C2515" i="7"/>
  <c r="C2514" i="7"/>
  <c r="C2513" i="7"/>
  <c r="C2512" i="7"/>
  <c r="C2511" i="7"/>
  <c r="C2510" i="7"/>
  <c r="C2509" i="7"/>
  <c r="C2508" i="7"/>
  <c r="C2507" i="7"/>
  <c r="C2506" i="7"/>
  <c r="C2505" i="7"/>
  <c r="C2504" i="7"/>
  <c r="C2503" i="7"/>
  <c r="C2502" i="7"/>
  <c r="C2501" i="7"/>
  <c r="C2500" i="7"/>
  <c r="C2499" i="7"/>
  <c r="C2498" i="7"/>
  <c r="C2497" i="7"/>
  <c r="C2496" i="7"/>
  <c r="C2495" i="7"/>
  <c r="C2494" i="7"/>
  <c r="C2493" i="7"/>
  <c r="C2492" i="7"/>
  <c r="C2491" i="7"/>
  <c r="C2490" i="7"/>
  <c r="C2489" i="7"/>
  <c r="C2488" i="7"/>
  <c r="C2487" i="7"/>
  <c r="C2486" i="7"/>
  <c r="C2485" i="7"/>
  <c r="C2484" i="7"/>
  <c r="C2483" i="7"/>
  <c r="C2482" i="7"/>
  <c r="C2481" i="7"/>
  <c r="C2480" i="7"/>
  <c r="C2479" i="7"/>
  <c r="C2478" i="7"/>
  <c r="C2477" i="7"/>
  <c r="C2476" i="7"/>
  <c r="C2475" i="7"/>
  <c r="C2474" i="7"/>
  <c r="C2473" i="7"/>
  <c r="C2472" i="7"/>
  <c r="C2471" i="7"/>
  <c r="C2470" i="7"/>
  <c r="C2469" i="7"/>
  <c r="C2468" i="7"/>
  <c r="C2467" i="7"/>
  <c r="C2466" i="7"/>
  <c r="C2465" i="7"/>
  <c r="C2464" i="7"/>
  <c r="C2463" i="7"/>
  <c r="C2462" i="7"/>
  <c r="C2461" i="7"/>
  <c r="C2460" i="7"/>
  <c r="C2459" i="7"/>
  <c r="C2458" i="7"/>
  <c r="C2457" i="7"/>
  <c r="C2456" i="7"/>
  <c r="C2455" i="7"/>
  <c r="C2454" i="7"/>
  <c r="C2453" i="7"/>
  <c r="C2452" i="7"/>
  <c r="C2451" i="7"/>
  <c r="C2450" i="7"/>
  <c r="C2449" i="7"/>
  <c r="C2448" i="7"/>
  <c r="C2447" i="7"/>
  <c r="C2446" i="7"/>
  <c r="C2445" i="7"/>
  <c r="C2444" i="7"/>
  <c r="C2443" i="7"/>
  <c r="C2442" i="7"/>
  <c r="C2441" i="7"/>
  <c r="C2440" i="7"/>
  <c r="C2439" i="7"/>
  <c r="C2438" i="7"/>
  <c r="C2437" i="7"/>
  <c r="C2436" i="7"/>
  <c r="C2435" i="7"/>
  <c r="C2434" i="7"/>
  <c r="C2433" i="7"/>
  <c r="C2432" i="7"/>
  <c r="C2431" i="7"/>
  <c r="C2430" i="7"/>
  <c r="C2429" i="7"/>
  <c r="C2428" i="7"/>
  <c r="C2427" i="7"/>
  <c r="C2426" i="7"/>
  <c r="C2425" i="7"/>
  <c r="C2424" i="7"/>
  <c r="C2423" i="7"/>
  <c r="C2422" i="7"/>
  <c r="C2421" i="7"/>
  <c r="C2420" i="7"/>
  <c r="C2419" i="7"/>
  <c r="C2418" i="7"/>
  <c r="C2417" i="7"/>
  <c r="C2416" i="7"/>
  <c r="C2415" i="7"/>
  <c r="C2414" i="7"/>
  <c r="C2413" i="7"/>
  <c r="C2412" i="7"/>
  <c r="C2411" i="7"/>
  <c r="C2410" i="7"/>
  <c r="C2409" i="7"/>
  <c r="C2408" i="7"/>
  <c r="C2407" i="7"/>
  <c r="C2406" i="7"/>
  <c r="C2405" i="7"/>
  <c r="C2404" i="7"/>
  <c r="C2403" i="7"/>
  <c r="C2402" i="7"/>
  <c r="C2401" i="7"/>
  <c r="C2400" i="7"/>
  <c r="C2399" i="7"/>
  <c r="C2398" i="7"/>
  <c r="C2397" i="7"/>
  <c r="C2396" i="7"/>
  <c r="C2395" i="7"/>
  <c r="C2394" i="7"/>
  <c r="C2393" i="7"/>
  <c r="C2392" i="7"/>
  <c r="C2391" i="7"/>
  <c r="C2390" i="7"/>
  <c r="C2389" i="7"/>
  <c r="C2388" i="7"/>
  <c r="C2387" i="7"/>
  <c r="C2386" i="7"/>
  <c r="C2385" i="7"/>
  <c r="C2384" i="7"/>
  <c r="C2383" i="7"/>
  <c r="C2382" i="7"/>
  <c r="C2381" i="7"/>
  <c r="C2380" i="7"/>
  <c r="C2379" i="7"/>
  <c r="C2378" i="7"/>
  <c r="C2377" i="7"/>
  <c r="C2376" i="7"/>
  <c r="C2375" i="7"/>
  <c r="C2374" i="7"/>
  <c r="C2373" i="7"/>
  <c r="C2372" i="7"/>
  <c r="C2371" i="7"/>
  <c r="C2370" i="7"/>
  <c r="C2369" i="7"/>
  <c r="C2368" i="7"/>
  <c r="C2367" i="7"/>
  <c r="C2366" i="7"/>
  <c r="C2365" i="7"/>
  <c r="C2364" i="7"/>
  <c r="C2363" i="7"/>
  <c r="C2362" i="7"/>
  <c r="C2361" i="7"/>
  <c r="C2360" i="7"/>
  <c r="C2359" i="7"/>
  <c r="C2358" i="7"/>
  <c r="C2357" i="7"/>
  <c r="C2356" i="7"/>
  <c r="C2355" i="7"/>
  <c r="C2354" i="7"/>
  <c r="C2353" i="7"/>
  <c r="C2352" i="7"/>
  <c r="C2351" i="7"/>
  <c r="C2350" i="7"/>
  <c r="C2349" i="7"/>
  <c r="C2348" i="7"/>
  <c r="C2347" i="7"/>
  <c r="C2346" i="7"/>
  <c r="C2345" i="7"/>
  <c r="C2344" i="7"/>
  <c r="C2343" i="7"/>
  <c r="C2342" i="7"/>
  <c r="C2341" i="7"/>
  <c r="C2340" i="7"/>
  <c r="C2339" i="7"/>
  <c r="C2338" i="7"/>
  <c r="C2337" i="7"/>
  <c r="C2336" i="7"/>
  <c r="C2335" i="7"/>
  <c r="C2334" i="7"/>
  <c r="C2333" i="7"/>
  <c r="C2332" i="7"/>
  <c r="C2331" i="7"/>
  <c r="C2330" i="7"/>
  <c r="C2329" i="7"/>
  <c r="C2328" i="7"/>
  <c r="C2327" i="7"/>
  <c r="C2326" i="7"/>
  <c r="C2325" i="7"/>
  <c r="C2324" i="7"/>
  <c r="C2323" i="7"/>
  <c r="C2322" i="7"/>
  <c r="C2321" i="7"/>
  <c r="C2320" i="7"/>
  <c r="C2319" i="7"/>
  <c r="C2318" i="7"/>
  <c r="C2317" i="7"/>
  <c r="C2316" i="7"/>
  <c r="C2315" i="7"/>
  <c r="C2314" i="7"/>
  <c r="C2313" i="7"/>
  <c r="C2312" i="7"/>
  <c r="C2311" i="7"/>
  <c r="C2310" i="7"/>
  <c r="C2309" i="7"/>
  <c r="C2308" i="7"/>
  <c r="C2307" i="7"/>
  <c r="C2306" i="7"/>
  <c r="C2305" i="7"/>
  <c r="C2304" i="7"/>
  <c r="C2303" i="7"/>
  <c r="C2302" i="7"/>
  <c r="C2301" i="7"/>
  <c r="C2300" i="7"/>
  <c r="C2299" i="7"/>
  <c r="C2298" i="7"/>
  <c r="C2297" i="7"/>
  <c r="C2296" i="7"/>
  <c r="C2295" i="7"/>
  <c r="C2294" i="7"/>
  <c r="C2293" i="7"/>
  <c r="C2292" i="7"/>
  <c r="C2291" i="7"/>
  <c r="C2290" i="7"/>
  <c r="C2289" i="7"/>
  <c r="C2288" i="7"/>
  <c r="C2287" i="7"/>
  <c r="C2286" i="7"/>
  <c r="C2285" i="7"/>
  <c r="C2284" i="7"/>
  <c r="C2283" i="7"/>
  <c r="C2282" i="7"/>
  <c r="C2281" i="7"/>
  <c r="C2280" i="7"/>
  <c r="C2279" i="7"/>
  <c r="C2278" i="7"/>
  <c r="C2277" i="7"/>
  <c r="C2276" i="7"/>
  <c r="C2275" i="7"/>
  <c r="C2274" i="7"/>
  <c r="C2273" i="7"/>
  <c r="C2272" i="7"/>
  <c r="C2271" i="7"/>
  <c r="C2270" i="7"/>
  <c r="C2269" i="7"/>
  <c r="C2268" i="7"/>
  <c r="C2267" i="7"/>
  <c r="C2266" i="7"/>
  <c r="C2265" i="7"/>
  <c r="C2264" i="7"/>
  <c r="C2263" i="7"/>
  <c r="C2262" i="7"/>
  <c r="C2261" i="7"/>
  <c r="C2260" i="7"/>
  <c r="C2259" i="7"/>
  <c r="C2258" i="7"/>
  <c r="C2257" i="7"/>
  <c r="C2256" i="7"/>
  <c r="C2255" i="7"/>
  <c r="C2254" i="7"/>
  <c r="C2253" i="7"/>
  <c r="C2252" i="7"/>
  <c r="C2251" i="7"/>
  <c r="C2250" i="7"/>
  <c r="C2249" i="7"/>
  <c r="C2248" i="7"/>
  <c r="C2247" i="7"/>
  <c r="C2246" i="7"/>
  <c r="C2245" i="7"/>
  <c r="C2244" i="7"/>
  <c r="C2243" i="7"/>
  <c r="C2242" i="7"/>
  <c r="C2241" i="7"/>
  <c r="C2240" i="7"/>
  <c r="C2239" i="7"/>
  <c r="C2238" i="7"/>
  <c r="C2237" i="7"/>
  <c r="C2236" i="7"/>
  <c r="C2235" i="7"/>
  <c r="C2234" i="7"/>
  <c r="C2233" i="7"/>
  <c r="C2232" i="7"/>
  <c r="C2231" i="7"/>
  <c r="C2230" i="7"/>
  <c r="C2229" i="7"/>
  <c r="C2228" i="7"/>
  <c r="C2227" i="7"/>
  <c r="C2226" i="7"/>
  <c r="C2225" i="7"/>
  <c r="C2224" i="7"/>
  <c r="C2223" i="7"/>
  <c r="C2222" i="7"/>
  <c r="C2221" i="7"/>
  <c r="C2220" i="7"/>
  <c r="C2219" i="7"/>
  <c r="C2218" i="7"/>
  <c r="C2217" i="7"/>
  <c r="C2216" i="7"/>
  <c r="C2215" i="7"/>
  <c r="C2214" i="7"/>
  <c r="C2213" i="7"/>
  <c r="C2212" i="7"/>
  <c r="C2211" i="7"/>
  <c r="C2210" i="7"/>
  <c r="C2209" i="7"/>
  <c r="C2208" i="7"/>
  <c r="C2207" i="7"/>
  <c r="C2206" i="7"/>
  <c r="C2205" i="7"/>
  <c r="C2204" i="7"/>
  <c r="C2203" i="7"/>
  <c r="C2202" i="7"/>
  <c r="C2201" i="7"/>
  <c r="C2200" i="7"/>
  <c r="C2199" i="7"/>
  <c r="C2198" i="7"/>
  <c r="C2197" i="7"/>
  <c r="C2196" i="7"/>
  <c r="C2195" i="7"/>
  <c r="C2194" i="7"/>
  <c r="C2193" i="7"/>
  <c r="C2192" i="7"/>
  <c r="C2191" i="7"/>
  <c r="C2190" i="7"/>
  <c r="C2189" i="7"/>
  <c r="C2188" i="7"/>
  <c r="C2187" i="7"/>
  <c r="C2186" i="7"/>
  <c r="C2185" i="7"/>
  <c r="C2184" i="7"/>
  <c r="C2183" i="7"/>
  <c r="C2182" i="7"/>
  <c r="C2181" i="7"/>
  <c r="C2180" i="7"/>
  <c r="C2179" i="7"/>
  <c r="C2178" i="7"/>
  <c r="C2177" i="7"/>
  <c r="C2176" i="7"/>
  <c r="C2175" i="7"/>
  <c r="C2174" i="7"/>
  <c r="C2173" i="7"/>
  <c r="C2172" i="7"/>
  <c r="C2171" i="7"/>
  <c r="C2170" i="7"/>
  <c r="C2169" i="7"/>
  <c r="C2168" i="7"/>
  <c r="C2167" i="7"/>
  <c r="C2166" i="7"/>
  <c r="C2165" i="7"/>
  <c r="C2164" i="7"/>
  <c r="C2163" i="7"/>
  <c r="C2162" i="7"/>
  <c r="C2161" i="7"/>
  <c r="C2160" i="7"/>
  <c r="C2159" i="7"/>
  <c r="C2158" i="7"/>
  <c r="C2157" i="7"/>
  <c r="C2156" i="7"/>
  <c r="C2155" i="7"/>
  <c r="C2154" i="7"/>
  <c r="C2153" i="7"/>
  <c r="C2152" i="7"/>
  <c r="C2151" i="7"/>
  <c r="C2150" i="7"/>
  <c r="C2149" i="7"/>
  <c r="C2148" i="7"/>
  <c r="C2147" i="7"/>
  <c r="C2146" i="7"/>
  <c r="C2145" i="7"/>
  <c r="C2144" i="7"/>
  <c r="C2143" i="7"/>
  <c r="C2142" i="7"/>
  <c r="C2141" i="7"/>
  <c r="C2140" i="7"/>
  <c r="C2139" i="7"/>
  <c r="C2138" i="7"/>
  <c r="C2137" i="7"/>
  <c r="C2136" i="7"/>
  <c r="C2135" i="7"/>
  <c r="C2134" i="7"/>
  <c r="C2133" i="7"/>
  <c r="C2132" i="7"/>
  <c r="C2131" i="7"/>
  <c r="C2130" i="7"/>
  <c r="C2129" i="7"/>
  <c r="C2128" i="7"/>
  <c r="C2127" i="7"/>
  <c r="C2126" i="7"/>
  <c r="C2125" i="7"/>
  <c r="C2124" i="7"/>
  <c r="C2123" i="7"/>
  <c r="C2122" i="7"/>
  <c r="C2121" i="7"/>
  <c r="C2120" i="7"/>
  <c r="C2119" i="7"/>
  <c r="C2118" i="7"/>
  <c r="C2117" i="7"/>
  <c r="C2116" i="7"/>
  <c r="C2115" i="7"/>
  <c r="C2114" i="7"/>
  <c r="C2113" i="7"/>
  <c r="C2112" i="7"/>
  <c r="C2111" i="7"/>
  <c r="C2110" i="7"/>
  <c r="C2109" i="7"/>
  <c r="C2108" i="7"/>
  <c r="C2107" i="7"/>
  <c r="C2106" i="7"/>
  <c r="C2105" i="7"/>
  <c r="C2104" i="7"/>
  <c r="C2103" i="7"/>
  <c r="C2102" i="7"/>
  <c r="C2101" i="7"/>
  <c r="C2100" i="7"/>
  <c r="C2099" i="7"/>
  <c r="C2098" i="7"/>
  <c r="C2097" i="7"/>
  <c r="C2096" i="7"/>
  <c r="C2095" i="7"/>
  <c r="C2094" i="7"/>
  <c r="C2093" i="7"/>
  <c r="C2092" i="7"/>
  <c r="C2091" i="7"/>
  <c r="C2090" i="7"/>
  <c r="C2089" i="7"/>
  <c r="C2088" i="7"/>
  <c r="C2087" i="7"/>
  <c r="C2086" i="7"/>
  <c r="C2085" i="7"/>
  <c r="C2084" i="7"/>
  <c r="C2083" i="7"/>
  <c r="C2082" i="7"/>
  <c r="C2081" i="7"/>
  <c r="C2080" i="7"/>
  <c r="C2079" i="7"/>
  <c r="C2078" i="7"/>
  <c r="C2077" i="7"/>
  <c r="C2076" i="7"/>
  <c r="C2075" i="7"/>
  <c r="C2074" i="7"/>
  <c r="C2073" i="7"/>
  <c r="C2072" i="7"/>
  <c r="C2071" i="7"/>
  <c r="C2070" i="7"/>
  <c r="C2069" i="7"/>
  <c r="C2068" i="7"/>
  <c r="C2067" i="7"/>
  <c r="C2066" i="7"/>
  <c r="C2065" i="7"/>
  <c r="C2064" i="7"/>
  <c r="C2063" i="7"/>
  <c r="C2062" i="7"/>
  <c r="C2061" i="7"/>
  <c r="C2060" i="7"/>
  <c r="C2059" i="7"/>
  <c r="C2058" i="7"/>
  <c r="C2057" i="7"/>
  <c r="C2056" i="7"/>
  <c r="C2055" i="7"/>
  <c r="C2054" i="7"/>
  <c r="C2053" i="7"/>
  <c r="C2052" i="7"/>
  <c r="C2051" i="7"/>
  <c r="C2050" i="7"/>
  <c r="C2049" i="7"/>
  <c r="C2048" i="7"/>
  <c r="C2047" i="7"/>
  <c r="C2046" i="7"/>
  <c r="C2045" i="7"/>
  <c r="C2044" i="7"/>
  <c r="C2043" i="7"/>
  <c r="C2042" i="7"/>
  <c r="C2041" i="7"/>
  <c r="C2040" i="7"/>
  <c r="C2039" i="7"/>
  <c r="C2038" i="7"/>
  <c r="C2037" i="7"/>
  <c r="C2036" i="7"/>
  <c r="C2035" i="7"/>
  <c r="C2034" i="7"/>
  <c r="C2033" i="7"/>
  <c r="C2032" i="7"/>
  <c r="C2031" i="7"/>
  <c r="C2030" i="7"/>
  <c r="C2029" i="7"/>
  <c r="C2028" i="7"/>
  <c r="C2027" i="7"/>
  <c r="C2026" i="7"/>
  <c r="C2025" i="7"/>
  <c r="C2024" i="7"/>
  <c r="C2023" i="7"/>
  <c r="C2022" i="7"/>
  <c r="C2021" i="7"/>
  <c r="C2020" i="7"/>
  <c r="C2019" i="7"/>
  <c r="C2018" i="7"/>
  <c r="C2017" i="7"/>
  <c r="C2016" i="7"/>
  <c r="C2015" i="7"/>
  <c r="C2014" i="7"/>
  <c r="C2013" i="7"/>
  <c r="C2012" i="7"/>
  <c r="C2011" i="7"/>
  <c r="C2010" i="7"/>
  <c r="C2009" i="7"/>
  <c r="C2008" i="7"/>
  <c r="C2007" i="7"/>
  <c r="C2006" i="7"/>
  <c r="C2005" i="7"/>
  <c r="C2004" i="7"/>
  <c r="C2003" i="7"/>
  <c r="C2002" i="7"/>
  <c r="C2001" i="7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E383" i="7" s="1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1396" i="7"/>
  <c r="E1396" i="7" s="1"/>
  <c r="D1182" i="7"/>
  <c r="E1182" i="7" s="1"/>
  <c r="D1108" i="7"/>
  <c r="E1108" i="7" s="1"/>
  <c r="E858" i="7"/>
  <c r="D858" i="7"/>
  <c r="D728" i="7"/>
  <c r="D633" i="7"/>
  <c r="E633" i="7" s="1"/>
  <c r="D611" i="7"/>
  <c r="D565" i="7"/>
  <c r="E565" i="7" s="1"/>
  <c r="D481" i="7"/>
  <c r="E481" i="7" s="1"/>
  <c r="D416" i="7"/>
  <c r="D383" i="7"/>
  <c r="D356" i="7"/>
  <c r="D71" i="7"/>
  <c r="E71" i="7" s="1"/>
  <c r="D36" i="7"/>
  <c r="E2" i="7"/>
  <c r="F8" i="6"/>
  <c r="B301" i="4"/>
  <c r="C301" i="4" s="1"/>
  <c r="B300" i="4"/>
  <c r="C300" i="4" s="1"/>
  <c r="C299" i="4"/>
  <c r="B299" i="4"/>
  <c r="C298" i="4"/>
  <c r="B298" i="4"/>
  <c r="B297" i="4"/>
  <c r="C297" i="4" s="1"/>
  <c r="B296" i="4"/>
  <c r="C296" i="4" s="1"/>
  <c r="B295" i="4"/>
  <c r="C295" i="4" s="1"/>
  <c r="B294" i="4"/>
  <c r="C294" i="4" s="1"/>
  <c r="C293" i="4"/>
  <c r="B293" i="4"/>
  <c r="B292" i="4"/>
  <c r="C292" i="4" s="1"/>
  <c r="B291" i="4"/>
  <c r="C291" i="4" s="1"/>
  <c r="B290" i="4"/>
  <c r="C290" i="4" s="1"/>
  <c r="B289" i="4"/>
  <c r="C289" i="4" s="1"/>
  <c r="B288" i="4"/>
  <c r="C288" i="4" s="1"/>
  <c r="B287" i="4"/>
  <c r="C287" i="4" s="1"/>
  <c r="B286" i="4"/>
  <c r="C286" i="4" s="1"/>
  <c r="B285" i="4"/>
  <c r="C285" i="4" s="1"/>
  <c r="B284" i="4"/>
  <c r="C284" i="4" s="1"/>
  <c r="C283" i="4"/>
  <c r="B283" i="4"/>
  <c r="C282" i="4"/>
  <c r="B282" i="4"/>
  <c r="C281" i="4"/>
  <c r="B281" i="4"/>
  <c r="B280" i="4"/>
  <c r="C280" i="4" s="1"/>
  <c r="B279" i="4"/>
  <c r="C279" i="4" s="1"/>
  <c r="B278" i="4"/>
  <c r="C278" i="4" s="1"/>
  <c r="B277" i="4"/>
  <c r="C277" i="4" s="1"/>
  <c r="C276" i="4"/>
  <c r="B276" i="4"/>
  <c r="B275" i="4"/>
  <c r="C275" i="4" s="1"/>
  <c r="B274" i="4"/>
  <c r="C274" i="4" s="1"/>
  <c r="B273" i="4"/>
  <c r="C273" i="4" s="1"/>
  <c r="B272" i="4"/>
  <c r="C272" i="4" s="1"/>
  <c r="B271" i="4"/>
  <c r="C271" i="4" s="1"/>
  <c r="C270" i="4"/>
  <c r="B270" i="4"/>
  <c r="B269" i="4"/>
  <c r="C269" i="4" s="1"/>
  <c r="B268" i="4"/>
  <c r="C268" i="4" s="1"/>
  <c r="B267" i="4"/>
  <c r="C267" i="4" s="1"/>
  <c r="C266" i="4"/>
  <c r="B266" i="4"/>
  <c r="C265" i="4"/>
  <c r="B265" i="4"/>
  <c r="B264" i="4"/>
  <c r="C264" i="4" s="1"/>
  <c r="B263" i="4"/>
  <c r="C263" i="4" s="1"/>
  <c r="C262" i="4"/>
  <c r="B262" i="4"/>
  <c r="B261" i="4"/>
  <c r="C261" i="4" s="1"/>
  <c r="B260" i="4"/>
  <c r="C260" i="4" s="1"/>
  <c r="C259" i="4"/>
  <c r="B259" i="4"/>
  <c r="B258" i="4"/>
  <c r="C258" i="4" s="1"/>
  <c r="B257" i="4"/>
  <c r="C257" i="4" s="1"/>
  <c r="B256" i="4"/>
  <c r="C256" i="4" s="1"/>
  <c r="B255" i="4"/>
  <c r="C255" i="4" s="1"/>
  <c r="C254" i="4"/>
  <c r="B254" i="4"/>
  <c r="B253" i="4"/>
  <c r="C253" i="4" s="1"/>
  <c r="B252" i="4"/>
  <c r="C252" i="4" s="1"/>
  <c r="C251" i="4"/>
  <c r="B251" i="4"/>
  <c r="B250" i="4"/>
  <c r="C250" i="4" s="1"/>
  <c r="C249" i="4"/>
  <c r="B249" i="4"/>
  <c r="B248" i="4"/>
  <c r="C248" i="4" s="1"/>
  <c r="B247" i="4"/>
  <c r="C247" i="4" s="1"/>
  <c r="B246" i="4"/>
  <c r="C246" i="4" s="1"/>
  <c r="B245" i="4"/>
  <c r="C245" i="4" s="1"/>
  <c r="B244" i="4"/>
  <c r="C244" i="4" s="1"/>
  <c r="B243" i="4"/>
  <c r="C243" i="4" s="1"/>
  <c r="C242" i="4"/>
  <c r="B242" i="4"/>
  <c r="B241" i="4"/>
  <c r="C241" i="4" s="1"/>
  <c r="B240" i="4"/>
  <c r="C240" i="4" s="1"/>
  <c r="B239" i="4"/>
  <c r="C239" i="4" s="1"/>
  <c r="B238" i="4"/>
  <c r="C238" i="4" s="1"/>
  <c r="B237" i="4"/>
  <c r="C237" i="4" s="1"/>
  <c r="B236" i="4"/>
  <c r="C236" i="4" s="1"/>
  <c r="B235" i="4"/>
  <c r="C235" i="4" s="1"/>
  <c r="B234" i="4"/>
  <c r="C234" i="4" s="1"/>
  <c r="C233" i="4"/>
  <c r="B233" i="4"/>
  <c r="C232" i="4"/>
  <c r="B232" i="4"/>
  <c r="B231" i="4"/>
  <c r="C231" i="4" s="1"/>
  <c r="B230" i="4"/>
  <c r="C230" i="4" s="1"/>
  <c r="B229" i="4"/>
  <c r="C229" i="4" s="1"/>
  <c r="B228" i="4"/>
  <c r="C228" i="4" s="1"/>
  <c r="B227" i="4"/>
  <c r="C227" i="4" s="1"/>
  <c r="B226" i="4"/>
  <c r="C226" i="4" s="1"/>
  <c r="B225" i="4"/>
  <c r="C225" i="4" s="1"/>
  <c r="B224" i="4"/>
  <c r="C224" i="4" s="1"/>
  <c r="B223" i="4"/>
  <c r="C223" i="4" s="1"/>
  <c r="B222" i="4"/>
  <c r="C222" i="4" s="1"/>
  <c r="B221" i="4"/>
  <c r="C221" i="4" s="1"/>
  <c r="B220" i="4"/>
  <c r="C220" i="4" s="1"/>
  <c r="C219" i="4"/>
  <c r="B219" i="4"/>
  <c r="B218" i="4"/>
  <c r="C218" i="4" s="1"/>
  <c r="B217" i="4"/>
  <c r="C217" i="4" s="1"/>
  <c r="B216" i="4"/>
  <c r="C216" i="4" s="1"/>
  <c r="C215" i="4"/>
  <c r="B215" i="4"/>
  <c r="B214" i="4"/>
  <c r="C214" i="4" s="1"/>
  <c r="B213" i="4"/>
  <c r="C213" i="4" s="1"/>
  <c r="B212" i="4"/>
  <c r="C212" i="4" s="1"/>
  <c r="B211" i="4"/>
  <c r="C211" i="4" s="1"/>
  <c r="B210" i="4"/>
  <c r="C210" i="4" s="1"/>
  <c r="B209" i="4"/>
  <c r="C209" i="4" s="1"/>
  <c r="B208" i="4"/>
  <c r="C208" i="4" s="1"/>
  <c r="B207" i="4"/>
  <c r="C207" i="4" s="1"/>
  <c r="B206" i="4"/>
  <c r="C206" i="4" s="1"/>
  <c r="B205" i="4"/>
  <c r="C205" i="4" s="1"/>
  <c r="B204" i="4"/>
  <c r="C204" i="4" s="1"/>
  <c r="B203" i="4"/>
  <c r="C203" i="4" s="1"/>
  <c r="B202" i="4"/>
  <c r="C202" i="4" s="1"/>
  <c r="B201" i="4"/>
  <c r="C201" i="4" s="1"/>
  <c r="B200" i="4"/>
  <c r="C200" i="4" s="1"/>
  <c r="B199" i="4"/>
  <c r="C199" i="4" s="1"/>
  <c r="C198" i="4"/>
  <c r="B198" i="4"/>
  <c r="B197" i="4"/>
  <c r="C197" i="4" s="1"/>
  <c r="B196" i="4"/>
  <c r="C196" i="4" s="1"/>
  <c r="B195" i="4"/>
  <c r="C195" i="4" s="1"/>
  <c r="B194" i="4"/>
  <c r="C194" i="4" s="1"/>
  <c r="B193" i="4"/>
  <c r="C193" i="4" s="1"/>
  <c r="C192" i="4"/>
  <c r="B192" i="4"/>
  <c r="B191" i="4"/>
  <c r="C191" i="4" s="1"/>
  <c r="B190" i="4"/>
  <c r="C190" i="4" s="1"/>
  <c r="B189" i="4"/>
  <c r="C189" i="4" s="1"/>
  <c r="B188" i="4"/>
  <c r="C188" i="4" s="1"/>
  <c r="B187" i="4"/>
  <c r="C187" i="4" s="1"/>
  <c r="C186" i="4"/>
  <c r="B186" i="4"/>
  <c r="B185" i="4"/>
  <c r="C185" i="4" s="1"/>
  <c r="C184" i="4"/>
  <c r="B184" i="4"/>
  <c r="C183" i="4"/>
  <c r="B183" i="4"/>
  <c r="C182" i="4"/>
  <c r="B182" i="4"/>
  <c r="C181" i="4"/>
  <c r="B181" i="4"/>
  <c r="B180" i="4"/>
  <c r="C180" i="4" s="1"/>
  <c r="B179" i="4"/>
  <c r="C179" i="4" s="1"/>
  <c r="B178" i="4"/>
  <c r="C178" i="4" s="1"/>
  <c r="C177" i="4"/>
  <c r="B177" i="4"/>
  <c r="B176" i="4"/>
  <c r="C176" i="4" s="1"/>
  <c r="B175" i="4"/>
  <c r="C175" i="4" s="1"/>
  <c r="C174" i="4"/>
  <c r="B174" i="4"/>
  <c r="B173" i="4"/>
  <c r="C173" i="4" s="1"/>
  <c r="B172" i="4"/>
  <c r="C172" i="4" s="1"/>
  <c r="B171" i="4"/>
  <c r="C171" i="4" s="1"/>
  <c r="B170" i="4"/>
  <c r="C170" i="4" s="1"/>
  <c r="B169" i="4"/>
  <c r="C169" i="4" s="1"/>
  <c r="B168" i="4"/>
  <c r="C168" i="4" s="1"/>
  <c r="B167" i="4"/>
  <c r="C167" i="4" s="1"/>
  <c r="B166" i="4"/>
  <c r="C166" i="4" s="1"/>
  <c r="B165" i="4"/>
  <c r="C165" i="4" s="1"/>
  <c r="C164" i="4"/>
  <c r="B164" i="4"/>
  <c r="B163" i="4"/>
  <c r="C163" i="4" s="1"/>
  <c r="B162" i="4"/>
  <c r="C162" i="4" s="1"/>
  <c r="B161" i="4"/>
  <c r="C161" i="4" s="1"/>
  <c r="C160" i="4"/>
  <c r="B160" i="4"/>
  <c r="C159" i="4"/>
  <c r="B159" i="4"/>
  <c r="B158" i="4"/>
  <c r="C158" i="4" s="1"/>
  <c r="B157" i="4"/>
  <c r="C157" i="4" s="1"/>
  <c r="B156" i="4"/>
  <c r="C156" i="4" s="1"/>
  <c r="B155" i="4"/>
  <c r="C155" i="4" s="1"/>
  <c r="B154" i="4"/>
  <c r="C154" i="4" s="1"/>
  <c r="B153" i="4"/>
  <c r="C153" i="4" s="1"/>
  <c r="B152" i="4"/>
  <c r="C152" i="4" s="1"/>
  <c r="B151" i="4"/>
  <c r="C151" i="4" s="1"/>
  <c r="B150" i="4"/>
  <c r="C150" i="4" s="1"/>
  <c r="B149" i="4"/>
  <c r="C149" i="4" s="1"/>
  <c r="B148" i="4"/>
  <c r="C148" i="4" s="1"/>
  <c r="C147" i="4"/>
  <c r="B147" i="4"/>
  <c r="B146" i="4"/>
  <c r="C146" i="4" s="1"/>
  <c r="B145" i="4"/>
  <c r="C145" i="4" s="1"/>
  <c r="B144" i="4"/>
  <c r="C144" i="4" s="1"/>
  <c r="C143" i="4"/>
  <c r="B143" i="4"/>
  <c r="B142" i="4"/>
  <c r="C142" i="4" s="1"/>
  <c r="B141" i="4"/>
  <c r="C141" i="4" s="1"/>
  <c r="B140" i="4"/>
  <c r="C140" i="4" s="1"/>
  <c r="C139" i="4"/>
  <c r="B139" i="4"/>
  <c r="B138" i="4"/>
  <c r="C138" i="4" s="1"/>
  <c r="B137" i="4"/>
  <c r="C137" i="4" s="1"/>
  <c r="B136" i="4"/>
  <c r="C136" i="4" s="1"/>
  <c r="C135" i="4"/>
  <c r="B135" i="4"/>
  <c r="B134" i="4"/>
  <c r="C134" i="4" s="1"/>
  <c r="B133" i="4"/>
  <c r="C133" i="4" s="1"/>
  <c r="B132" i="4"/>
  <c r="C132" i="4" s="1"/>
  <c r="B131" i="4"/>
  <c r="C131" i="4" s="1"/>
  <c r="C130" i="4"/>
  <c r="B130" i="4"/>
  <c r="B129" i="4"/>
  <c r="C129" i="4" s="1"/>
  <c r="B128" i="4"/>
  <c r="C128" i="4" s="1"/>
  <c r="B127" i="4"/>
  <c r="C127" i="4" s="1"/>
  <c r="C126" i="4"/>
  <c r="B126" i="4"/>
  <c r="B125" i="4"/>
  <c r="C125" i="4" s="1"/>
  <c r="B124" i="4"/>
  <c r="C124" i="4" s="1"/>
  <c r="B123" i="4"/>
  <c r="C123" i="4" s="1"/>
  <c r="C122" i="4"/>
  <c r="B122" i="4"/>
  <c r="B121" i="4"/>
  <c r="C121" i="4" s="1"/>
  <c r="B120" i="4"/>
  <c r="C120" i="4" s="1"/>
  <c r="B119" i="4"/>
  <c r="C119" i="4" s="1"/>
  <c r="B118" i="4"/>
  <c r="C118" i="4" s="1"/>
  <c r="B117" i="4"/>
  <c r="C117" i="4" s="1"/>
  <c r="B116" i="4"/>
  <c r="C116" i="4" s="1"/>
  <c r="C115" i="4"/>
  <c r="B115" i="4"/>
  <c r="B114" i="4"/>
  <c r="C114" i="4" s="1"/>
  <c r="C113" i="4"/>
  <c r="B113" i="4"/>
  <c r="B112" i="4"/>
  <c r="C112" i="4" s="1"/>
  <c r="B111" i="4"/>
  <c r="C111" i="4" s="1"/>
  <c r="B110" i="4"/>
  <c r="C110" i="4" s="1"/>
  <c r="B109" i="4"/>
  <c r="C109" i="4" s="1"/>
  <c r="B108" i="4"/>
  <c r="C108" i="4" s="1"/>
  <c r="C107" i="4"/>
  <c r="B107" i="4"/>
  <c r="C106" i="4"/>
  <c r="B106" i="4"/>
  <c r="C105" i="4"/>
  <c r="B105" i="4"/>
  <c r="B104" i="4"/>
  <c r="C104" i="4" s="1"/>
  <c r="B103" i="4"/>
  <c r="C103" i="4" s="1"/>
  <c r="B102" i="4"/>
  <c r="C102" i="4" s="1"/>
  <c r="B101" i="4"/>
  <c r="C101" i="4" s="1"/>
  <c r="B100" i="4"/>
  <c r="C100" i="4" s="1"/>
  <c r="B99" i="4"/>
  <c r="C99" i="4" s="1"/>
  <c r="B98" i="4"/>
  <c r="C98" i="4" s="1"/>
  <c r="B97" i="4"/>
  <c r="C97" i="4" s="1"/>
  <c r="C96" i="4"/>
  <c r="B96" i="4"/>
  <c r="B95" i="4"/>
  <c r="C95" i="4" s="1"/>
  <c r="B94" i="4"/>
  <c r="C94" i="4" s="1"/>
  <c r="B93" i="4"/>
  <c r="C93" i="4" s="1"/>
  <c r="B92" i="4"/>
  <c r="C92" i="4" s="1"/>
  <c r="B91" i="4"/>
  <c r="C91" i="4" s="1"/>
  <c r="B90" i="4"/>
  <c r="C90" i="4" s="1"/>
  <c r="B89" i="4"/>
  <c r="C89" i="4" s="1"/>
  <c r="B88" i="4"/>
  <c r="C88" i="4" s="1"/>
  <c r="B87" i="4"/>
  <c r="C87" i="4" s="1"/>
  <c r="B86" i="4"/>
  <c r="C86" i="4" s="1"/>
  <c r="B85" i="4"/>
  <c r="C85" i="4" s="1"/>
  <c r="C84" i="4"/>
  <c r="B84" i="4"/>
  <c r="C83" i="4"/>
  <c r="B83" i="4"/>
  <c r="B82" i="4"/>
  <c r="C82" i="4" s="1"/>
  <c r="C81" i="4"/>
  <c r="B81" i="4"/>
  <c r="B80" i="4"/>
  <c r="C80" i="4" s="1"/>
  <c r="C79" i="4"/>
  <c r="B79" i="4"/>
  <c r="B78" i="4"/>
  <c r="C78" i="4" s="1"/>
  <c r="B77" i="4"/>
  <c r="C77" i="4" s="1"/>
  <c r="B76" i="4"/>
  <c r="C76" i="4" s="1"/>
  <c r="B75" i="4"/>
  <c r="C75" i="4" s="1"/>
  <c r="B74" i="4"/>
  <c r="C74" i="4" s="1"/>
  <c r="B73" i="4"/>
  <c r="C73" i="4" s="1"/>
  <c r="B72" i="4"/>
  <c r="C72" i="4" s="1"/>
  <c r="C71" i="4"/>
  <c r="B71" i="4"/>
  <c r="B70" i="4"/>
  <c r="C70" i="4" s="1"/>
  <c r="B69" i="4"/>
  <c r="C69" i="4" s="1"/>
  <c r="B68" i="4"/>
  <c r="C68" i="4" s="1"/>
  <c r="B67" i="4"/>
  <c r="C67" i="4" s="1"/>
  <c r="B66" i="4"/>
  <c r="C66" i="4" s="1"/>
  <c r="B65" i="4"/>
  <c r="C65" i="4" s="1"/>
  <c r="B64" i="4"/>
  <c r="C64" i="4" s="1"/>
  <c r="B63" i="4"/>
  <c r="C63" i="4" s="1"/>
  <c r="C62" i="4"/>
  <c r="B62" i="4"/>
  <c r="B61" i="4"/>
  <c r="C61" i="4" s="1"/>
  <c r="B60" i="4"/>
  <c r="C60" i="4" s="1"/>
  <c r="B59" i="4"/>
  <c r="C59" i="4" s="1"/>
  <c r="B58" i="4"/>
  <c r="C58" i="4" s="1"/>
  <c r="B57" i="4"/>
  <c r="C57" i="4" s="1"/>
  <c r="B56" i="4"/>
  <c r="C56" i="4" s="1"/>
  <c r="B55" i="4"/>
  <c r="C55" i="4" s="1"/>
  <c r="C54" i="4"/>
  <c r="B54" i="4"/>
  <c r="B53" i="4"/>
  <c r="C53" i="4" s="1"/>
  <c r="B52" i="4"/>
  <c r="C52" i="4" s="1"/>
  <c r="B51" i="4"/>
  <c r="C51" i="4" s="1"/>
  <c r="C50" i="4"/>
  <c r="B50" i="4"/>
  <c r="B49" i="4"/>
  <c r="C49" i="4" s="1"/>
  <c r="C48" i="4"/>
  <c r="B48" i="4"/>
  <c r="C47" i="4"/>
  <c r="B47" i="4"/>
  <c r="C46" i="4"/>
  <c r="B46" i="4"/>
  <c r="B45" i="4"/>
  <c r="C45" i="4" s="1"/>
  <c r="B44" i="4"/>
  <c r="C44" i="4" s="1"/>
  <c r="B43" i="4"/>
  <c r="C43" i="4" s="1"/>
  <c r="B42" i="4"/>
  <c r="C42" i="4" s="1"/>
  <c r="B41" i="4"/>
  <c r="C41" i="4" s="1"/>
  <c r="B40" i="4"/>
  <c r="C40" i="4" s="1"/>
  <c r="B39" i="4"/>
  <c r="C39" i="4" s="1"/>
  <c r="B38" i="4"/>
  <c r="C38" i="4" s="1"/>
  <c r="B37" i="4"/>
  <c r="C37" i="4" s="1"/>
  <c r="B36" i="4"/>
  <c r="C36" i="4" s="1"/>
  <c r="B35" i="4"/>
  <c r="C35" i="4" s="1"/>
  <c r="B34" i="4"/>
  <c r="C34" i="4" s="1"/>
  <c r="B33" i="4"/>
  <c r="C33" i="4" s="1"/>
  <c r="B32" i="4"/>
  <c r="C32" i="4" s="1"/>
  <c r="B31" i="4"/>
  <c r="C31" i="4" s="1"/>
  <c r="C30" i="4"/>
  <c r="B30" i="4"/>
  <c r="B29" i="4"/>
  <c r="C29" i="4" s="1"/>
  <c r="B28" i="4"/>
  <c r="C28" i="4" s="1"/>
  <c r="C27" i="4"/>
  <c r="B27" i="4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9" i="4"/>
  <c r="C19" i="4" s="1"/>
  <c r="B18" i="4"/>
  <c r="C18" i="4" s="1"/>
  <c r="B17" i="4"/>
  <c r="C17" i="4" s="1"/>
  <c r="C16" i="4"/>
  <c r="B16" i="4"/>
  <c r="C15" i="4"/>
  <c r="B15" i="4"/>
  <c r="C14" i="4"/>
  <c r="B14" i="4"/>
  <c r="B13" i="4"/>
  <c r="C13" i="4" s="1"/>
  <c r="B12" i="4"/>
  <c r="C12" i="4" s="1"/>
  <c r="B11" i="4"/>
  <c r="C11" i="4" s="1"/>
  <c r="C10" i="4"/>
  <c r="B10" i="4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C246" i="3"/>
  <c r="D246" i="3" s="1"/>
  <c r="D5628" i="7" s="1"/>
  <c r="E5628" i="7" s="1"/>
  <c r="C245" i="3"/>
  <c r="D245" i="3" s="1"/>
  <c r="D5568" i="7" s="1"/>
  <c r="C244" i="3"/>
  <c r="D244" i="3" s="1"/>
  <c r="C243" i="3"/>
  <c r="D243" i="3" s="1"/>
  <c r="C242" i="3"/>
  <c r="D242" i="3" s="1"/>
  <c r="C241" i="3"/>
  <c r="D241" i="3" s="1"/>
  <c r="D240" i="3"/>
  <c r="C240" i="3"/>
  <c r="D239" i="3"/>
  <c r="C239" i="3"/>
  <c r="D238" i="3"/>
  <c r="C238" i="3"/>
  <c r="C237" i="3"/>
  <c r="D237" i="3" s="1"/>
  <c r="C236" i="3"/>
  <c r="D236" i="3" s="1"/>
  <c r="C235" i="3"/>
  <c r="D235" i="3" s="1"/>
  <c r="C234" i="3"/>
  <c r="D234" i="3" s="1"/>
  <c r="C233" i="3"/>
  <c r="D233" i="3" s="1"/>
  <c r="C232" i="3"/>
  <c r="D232" i="3" s="1"/>
  <c r="C231" i="3"/>
  <c r="D231" i="3" s="1"/>
  <c r="C230" i="3"/>
  <c r="D230" i="3" s="1"/>
  <c r="C229" i="3"/>
  <c r="D229" i="3" s="1"/>
  <c r="C228" i="3"/>
  <c r="D228" i="3" s="1"/>
  <c r="D227" i="3"/>
  <c r="C227" i="3"/>
  <c r="C226" i="3"/>
  <c r="D226" i="3" s="1"/>
  <c r="C225" i="3"/>
  <c r="D225" i="3" s="1"/>
  <c r="D224" i="3"/>
  <c r="C224" i="3"/>
  <c r="C223" i="3"/>
  <c r="D223" i="3" s="1"/>
  <c r="C222" i="3"/>
  <c r="D222" i="3" s="1"/>
  <c r="D221" i="3"/>
  <c r="C221" i="3"/>
  <c r="C220" i="3"/>
  <c r="D220" i="3" s="1"/>
  <c r="C219" i="3"/>
  <c r="D219" i="3" s="1"/>
  <c r="C218" i="3"/>
  <c r="D218" i="3" s="1"/>
  <c r="C217" i="3"/>
  <c r="D217" i="3" s="1"/>
  <c r="C216" i="3"/>
  <c r="D216" i="3" s="1"/>
  <c r="D215" i="3"/>
  <c r="C215" i="3"/>
  <c r="C214" i="3"/>
  <c r="D214" i="3" s="1"/>
  <c r="C213" i="3"/>
  <c r="D213" i="3" s="1"/>
  <c r="C212" i="3"/>
  <c r="D212" i="3" s="1"/>
  <c r="C211" i="3"/>
  <c r="D211" i="3" s="1"/>
  <c r="C210" i="3"/>
  <c r="D210" i="3" s="1"/>
  <c r="C209" i="3"/>
  <c r="D209" i="3" s="1"/>
  <c r="D208" i="3"/>
  <c r="C208" i="3"/>
  <c r="D207" i="3"/>
  <c r="C207" i="3"/>
  <c r="D206" i="3"/>
  <c r="C206" i="3"/>
  <c r="D205" i="3"/>
  <c r="C205" i="3"/>
  <c r="D204" i="3"/>
  <c r="C204" i="3"/>
  <c r="C203" i="3"/>
  <c r="D203" i="3" s="1"/>
  <c r="C202" i="3"/>
  <c r="D202" i="3" s="1"/>
  <c r="C201" i="3"/>
  <c r="D201" i="3" s="1"/>
  <c r="C200" i="3"/>
  <c r="D200" i="3" s="1"/>
  <c r="C199" i="3"/>
  <c r="D199" i="3" s="1"/>
  <c r="C198" i="3"/>
  <c r="D198" i="3" s="1"/>
  <c r="C197" i="3"/>
  <c r="D197" i="3" s="1"/>
  <c r="C196" i="3"/>
  <c r="D196" i="3" s="1"/>
  <c r="C195" i="3"/>
  <c r="D195" i="3" s="1"/>
  <c r="C194" i="3"/>
  <c r="D194" i="3" s="1"/>
  <c r="C193" i="3"/>
  <c r="D193" i="3" s="1"/>
  <c r="C192" i="3"/>
  <c r="D192" i="3" s="1"/>
  <c r="C191" i="3"/>
  <c r="D191" i="3" s="1"/>
  <c r="C190" i="3"/>
  <c r="D190" i="3" s="1"/>
  <c r="C189" i="3"/>
  <c r="D189" i="3" s="1"/>
  <c r="C188" i="3"/>
  <c r="D188" i="3" s="1"/>
  <c r="D187" i="3"/>
  <c r="D2250" i="7" s="1"/>
  <c r="E2250" i="7" s="1"/>
  <c r="C187" i="3"/>
  <c r="C186" i="3"/>
  <c r="D186" i="3" s="1"/>
  <c r="C185" i="3"/>
  <c r="D185" i="3" s="1"/>
  <c r="C184" i="3"/>
  <c r="D184" i="3" s="1"/>
  <c r="D2249" i="7" s="1"/>
  <c r="E2249" i="7" s="1"/>
  <c r="D183" i="3"/>
  <c r="C183" i="3"/>
  <c r="C182" i="3"/>
  <c r="D182" i="3" s="1"/>
  <c r="C181" i="3"/>
  <c r="D181" i="3" s="1"/>
  <c r="D2248" i="7" s="1"/>
  <c r="E2248" i="7" s="1"/>
  <c r="D180" i="3"/>
  <c r="C180" i="3"/>
  <c r="C179" i="3"/>
  <c r="D179" i="3" s="1"/>
  <c r="C178" i="3"/>
  <c r="D178" i="3" s="1"/>
  <c r="D2247" i="7" s="1"/>
  <c r="E2247" i="7" s="1"/>
  <c r="C177" i="3"/>
  <c r="D177" i="3" s="1"/>
  <c r="C176" i="3"/>
  <c r="D176" i="3" s="1"/>
  <c r="D175" i="3"/>
  <c r="D2246" i="7" s="1"/>
  <c r="C175" i="3"/>
  <c r="C174" i="3"/>
  <c r="D174" i="3" s="1"/>
  <c r="C173" i="3"/>
  <c r="D173" i="3" s="1"/>
  <c r="D172" i="3"/>
  <c r="D2245" i="7" s="1"/>
  <c r="C172" i="3"/>
  <c r="D171" i="3"/>
  <c r="C171" i="3"/>
  <c r="D170" i="3"/>
  <c r="C170" i="3"/>
  <c r="C169" i="3"/>
  <c r="D169" i="3" s="1"/>
  <c r="D2244" i="7" s="1"/>
  <c r="E2244" i="7" s="1"/>
  <c r="C168" i="3"/>
  <c r="D168" i="3" s="1"/>
  <c r="C167" i="3"/>
  <c r="D167" i="3" s="1"/>
  <c r="D166" i="3"/>
  <c r="D2243" i="7" s="1"/>
  <c r="E2243" i="7" s="1"/>
  <c r="C166" i="3"/>
  <c r="C165" i="3"/>
  <c r="D165" i="3" s="1"/>
  <c r="C164" i="3"/>
  <c r="D164" i="3" s="1"/>
  <c r="D163" i="3"/>
  <c r="D2242" i="7" s="1"/>
  <c r="E2242" i="7" s="1"/>
  <c r="C163" i="3"/>
  <c r="C162" i="3"/>
  <c r="D162" i="3" s="1"/>
  <c r="C161" i="3"/>
  <c r="D161" i="3" s="1"/>
  <c r="C160" i="3"/>
  <c r="D160" i="3" s="1"/>
  <c r="D2241" i="7" s="1"/>
  <c r="E2241" i="7" s="1"/>
  <c r="C159" i="3"/>
  <c r="D159" i="3" s="1"/>
  <c r="D158" i="3"/>
  <c r="C158" i="3"/>
  <c r="D157" i="3"/>
  <c r="D2240" i="7" s="1"/>
  <c r="C157" i="3"/>
  <c r="D156" i="3"/>
  <c r="C156" i="3"/>
  <c r="C155" i="3"/>
  <c r="D155" i="3" s="1"/>
  <c r="C154" i="3"/>
  <c r="D154" i="3" s="1"/>
  <c r="D2239" i="7" s="1"/>
  <c r="D153" i="3"/>
  <c r="C153" i="3"/>
  <c r="C152" i="3"/>
  <c r="D152" i="3" s="1"/>
  <c r="C151" i="3"/>
  <c r="D151" i="3" s="1"/>
  <c r="D2238" i="7" s="1"/>
  <c r="C150" i="3"/>
  <c r="D150" i="3" s="1"/>
  <c r="C149" i="3"/>
  <c r="D149" i="3" s="1"/>
  <c r="C148" i="3"/>
  <c r="D148" i="3" s="1"/>
  <c r="D2237" i="7" s="1"/>
  <c r="D147" i="3"/>
  <c r="C147" i="3"/>
  <c r="C146" i="3"/>
  <c r="D146" i="3" s="1"/>
  <c r="C145" i="3"/>
  <c r="D145" i="3" s="1"/>
  <c r="D2236" i="7" s="1"/>
  <c r="E2236" i="7" s="1"/>
  <c r="C144" i="3"/>
  <c r="D144" i="3" s="1"/>
  <c r="D143" i="3"/>
  <c r="C143" i="3"/>
  <c r="C142" i="3"/>
  <c r="D142" i="3" s="1"/>
  <c r="D2235" i="7" s="1"/>
  <c r="E2235" i="7" s="1"/>
  <c r="C141" i="3"/>
  <c r="D141" i="3" s="1"/>
  <c r="C140" i="3"/>
  <c r="D140" i="3" s="1"/>
  <c r="D139" i="3"/>
  <c r="D2234" i="7" s="1"/>
  <c r="E2234" i="7" s="1"/>
  <c r="C139" i="3"/>
  <c r="D138" i="3"/>
  <c r="C138" i="3"/>
  <c r="D137" i="3"/>
  <c r="D1390" i="7" s="1"/>
  <c r="C137" i="3"/>
  <c r="C136" i="3"/>
  <c r="D136" i="3" s="1"/>
  <c r="C135" i="3"/>
  <c r="D135" i="3" s="1"/>
  <c r="D1362" i="7" s="1"/>
  <c r="C134" i="3"/>
  <c r="D134" i="3" s="1"/>
  <c r="D1348" i="7" s="1"/>
  <c r="C133" i="3"/>
  <c r="D133" i="3" s="1"/>
  <c r="C132" i="3"/>
  <c r="D132" i="3" s="1"/>
  <c r="C131" i="3"/>
  <c r="D131" i="3" s="1"/>
  <c r="D1306" i="7" s="1"/>
  <c r="E1306" i="7" s="1"/>
  <c r="C130" i="3"/>
  <c r="D130" i="3" s="1"/>
  <c r="D1292" i="7" s="1"/>
  <c r="E1292" i="7" s="1"/>
  <c r="C129" i="3"/>
  <c r="D129" i="3" s="1"/>
  <c r="C128" i="3"/>
  <c r="D128" i="3" s="1"/>
  <c r="D127" i="3"/>
  <c r="C127" i="3"/>
  <c r="C126" i="3"/>
  <c r="D126" i="3" s="1"/>
  <c r="C125" i="3"/>
  <c r="D125" i="3" s="1"/>
  <c r="D124" i="3"/>
  <c r="C124" i="3"/>
  <c r="C123" i="3"/>
  <c r="D123" i="3" s="1"/>
  <c r="C122" i="3"/>
  <c r="D122" i="3" s="1"/>
  <c r="C121" i="3"/>
  <c r="D121" i="3" s="1"/>
  <c r="D120" i="3"/>
  <c r="C120" i="3"/>
  <c r="D119" i="3"/>
  <c r="C119" i="3"/>
  <c r="C118" i="3"/>
  <c r="D118" i="3" s="1"/>
  <c r="C117" i="3"/>
  <c r="D117" i="3" s="1"/>
  <c r="C116" i="3"/>
  <c r="D116" i="3" s="1"/>
  <c r="D1318" i="7" s="1"/>
  <c r="D115" i="3"/>
  <c r="C115" i="3"/>
  <c r="C114" i="3"/>
  <c r="D114" i="3" s="1"/>
  <c r="C113" i="3"/>
  <c r="D113" i="3" s="1"/>
  <c r="C112" i="3"/>
  <c r="D112" i="3" s="1"/>
  <c r="C111" i="3"/>
  <c r="D111" i="3" s="1"/>
  <c r="C110" i="3"/>
  <c r="D110" i="3" s="1"/>
  <c r="C109" i="3"/>
  <c r="D109" i="3" s="1"/>
  <c r="C108" i="3"/>
  <c r="D108" i="3" s="1"/>
  <c r="D107" i="3"/>
  <c r="C107" i="3"/>
  <c r="D106" i="3"/>
  <c r="C106" i="3"/>
  <c r="D105" i="3"/>
  <c r="C105" i="3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D98" i="3" s="1"/>
  <c r="C97" i="3"/>
  <c r="D97" i="3" s="1"/>
  <c r="C96" i="3"/>
  <c r="D96" i="3" s="1"/>
  <c r="D95" i="3"/>
  <c r="C95" i="3"/>
  <c r="C94" i="3"/>
  <c r="D94" i="3" s="1"/>
  <c r="C93" i="3"/>
  <c r="D93" i="3" s="1"/>
  <c r="C92" i="3"/>
  <c r="D92" i="3" s="1"/>
  <c r="C91" i="3"/>
  <c r="D91" i="3" s="1"/>
  <c r="D90" i="3"/>
  <c r="C90" i="3"/>
  <c r="C89" i="3"/>
  <c r="D89" i="3" s="1"/>
  <c r="D88" i="3"/>
  <c r="C88" i="3"/>
  <c r="D87" i="3"/>
  <c r="C87" i="3"/>
  <c r="D86" i="3"/>
  <c r="C86" i="3"/>
  <c r="C85" i="3"/>
  <c r="D85" i="3" s="1"/>
  <c r="C84" i="3"/>
  <c r="D84" i="3" s="1"/>
  <c r="C83" i="3"/>
  <c r="D83" i="3" s="1"/>
  <c r="C82" i="3"/>
  <c r="D82" i="3" s="1"/>
  <c r="D868" i="7" s="1"/>
  <c r="E868" i="7" s="1"/>
  <c r="C81" i="3"/>
  <c r="D81" i="3" s="1"/>
  <c r="D80" i="3"/>
  <c r="C80" i="3"/>
  <c r="D79" i="3"/>
  <c r="C79" i="3"/>
  <c r="D78" i="3"/>
  <c r="C78" i="3"/>
  <c r="C77" i="3"/>
  <c r="D77" i="3" s="1"/>
  <c r="C76" i="3"/>
  <c r="D76" i="3" s="1"/>
  <c r="D75" i="3"/>
  <c r="D749" i="7" s="1"/>
  <c r="C75" i="3"/>
  <c r="D74" i="3"/>
  <c r="D518" i="7" s="1"/>
  <c r="C74" i="3"/>
  <c r="D73" i="3"/>
  <c r="D976" i="7" s="1"/>
  <c r="E976" i="7" s="1"/>
  <c r="C73" i="3"/>
  <c r="D72" i="3"/>
  <c r="D587" i="7" s="1"/>
  <c r="E587" i="7" s="1"/>
  <c r="C72" i="3"/>
  <c r="C71" i="3"/>
  <c r="D71" i="3" s="1"/>
  <c r="D70" i="3"/>
  <c r="D462" i="7" s="1"/>
  <c r="E462" i="7" s="1"/>
  <c r="C70" i="3"/>
  <c r="D69" i="3"/>
  <c r="D566" i="7" s="1"/>
  <c r="C69" i="3"/>
  <c r="C68" i="3"/>
  <c r="D68" i="3" s="1"/>
  <c r="D444" i="7" s="1"/>
  <c r="E444" i="7" s="1"/>
  <c r="C67" i="3"/>
  <c r="D67" i="3" s="1"/>
  <c r="C66" i="3"/>
  <c r="D66" i="3" s="1"/>
  <c r="D1312" i="7" s="1"/>
  <c r="E1312" i="7" s="1"/>
  <c r="C65" i="3"/>
  <c r="D65" i="3" s="1"/>
  <c r="D748" i="7" s="1"/>
  <c r="E748" i="7" s="1"/>
  <c r="C64" i="3"/>
  <c r="D64" i="3" s="1"/>
  <c r="D402" i="7" s="1"/>
  <c r="C63" i="3"/>
  <c r="D63" i="3" s="1"/>
  <c r="D62" i="3"/>
  <c r="D384" i="7" s="1"/>
  <c r="C62" i="3"/>
  <c r="D61" i="3"/>
  <c r="C61" i="3"/>
  <c r="D60" i="3"/>
  <c r="C60" i="3"/>
  <c r="C59" i="3"/>
  <c r="D59" i="3" s="1"/>
  <c r="C58" i="3"/>
  <c r="D58" i="3" s="1"/>
  <c r="D57" i="3"/>
  <c r="D338" i="7" s="1"/>
  <c r="C57" i="3"/>
  <c r="D56" i="3"/>
  <c r="C56" i="3"/>
  <c r="D55" i="3"/>
  <c r="D318" i="7" s="1"/>
  <c r="C55" i="3"/>
  <c r="D54" i="3"/>
  <c r="C54" i="3"/>
  <c r="C53" i="3"/>
  <c r="D53" i="3" s="1"/>
  <c r="D52" i="3"/>
  <c r="C52" i="3"/>
  <c r="D51" i="3"/>
  <c r="D729" i="7" s="1"/>
  <c r="E729" i="7" s="1"/>
  <c r="C51" i="3"/>
  <c r="C50" i="3"/>
  <c r="D50" i="3" s="1"/>
  <c r="D273" i="7" s="1"/>
  <c r="E273" i="7" s="1"/>
  <c r="C49" i="3"/>
  <c r="D49" i="3" s="1"/>
  <c r="D502" i="7" s="1"/>
  <c r="E502" i="7" s="1"/>
  <c r="C48" i="3"/>
  <c r="D48" i="3" s="1"/>
  <c r="D357" i="7" s="1"/>
  <c r="E357" i="7" s="1"/>
  <c r="C47" i="3"/>
  <c r="D47" i="3" s="1"/>
  <c r="C46" i="3"/>
  <c r="D46" i="3" s="1"/>
  <c r="C45" i="3"/>
  <c r="D45" i="3" s="1"/>
  <c r="D44" i="3"/>
  <c r="C44" i="3"/>
  <c r="D43" i="3"/>
  <c r="C43" i="3"/>
  <c r="D42" i="3"/>
  <c r="C42" i="3"/>
  <c r="C41" i="3"/>
  <c r="D41" i="3" s="1"/>
  <c r="C40" i="3"/>
  <c r="D40" i="3" s="1"/>
  <c r="D39" i="3"/>
  <c r="D168" i="7" s="1"/>
  <c r="E168" i="7" s="1"/>
  <c r="C39" i="3"/>
  <c r="D38" i="3"/>
  <c r="C38" i="3"/>
  <c r="D37" i="3"/>
  <c r="D501" i="7" s="1"/>
  <c r="E501" i="7" s="1"/>
  <c r="C37" i="3"/>
  <c r="D36" i="3"/>
  <c r="D584" i="7" s="1"/>
  <c r="C36" i="3"/>
  <c r="C35" i="3"/>
  <c r="D35" i="3" s="1"/>
  <c r="C34" i="3"/>
  <c r="D34" i="3" s="1"/>
  <c r="C33" i="3"/>
  <c r="D33" i="3" s="1"/>
  <c r="D219" i="7" s="1"/>
  <c r="C32" i="3"/>
  <c r="D32" i="3" s="1"/>
  <c r="C31" i="3"/>
  <c r="D31" i="3" s="1"/>
  <c r="D118" i="7" s="1"/>
  <c r="C30" i="3"/>
  <c r="D30" i="3" s="1"/>
  <c r="D109" i="7" s="1"/>
  <c r="E109" i="7" s="1"/>
  <c r="D29" i="3"/>
  <c r="D883" i="7" s="1"/>
  <c r="C29" i="3"/>
  <c r="D28" i="3"/>
  <c r="C28" i="3"/>
  <c r="D27" i="3"/>
  <c r="C27" i="3"/>
  <c r="C26" i="3"/>
  <c r="D26" i="3" s="1"/>
  <c r="C25" i="3"/>
  <c r="D25" i="3" s="1"/>
  <c r="C24" i="3"/>
  <c r="D24" i="3" s="1"/>
  <c r="C23" i="3"/>
  <c r="D23" i="3" s="1"/>
  <c r="D22" i="3"/>
  <c r="D458" i="7" s="1"/>
  <c r="E458" i="7" s="1"/>
  <c r="C22" i="3"/>
  <c r="C21" i="3"/>
  <c r="D21" i="3" s="1"/>
  <c r="C20" i="3"/>
  <c r="D20" i="3" s="1"/>
  <c r="C19" i="3"/>
  <c r="D19" i="3" s="1"/>
  <c r="C18" i="3"/>
  <c r="D18" i="3" s="1"/>
  <c r="D46" i="7" s="1"/>
  <c r="C17" i="3"/>
  <c r="D17" i="3" s="1"/>
  <c r="D1003" i="7" s="1"/>
  <c r="E1003" i="7" s="1"/>
  <c r="C16" i="3"/>
  <c r="D16" i="3" s="1"/>
  <c r="C15" i="3"/>
  <c r="D15" i="3" s="1"/>
  <c r="D166" i="7" s="1"/>
  <c r="E166" i="7" s="1"/>
  <c r="C14" i="3"/>
  <c r="D14" i="3" s="1"/>
  <c r="D84" i="7" s="1"/>
  <c r="C13" i="3"/>
  <c r="D13" i="3" s="1"/>
  <c r="D374" i="7" s="1"/>
  <c r="D12" i="3"/>
  <c r="D75" i="7" s="1"/>
  <c r="E75" i="7" s="1"/>
  <c r="C12" i="3"/>
  <c r="C11" i="3"/>
  <c r="D11" i="3" s="1"/>
  <c r="C10" i="3"/>
  <c r="D10" i="3" s="1"/>
  <c r="C9" i="3"/>
  <c r="D9" i="3" s="1"/>
  <c r="C8" i="3"/>
  <c r="D8" i="3" s="1"/>
  <c r="D7" i="3"/>
  <c r="D314" i="7" s="1"/>
  <c r="E314" i="7" s="1"/>
  <c r="C7" i="3"/>
  <c r="D6" i="3"/>
  <c r="C6" i="3"/>
  <c r="D5" i="3"/>
  <c r="C5" i="3"/>
  <c r="C4" i="3"/>
  <c r="D4" i="3" s="1"/>
  <c r="C3" i="3"/>
  <c r="D3" i="3" s="1"/>
  <c r="C2" i="3"/>
  <c r="D2" i="3" s="1"/>
  <c r="D269" i="7" s="1"/>
  <c r="E269" i="7" s="1"/>
  <c r="K354" i="2"/>
  <c r="I354" i="2"/>
  <c r="G354" i="2"/>
  <c r="F354" i="2"/>
  <c r="H354" i="2" s="1"/>
  <c r="K353" i="2"/>
  <c r="I353" i="2"/>
  <c r="G353" i="2"/>
  <c r="F353" i="2"/>
  <c r="H353" i="2" s="1"/>
  <c r="J353" i="2" s="1"/>
  <c r="K352" i="2"/>
  <c r="J352" i="2"/>
  <c r="I352" i="2"/>
  <c r="G352" i="2"/>
  <c r="F352" i="2"/>
  <c r="H352" i="2" s="1"/>
  <c r="K351" i="2"/>
  <c r="I351" i="2"/>
  <c r="G351" i="2"/>
  <c r="F351" i="2"/>
  <c r="H351" i="2" s="1"/>
  <c r="K350" i="2"/>
  <c r="I350" i="2"/>
  <c r="G350" i="2"/>
  <c r="F350" i="2"/>
  <c r="H350" i="2" s="1"/>
  <c r="J350" i="2" s="1"/>
  <c r="K349" i="2"/>
  <c r="I349" i="2"/>
  <c r="H349" i="2"/>
  <c r="J349" i="2" s="1"/>
  <c r="G349" i="2"/>
  <c r="F349" i="2"/>
  <c r="K348" i="2"/>
  <c r="I348" i="2"/>
  <c r="H348" i="2"/>
  <c r="J348" i="2" s="1"/>
  <c r="G348" i="2"/>
  <c r="F348" i="2"/>
  <c r="K347" i="2"/>
  <c r="J347" i="2"/>
  <c r="I347" i="2"/>
  <c r="H347" i="2"/>
  <c r="G347" i="2"/>
  <c r="F347" i="2"/>
  <c r="K346" i="2"/>
  <c r="I346" i="2"/>
  <c r="G346" i="2"/>
  <c r="F346" i="2"/>
  <c r="H346" i="2" s="1"/>
  <c r="K345" i="2"/>
  <c r="I345" i="2"/>
  <c r="G345" i="2"/>
  <c r="F345" i="2"/>
  <c r="H345" i="2" s="1"/>
  <c r="K344" i="2"/>
  <c r="I344" i="2"/>
  <c r="J344" i="2" s="1"/>
  <c r="H344" i="2"/>
  <c r="G344" i="2"/>
  <c r="F344" i="2"/>
  <c r="K343" i="2"/>
  <c r="I343" i="2"/>
  <c r="H343" i="2"/>
  <c r="J343" i="2" s="1"/>
  <c r="G343" i="2"/>
  <c r="F343" i="2"/>
  <c r="K342" i="2"/>
  <c r="I342" i="2"/>
  <c r="G342" i="2"/>
  <c r="H342" i="2" s="1"/>
  <c r="J342" i="2" s="1"/>
  <c r="F342" i="2"/>
  <c r="K341" i="2"/>
  <c r="J341" i="2"/>
  <c r="I341" i="2"/>
  <c r="H341" i="2"/>
  <c r="G341" i="2"/>
  <c r="F341" i="2"/>
  <c r="K340" i="2"/>
  <c r="I340" i="2"/>
  <c r="G340" i="2"/>
  <c r="F340" i="2"/>
  <c r="H340" i="2" s="1"/>
  <c r="J340" i="2" s="1"/>
  <c r="K339" i="2"/>
  <c r="J339" i="2"/>
  <c r="I339" i="2"/>
  <c r="H339" i="2"/>
  <c r="G339" i="2"/>
  <c r="F339" i="2"/>
  <c r="K338" i="2"/>
  <c r="J338" i="2"/>
  <c r="I338" i="2"/>
  <c r="H338" i="2"/>
  <c r="G338" i="2"/>
  <c r="F338" i="2"/>
  <c r="K337" i="2"/>
  <c r="J337" i="2"/>
  <c r="I337" i="2"/>
  <c r="G337" i="2"/>
  <c r="H337" i="2" s="1"/>
  <c r="F337" i="2"/>
  <c r="K336" i="2"/>
  <c r="I336" i="2"/>
  <c r="G336" i="2"/>
  <c r="F336" i="2"/>
  <c r="H336" i="2" s="1"/>
  <c r="J336" i="2" s="1"/>
  <c r="K335" i="2"/>
  <c r="I335" i="2"/>
  <c r="G335" i="2"/>
  <c r="H335" i="2" s="1"/>
  <c r="J335" i="2" s="1"/>
  <c r="F335" i="2"/>
  <c r="K334" i="2"/>
  <c r="I334" i="2"/>
  <c r="H334" i="2"/>
  <c r="J334" i="2" s="1"/>
  <c r="G334" i="2"/>
  <c r="F334" i="2"/>
  <c r="K333" i="2"/>
  <c r="I333" i="2"/>
  <c r="G333" i="2"/>
  <c r="H333" i="2" s="1"/>
  <c r="J333" i="2" s="1"/>
  <c r="F333" i="2"/>
  <c r="K332" i="2"/>
  <c r="J332" i="2"/>
  <c r="I332" i="2"/>
  <c r="H332" i="2"/>
  <c r="G332" i="2"/>
  <c r="F332" i="2"/>
  <c r="K331" i="2"/>
  <c r="I331" i="2"/>
  <c r="G331" i="2"/>
  <c r="F331" i="2"/>
  <c r="H331" i="2" s="1"/>
  <c r="J331" i="2" s="1"/>
  <c r="K330" i="2"/>
  <c r="I330" i="2"/>
  <c r="G330" i="2"/>
  <c r="F330" i="2"/>
  <c r="H330" i="2" s="1"/>
  <c r="J330" i="2" s="1"/>
  <c r="K329" i="2"/>
  <c r="I329" i="2"/>
  <c r="G329" i="2"/>
  <c r="F329" i="2"/>
  <c r="H329" i="2" s="1"/>
  <c r="J329" i="2" s="1"/>
  <c r="K328" i="2"/>
  <c r="I328" i="2"/>
  <c r="G328" i="2"/>
  <c r="F328" i="2"/>
  <c r="H328" i="2" s="1"/>
  <c r="J328" i="2" s="1"/>
  <c r="K327" i="2"/>
  <c r="I327" i="2"/>
  <c r="G327" i="2"/>
  <c r="F327" i="2"/>
  <c r="H327" i="2" s="1"/>
  <c r="J327" i="2" s="1"/>
  <c r="K326" i="2"/>
  <c r="I326" i="2"/>
  <c r="G326" i="2"/>
  <c r="F326" i="2"/>
  <c r="K325" i="2"/>
  <c r="I325" i="2"/>
  <c r="G325" i="2"/>
  <c r="F325" i="2"/>
  <c r="H325" i="2" s="1"/>
  <c r="J325" i="2" s="1"/>
  <c r="K324" i="2"/>
  <c r="I324" i="2"/>
  <c r="G324" i="2"/>
  <c r="F324" i="2"/>
  <c r="H324" i="2" s="1"/>
  <c r="J324" i="2" s="1"/>
  <c r="K323" i="2"/>
  <c r="I323" i="2"/>
  <c r="G323" i="2"/>
  <c r="F323" i="2"/>
  <c r="H323" i="2" s="1"/>
  <c r="J323" i="2" s="1"/>
  <c r="K322" i="2"/>
  <c r="I322" i="2"/>
  <c r="G322" i="2"/>
  <c r="F322" i="2"/>
  <c r="H322" i="2" s="1"/>
  <c r="J322" i="2" s="1"/>
  <c r="K321" i="2"/>
  <c r="I321" i="2"/>
  <c r="H321" i="2"/>
  <c r="J321" i="2" s="1"/>
  <c r="G321" i="2"/>
  <c r="F321" i="2"/>
  <c r="K320" i="2"/>
  <c r="I320" i="2"/>
  <c r="G320" i="2"/>
  <c r="H320" i="2" s="1"/>
  <c r="J320" i="2" s="1"/>
  <c r="F320" i="2"/>
  <c r="K319" i="2"/>
  <c r="I319" i="2"/>
  <c r="G319" i="2"/>
  <c r="F319" i="2"/>
  <c r="H319" i="2" s="1"/>
  <c r="J319" i="2" s="1"/>
  <c r="K318" i="2"/>
  <c r="I318" i="2"/>
  <c r="J318" i="2" s="1"/>
  <c r="H318" i="2"/>
  <c r="G318" i="2"/>
  <c r="F318" i="2"/>
  <c r="K317" i="2"/>
  <c r="I317" i="2"/>
  <c r="G317" i="2"/>
  <c r="F317" i="2"/>
  <c r="H317" i="2" s="1"/>
  <c r="J317" i="2" s="1"/>
  <c r="K316" i="2"/>
  <c r="I316" i="2"/>
  <c r="G316" i="2"/>
  <c r="F316" i="2"/>
  <c r="H316" i="2" s="1"/>
  <c r="K315" i="2"/>
  <c r="J315" i="2"/>
  <c r="I315" i="2"/>
  <c r="H315" i="2"/>
  <c r="G315" i="2"/>
  <c r="F315" i="2"/>
  <c r="K314" i="2"/>
  <c r="J314" i="2"/>
  <c r="I314" i="2"/>
  <c r="G314" i="2"/>
  <c r="F314" i="2"/>
  <c r="H314" i="2" s="1"/>
  <c r="K313" i="2"/>
  <c r="I313" i="2"/>
  <c r="G313" i="2"/>
  <c r="F313" i="2"/>
  <c r="H313" i="2" s="1"/>
  <c r="J313" i="2" s="1"/>
  <c r="K312" i="2"/>
  <c r="I312" i="2"/>
  <c r="G312" i="2"/>
  <c r="F312" i="2"/>
  <c r="H312" i="2" s="1"/>
  <c r="J312" i="2" s="1"/>
  <c r="K311" i="2"/>
  <c r="J311" i="2"/>
  <c r="I311" i="2"/>
  <c r="H311" i="2"/>
  <c r="G311" i="2"/>
  <c r="F311" i="2"/>
  <c r="K310" i="2"/>
  <c r="I310" i="2"/>
  <c r="G310" i="2"/>
  <c r="H310" i="2" s="1"/>
  <c r="F310" i="2"/>
  <c r="K309" i="2"/>
  <c r="I309" i="2"/>
  <c r="G309" i="2"/>
  <c r="F309" i="2"/>
  <c r="H309" i="2" s="1"/>
  <c r="J309" i="2" s="1"/>
  <c r="K308" i="2"/>
  <c r="I308" i="2"/>
  <c r="G308" i="2"/>
  <c r="F308" i="2"/>
  <c r="H308" i="2" s="1"/>
  <c r="K307" i="2"/>
  <c r="I307" i="2"/>
  <c r="H307" i="2"/>
  <c r="J307" i="2" s="1"/>
  <c r="G307" i="2"/>
  <c r="F307" i="2"/>
  <c r="K306" i="2"/>
  <c r="I306" i="2"/>
  <c r="H306" i="2"/>
  <c r="J306" i="2" s="1"/>
  <c r="G306" i="2"/>
  <c r="F306" i="2"/>
  <c r="K305" i="2"/>
  <c r="I305" i="2"/>
  <c r="G305" i="2"/>
  <c r="H305" i="2" s="1"/>
  <c r="J305" i="2" s="1"/>
  <c r="F305" i="2"/>
  <c r="K304" i="2"/>
  <c r="I304" i="2"/>
  <c r="G304" i="2"/>
  <c r="F304" i="2"/>
  <c r="H304" i="2" s="1"/>
  <c r="J304" i="2" s="1"/>
  <c r="K303" i="2"/>
  <c r="I303" i="2"/>
  <c r="G303" i="2"/>
  <c r="F303" i="2"/>
  <c r="H303" i="2" s="1"/>
  <c r="J303" i="2" s="1"/>
  <c r="K302" i="2"/>
  <c r="I302" i="2"/>
  <c r="H302" i="2"/>
  <c r="J302" i="2" s="1"/>
  <c r="G302" i="2"/>
  <c r="F302" i="2"/>
  <c r="K301" i="2"/>
  <c r="I301" i="2"/>
  <c r="G301" i="2"/>
  <c r="H301" i="2" s="1"/>
  <c r="J301" i="2" s="1"/>
  <c r="F301" i="2"/>
  <c r="K300" i="2"/>
  <c r="J300" i="2"/>
  <c r="I300" i="2"/>
  <c r="H300" i="2"/>
  <c r="G300" i="2"/>
  <c r="F300" i="2"/>
  <c r="K299" i="2"/>
  <c r="I299" i="2"/>
  <c r="G299" i="2"/>
  <c r="H299" i="2" s="1"/>
  <c r="J299" i="2" s="1"/>
  <c r="F299" i="2"/>
  <c r="K298" i="2"/>
  <c r="I298" i="2"/>
  <c r="H298" i="2"/>
  <c r="J298" i="2" s="1"/>
  <c r="G298" i="2"/>
  <c r="F298" i="2"/>
  <c r="K297" i="2"/>
  <c r="I297" i="2"/>
  <c r="G297" i="2"/>
  <c r="F297" i="2"/>
  <c r="H297" i="2" s="1"/>
  <c r="J297" i="2" s="1"/>
  <c r="K296" i="2"/>
  <c r="I296" i="2"/>
  <c r="G296" i="2"/>
  <c r="F296" i="2"/>
  <c r="H296" i="2" s="1"/>
  <c r="J296" i="2" s="1"/>
  <c r="K295" i="2"/>
  <c r="I295" i="2"/>
  <c r="G295" i="2"/>
  <c r="F295" i="2"/>
  <c r="H295" i="2" s="1"/>
  <c r="J295" i="2" s="1"/>
  <c r="K294" i="2"/>
  <c r="I294" i="2"/>
  <c r="G294" i="2"/>
  <c r="F294" i="2"/>
  <c r="K293" i="2"/>
  <c r="I293" i="2"/>
  <c r="G293" i="2"/>
  <c r="F293" i="2"/>
  <c r="H293" i="2" s="1"/>
  <c r="J293" i="2" s="1"/>
  <c r="K292" i="2"/>
  <c r="I292" i="2"/>
  <c r="G292" i="2"/>
  <c r="F292" i="2"/>
  <c r="H292" i="2" s="1"/>
  <c r="J292" i="2" s="1"/>
  <c r="K291" i="2"/>
  <c r="I291" i="2"/>
  <c r="G291" i="2"/>
  <c r="F291" i="2"/>
  <c r="H291" i="2" s="1"/>
  <c r="J291" i="2" s="1"/>
  <c r="K290" i="2"/>
  <c r="I290" i="2"/>
  <c r="G290" i="2"/>
  <c r="F290" i="2"/>
  <c r="K289" i="2"/>
  <c r="I289" i="2"/>
  <c r="H289" i="2"/>
  <c r="J289" i="2" s="1"/>
  <c r="G289" i="2"/>
  <c r="F289" i="2"/>
  <c r="K288" i="2"/>
  <c r="I288" i="2"/>
  <c r="G288" i="2"/>
  <c r="H288" i="2" s="1"/>
  <c r="J288" i="2" s="1"/>
  <c r="F288" i="2"/>
  <c r="K287" i="2"/>
  <c r="I287" i="2"/>
  <c r="H287" i="2"/>
  <c r="J287" i="2" s="1"/>
  <c r="G287" i="2"/>
  <c r="F287" i="2"/>
  <c r="K286" i="2"/>
  <c r="I286" i="2"/>
  <c r="J286" i="2" s="1"/>
  <c r="H286" i="2"/>
  <c r="G286" i="2"/>
  <c r="F286" i="2"/>
  <c r="K285" i="2"/>
  <c r="J285" i="2"/>
  <c r="I285" i="2"/>
  <c r="H285" i="2"/>
  <c r="G285" i="2"/>
  <c r="F285" i="2"/>
  <c r="K284" i="2"/>
  <c r="I284" i="2"/>
  <c r="G284" i="2"/>
  <c r="F284" i="2"/>
  <c r="H284" i="2" s="1"/>
  <c r="J284" i="2" s="1"/>
  <c r="K283" i="2"/>
  <c r="J283" i="2"/>
  <c r="I283" i="2"/>
  <c r="H283" i="2"/>
  <c r="G283" i="2"/>
  <c r="F283" i="2"/>
  <c r="K282" i="2"/>
  <c r="I282" i="2"/>
  <c r="G282" i="2"/>
  <c r="F282" i="2"/>
  <c r="H282" i="2" s="1"/>
  <c r="J282" i="2" s="1"/>
  <c r="K281" i="2"/>
  <c r="I281" i="2"/>
  <c r="H281" i="2"/>
  <c r="J281" i="2" s="1"/>
  <c r="G281" i="2"/>
  <c r="F281" i="2"/>
  <c r="K280" i="2"/>
  <c r="I280" i="2"/>
  <c r="G280" i="2"/>
  <c r="F280" i="2"/>
  <c r="H280" i="2" s="1"/>
  <c r="J280" i="2" s="1"/>
  <c r="K279" i="2"/>
  <c r="J279" i="2"/>
  <c r="I279" i="2"/>
  <c r="H279" i="2"/>
  <c r="G279" i="2"/>
  <c r="F279" i="2"/>
  <c r="K278" i="2"/>
  <c r="I278" i="2"/>
  <c r="G278" i="2"/>
  <c r="H278" i="2" s="1"/>
  <c r="J278" i="2" s="1"/>
  <c r="F278" i="2"/>
  <c r="K277" i="2"/>
  <c r="I277" i="2"/>
  <c r="G277" i="2"/>
  <c r="F277" i="2"/>
  <c r="K276" i="2"/>
  <c r="I276" i="2"/>
  <c r="G276" i="2"/>
  <c r="F276" i="2"/>
  <c r="H276" i="2" s="1"/>
  <c r="J276" i="2" s="1"/>
  <c r="K275" i="2"/>
  <c r="I275" i="2"/>
  <c r="G275" i="2"/>
  <c r="F275" i="2"/>
  <c r="H275" i="2" s="1"/>
  <c r="J275" i="2" s="1"/>
  <c r="K274" i="2"/>
  <c r="I274" i="2"/>
  <c r="G274" i="2"/>
  <c r="F274" i="2"/>
  <c r="H274" i="2" s="1"/>
  <c r="J274" i="2" s="1"/>
  <c r="K273" i="2"/>
  <c r="I273" i="2"/>
  <c r="G273" i="2"/>
  <c r="H273" i="2" s="1"/>
  <c r="J273" i="2" s="1"/>
  <c r="F273" i="2"/>
  <c r="K272" i="2"/>
  <c r="I272" i="2"/>
  <c r="G272" i="2"/>
  <c r="F272" i="2"/>
  <c r="K271" i="2"/>
  <c r="I271" i="2"/>
  <c r="G271" i="2"/>
  <c r="F271" i="2"/>
  <c r="H271" i="2" s="1"/>
  <c r="J271" i="2" s="1"/>
  <c r="K270" i="2"/>
  <c r="I270" i="2"/>
  <c r="H270" i="2"/>
  <c r="J270" i="2" s="1"/>
  <c r="G270" i="2"/>
  <c r="F270" i="2"/>
  <c r="K269" i="2"/>
  <c r="I269" i="2"/>
  <c r="G269" i="2"/>
  <c r="H269" i="2" s="1"/>
  <c r="J269" i="2" s="1"/>
  <c r="F269" i="2"/>
  <c r="K268" i="2"/>
  <c r="I268" i="2"/>
  <c r="H268" i="2"/>
  <c r="J268" i="2" s="1"/>
  <c r="G268" i="2"/>
  <c r="F268" i="2"/>
  <c r="K267" i="2"/>
  <c r="I267" i="2"/>
  <c r="G267" i="2"/>
  <c r="H267" i="2" s="1"/>
  <c r="F267" i="2"/>
  <c r="K266" i="2"/>
  <c r="I266" i="2"/>
  <c r="H266" i="2"/>
  <c r="G266" i="2"/>
  <c r="F266" i="2"/>
  <c r="K265" i="2"/>
  <c r="J265" i="2"/>
  <c r="I265" i="2"/>
  <c r="H265" i="2"/>
  <c r="G265" i="2"/>
  <c r="F265" i="2"/>
  <c r="K264" i="2"/>
  <c r="I264" i="2"/>
  <c r="G264" i="2"/>
  <c r="F264" i="2"/>
  <c r="H264" i="2" s="1"/>
  <c r="J264" i="2" s="1"/>
  <c r="K263" i="2"/>
  <c r="I263" i="2"/>
  <c r="G263" i="2"/>
  <c r="F263" i="2"/>
  <c r="H263" i="2" s="1"/>
  <c r="J263" i="2" s="1"/>
  <c r="K262" i="2"/>
  <c r="I262" i="2"/>
  <c r="G262" i="2"/>
  <c r="H262" i="2" s="1"/>
  <c r="J262" i="2" s="1"/>
  <c r="F262" i="2"/>
  <c r="K261" i="2"/>
  <c r="I261" i="2"/>
  <c r="G261" i="2"/>
  <c r="F261" i="2"/>
  <c r="H261" i="2" s="1"/>
  <c r="J261" i="2" s="1"/>
  <c r="K260" i="2"/>
  <c r="I260" i="2"/>
  <c r="G260" i="2"/>
  <c r="H260" i="2" s="1"/>
  <c r="J260" i="2" s="1"/>
  <c r="F260" i="2"/>
  <c r="K259" i="2"/>
  <c r="I259" i="2"/>
  <c r="H259" i="2"/>
  <c r="J259" i="2" s="1"/>
  <c r="G259" i="2"/>
  <c r="F259" i="2"/>
  <c r="K258" i="2"/>
  <c r="I258" i="2"/>
  <c r="G258" i="2"/>
  <c r="F258" i="2"/>
  <c r="H258" i="2" s="1"/>
  <c r="J258" i="2" s="1"/>
  <c r="K257" i="2"/>
  <c r="I257" i="2"/>
  <c r="H257" i="2"/>
  <c r="J257" i="2" s="1"/>
  <c r="G257" i="2"/>
  <c r="F257" i="2"/>
  <c r="K256" i="2"/>
  <c r="I256" i="2"/>
  <c r="H256" i="2"/>
  <c r="J256" i="2" s="1"/>
  <c r="G256" i="2"/>
  <c r="F256" i="2"/>
  <c r="K255" i="2"/>
  <c r="I255" i="2"/>
  <c r="G255" i="2"/>
  <c r="H255" i="2" s="1"/>
  <c r="J255" i="2" s="1"/>
  <c r="F255" i="2"/>
  <c r="K254" i="2"/>
  <c r="I254" i="2"/>
  <c r="J254" i="2" s="1"/>
  <c r="H254" i="2"/>
  <c r="G254" i="2"/>
  <c r="F254" i="2"/>
  <c r="K253" i="2"/>
  <c r="I253" i="2"/>
  <c r="H253" i="2"/>
  <c r="J253" i="2" s="1"/>
  <c r="G253" i="2"/>
  <c r="F253" i="2"/>
  <c r="K252" i="2"/>
  <c r="I252" i="2"/>
  <c r="H252" i="2"/>
  <c r="G252" i="2"/>
  <c r="F252" i="2"/>
  <c r="K251" i="2"/>
  <c r="J251" i="2"/>
  <c r="I251" i="2"/>
  <c r="H251" i="2"/>
  <c r="G251" i="2"/>
  <c r="F251" i="2"/>
  <c r="K250" i="2"/>
  <c r="I250" i="2"/>
  <c r="G250" i="2"/>
  <c r="H250" i="2" s="1"/>
  <c r="J250" i="2" s="1"/>
  <c r="F250" i="2"/>
  <c r="K249" i="2"/>
  <c r="I249" i="2"/>
  <c r="G249" i="2"/>
  <c r="H249" i="2" s="1"/>
  <c r="J249" i="2" s="1"/>
  <c r="F249" i="2"/>
  <c r="K248" i="2"/>
  <c r="I248" i="2"/>
  <c r="G248" i="2"/>
  <c r="F248" i="2"/>
  <c r="H248" i="2" s="1"/>
  <c r="J248" i="2" s="1"/>
  <c r="K247" i="2"/>
  <c r="J247" i="2"/>
  <c r="I247" i="2"/>
  <c r="H247" i="2"/>
  <c r="G247" i="2"/>
  <c r="F247" i="2"/>
  <c r="K246" i="2"/>
  <c r="I246" i="2"/>
  <c r="G246" i="2"/>
  <c r="H246" i="2" s="1"/>
  <c r="J246" i="2" s="1"/>
  <c r="F246" i="2"/>
  <c r="K245" i="2"/>
  <c r="I245" i="2"/>
  <c r="G245" i="2"/>
  <c r="F245" i="2"/>
  <c r="H245" i="2" s="1"/>
  <c r="J245" i="2" s="1"/>
  <c r="K244" i="2"/>
  <c r="I244" i="2"/>
  <c r="G244" i="2"/>
  <c r="F244" i="2"/>
  <c r="H244" i="2" s="1"/>
  <c r="J244" i="2" s="1"/>
  <c r="K243" i="2"/>
  <c r="I243" i="2"/>
  <c r="H243" i="2"/>
  <c r="J243" i="2" s="1"/>
  <c r="G243" i="2"/>
  <c r="F243" i="2"/>
  <c r="K242" i="2"/>
  <c r="I242" i="2"/>
  <c r="H242" i="2"/>
  <c r="J242" i="2" s="1"/>
  <c r="G242" i="2"/>
  <c r="F242" i="2"/>
  <c r="K241" i="2"/>
  <c r="I241" i="2"/>
  <c r="G241" i="2"/>
  <c r="H241" i="2" s="1"/>
  <c r="J241" i="2" s="1"/>
  <c r="F241" i="2"/>
  <c r="K240" i="2"/>
  <c r="I240" i="2"/>
  <c r="G240" i="2"/>
  <c r="F240" i="2"/>
  <c r="K239" i="2"/>
  <c r="I239" i="2"/>
  <c r="G239" i="2"/>
  <c r="F239" i="2"/>
  <c r="H239" i="2" s="1"/>
  <c r="J239" i="2" s="1"/>
  <c r="K238" i="2"/>
  <c r="I238" i="2"/>
  <c r="H238" i="2"/>
  <c r="J238" i="2" s="1"/>
  <c r="G238" i="2"/>
  <c r="F238" i="2"/>
  <c r="K237" i="2"/>
  <c r="I237" i="2"/>
  <c r="H237" i="2"/>
  <c r="J237" i="2" s="1"/>
  <c r="G237" i="2"/>
  <c r="F237" i="2"/>
  <c r="K236" i="2"/>
  <c r="I236" i="2"/>
  <c r="G236" i="2"/>
  <c r="F236" i="2"/>
  <c r="H236" i="2" s="1"/>
  <c r="J236" i="2" s="1"/>
  <c r="K235" i="2"/>
  <c r="I235" i="2"/>
  <c r="J235" i="2" s="1"/>
  <c r="H235" i="2"/>
  <c r="G235" i="2"/>
  <c r="F235" i="2"/>
  <c r="K234" i="2"/>
  <c r="I234" i="2"/>
  <c r="H234" i="2"/>
  <c r="J234" i="2" s="1"/>
  <c r="G234" i="2"/>
  <c r="F234" i="2"/>
  <c r="K233" i="2"/>
  <c r="I233" i="2"/>
  <c r="G233" i="2"/>
  <c r="H233" i="2" s="1"/>
  <c r="J233" i="2" s="1"/>
  <c r="F233" i="2"/>
  <c r="K232" i="2"/>
  <c r="I232" i="2"/>
  <c r="G232" i="2"/>
  <c r="F232" i="2"/>
  <c r="H232" i="2" s="1"/>
  <c r="J232" i="2" s="1"/>
  <c r="K231" i="2"/>
  <c r="I231" i="2"/>
  <c r="G231" i="2"/>
  <c r="F231" i="2"/>
  <c r="K230" i="2"/>
  <c r="I230" i="2"/>
  <c r="G230" i="2"/>
  <c r="F230" i="2"/>
  <c r="H230" i="2" s="1"/>
  <c r="J230" i="2" s="1"/>
  <c r="K229" i="2"/>
  <c r="I229" i="2"/>
  <c r="G229" i="2"/>
  <c r="F229" i="2"/>
  <c r="H229" i="2" s="1"/>
  <c r="J229" i="2" s="1"/>
  <c r="K228" i="2"/>
  <c r="I228" i="2"/>
  <c r="G228" i="2"/>
  <c r="F228" i="2"/>
  <c r="H228" i="2" s="1"/>
  <c r="J228" i="2" s="1"/>
  <c r="K227" i="2"/>
  <c r="I227" i="2"/>
  <c r="G227" i="2"/>
  <c r="F227" i="2"/>
  <c r="H227" i="2" s="1"/>
  <c r="J227" i="2" s="1"/>
  <c r="K226" i="2"/>
  <c r="I226" i="2"/>
  <c r="G226" i="2"/>
  <c r="F226" i="2"/>
  <c r="K225" i="2"/>
  <c r="I225" i="2"/>
  <c r="G225" i="2"/>
  <c r="F225" i="2"/>
  <c r="H225" i="2" s="1"/>
  <c r="J225" i="2" s="1"/>
  <c r="K224" i="2"/>
  <c r="I224" i="2"/>
  <c r="G224" i="2"/>
  <c r="H224" i="2" s="1"/>
  <c r="J224" i="2" s="1"/>
  <c r="F224" i="2"/>
  <c r="K223" i="2"/>
  <c r="I223" i="2"/>
  <c r="H223" i="2"/>
  <c r="J223" i="2" s="1"/>
  <c r="G223" i="2"/>
  <c r="F223" i="2"/>
  <c r="K222" i="2"/>
  <c r="I222" i="2"/>
  <c r="H222" i="2"/>
  <c r="J222" i="2" s="1"/>
  <c r="G222" i="2"/>
  <c r="F222" i="2"/>
  <c r="K221" i="2"/>
  <c r="I221" i="2"/>
  <c r="G221" i="2"/>
  <c r="F221" i="2"/>
  <c r="H221" i="2" s="1"/>
  <c r="J221" i="2" s="1"/>
  <c r="K220" i="2"/>
  <c r="I220" i="2"/>
  <c r="H220" i="2"/>
  <c r="G220" i="2"/>
  <c r="F220" i="2"/>
  <c r="K219" i="2"/>
  <c r="I219" i="2"/>
  <c r="G219" i="2"/>
  <c r="F219" i="2"/>
  <c r="H219" i="2" s="1"/>
  <c r="J219" i="2" s="1"/>
  <c r="K218" i="2"/>
  <c r="J218" i="2"/>
  <c r="I218" i="2"/>
  <c r="G218" i="2"/>
  <c r="H218" i="2" s="1"/>
  <c r="F218" i="2"/>
  <c r="K217" i="2"/>
  <c r="I217" i="2"/>
  <c r="G217" i="2"/>
  <c r="F217" i="2"/>
  <c r="H217" i="2" s="1"/>
  <c r="J217" i="2" s="1"/>
  <c r="K216" i="2"/>
  <c r="I216" i="2"/>
  <c r="G216" i="2"/>
  <c r="F216" i="2"/>
  <c r="H216" i="2" s="1"/>
  <c r="J216" i="2" s="1"/>
  <c r="K215" i="2"/>
  <c r="J215" i="2"/>
  <c r="I215" i="2"/>
  <c r="H215" i="2"/>
  <c r="G215" i="2"/>
  <c r="F215" i="2"/>
  <c r="K214" i="2"/>
  <c r="I214" i="2"/>
  <c r="H214" i="2"/>
  <c r="J214" i="2" s="1"/>
  <c r="G214" i="2"/>
  <c r="F214" i="2"/>
  <c r="K213" i="2"/>
  <c r="J213" i="2"/>
  <c r="I213" i="2"/>
  <c r="H213" i="2"/>
  <c r="G213" i="2"/>
  <c r="F213" i="2"/>
  <c r="K212" i="2"/>
  <c r="I212" i="2"/>
  <c r="G212" i="2"/>
  <c r="F212" i="2"/>
  <c r="H212" i="2" s="1"/>
  <c r="J212" i="2" s="1"/>
  <c r="K211" i="2"/>
  <c r="I211" i="2"/>
  <c r="H211" i="2"/>
  <c r="J211" i="2" s="1"/>
  <c r="G211" i="2"/>
  <c r="F211" i="2"/>
  <c r="K210" i="2"/>
  <c r="I210" i="2"/>
  <c r="G210" i="2"/>
  <c r="F210" i="2"/>
  <c r="H210" i="2" s="1"/>
  <c r="J210" i="2" s="1"/>
  <c r="K209" i="2"/>
  <c r="J209" i="2"/>
  <c r="I209" i="2"/>
  <c r="G209" i="2"/>
  <c r="H209" i="2" s="1"/>
  <c r="F209" i="2"/>
  <c r="K208" i="2"/>
  <c r="I208" i="2"/>
  <c r="G208" i="2"/>
  <c r="F208" i="2"/>
  <c r="K207" i="2"/>
  <c r="I207" i="2"/>
  <c r="G207" i="2"/>
  <c r="F207" i="2"/>
  <c r="H207" i="2" s="1"/>
  <c r="J207" i="2" s="1"/>
  <c r="K206" i="2"/>
  <c r="I206" i="2"/>
  <c r="H206" i="2"/>
  <c r="J206" i="2" s="1"/>
  <c r="G206" i="2"/>
  <c r="F206" i="2"/>
  <c r="K205" i="2"/>
  <c r="I205" i="2"/>
  <c r="H205" i="2"/>
  <c r="J205" i="2" s="1"/>
  <c r="G205" i="2"/>
  <c r="F205" i="2"/>
  <c r="K204" i="2"/>
  <c r="J204" i="2"/>
  <c r="I204" i="2"/>
  <c r="H204" i="2"/>
  <c r="G204" i="2"/>
  <c r="F204" i="2"/>
  <c r="K203" i="2"/>
  <c r="I203" i="2"/>
  <c r="J203" i="2" s="1"/>
  <c r="H203" i="2"/>
  <c r="G203" i="2"/>
  <c r="F203" i="2"/>
  <c r="K202" i="2"/>
  <c r="I202" i="2"/>
  <c r="G202" i="2"/>
  <c r="F202" i="2"/>
  <c r="H202" i="2" s="1"/>
  <c r="J202" i="2" s="1"/>
  <c r="K201" i="2"/>
  <c r="J201" i="2"/>
  <c r="I201" i="2"/>
  <c r="H201" i="2"/>
  <c r="G201" i="2"/>
  <c r="F201" i="2"/>
  <c r="K200" i="2"/>
  <c r="J200" i="2"/>
  <c r="I200" i="2"/>
  <c r="G200" i="2"/>
  <c r="F200" i="2"/>
  <c r="H200" i="2" s="1"/>
  <c r="K199" i="2"/>
  <c r="I199" i="2"/>
  <c r="J199" i="2" s="1"/>
  <c r="G199" i="2"/>
  <c r="F199" i="2"/>
  <c r="H199" i="2" s="1"/>
  <c r="K198" i="2"/>
  <c r="J198" i="2"/>
  <c r="I198" i="2"/>
  <c r="H198" i="2"/>
  <c r="G198" i="2"/>
  <c r="F198" i="2"/>
  <c r="K197" i="2"/>
  <c r="I197" i="2"/>
  <c r="G197" i="2"/>
  <c r="F197" i="2"/>
  <c r="H197" i="2" s="1"/>
  <c r="J197" i="2" s="1"/>
  <c r="K196" i="2"/>
  <c r="J196" i="2"/>
  <c r="I196" i="2"/>
  <c r="H196" i="2"/>
  <c r="G196" i="2"/>
  <c r="F196" i="2"/>
  <c r="K195" i="2"/>
  <c r="I195" i="2"/>
  <c r="G195" i="2"/>
  <c r="H195" i="2" s="1"/>
  <c r="J195" i="2" s="1"/>
  <c r="F195" i="2"/>
  <c r="K194" i="2"/>
  <c r="I194" i="2"/>
  <c r="G194" i="2"/>
  <c r="F194" i="2"/>
  <c r="H194" i="2" s="1"/>
  <c r="J194" i="2" s="1"/>
  <c r="K193" i="2"/>
  <c r="I193" i="2"/>
  <c r="G193" i="2"/>
  <c r="H193" i="2" s="1"/>
  <c r="F193" i="2"/>
  <c r="K192" i="2"/>
  <c r="I192" i="2"/>
  <c r="G192" i="2"/>
  <c r="F192" i="2"/>
  <c r="H192" i="2" s="1"/>
  <c r="J192" i="2" s="1"/>
  <c r="K191" i="2"/>
  <c r="I191" i="2"/>
  <c r="H191" i="2"/>
  <c r="J191" i="2" s="1"/>
  <c r="G191" i="2"/>
  <c r="F191" i="2"/>
  <c r="K190" i="2"/>
  <c r="I190" i="2"/>
  <c r="G190" i="2"/>
  <c r="F190" i="2"/>
  <c r="H190" i="2" s="1"/>
  <c r="J190" i="2" s="1"/>
  <c r="K189" i="2"/>
  <c r="I189" i="2"/>
  <c r="G189" i="2"/>
  <c r="F189" i="2"/>
  <c r="H189" i="2" s="1"/>
  <c r="J189" i="2" s="1"/>
  <c r="K188" i="2"/>
  <c r="I188" i="2"/>
  <c r="G188" i="2"/>
  <c r="H188" i="2" s="1"/>
  <c r="J188" i="2" s="1"/>
  <c r="F188" i="2"/>
  <c r="K187" i="2"/>
  <c r="I187" i="2"/>
  <c r="H187" i="2"/>
  <c r="J187" i="2" s="1"/>
  <c r="G187" i="2"/>
  <c r="F187" i="2"/>
  <c r="K186" i="2"/>
  <c r="I186" i="2"/>
  <c r="H186" i="2"/>
  <c r="J186" i="2" s="1"/>
  <c r="G186" i="2"/>
  <c r="F186" i="2"/>
  <c r="K185" i="2"/>
  <c r="I185" i="2"/>
  <c r="G185" i="2"/>
  <c r="F185" i="2"/>
  <c r="H185" i="2" s="1"/>
  <c r="J185" i="2" s="1"/>
  <c r="K184" i="2"/>
  <c r="I184" i="2"/>
  <c r="H184" i="2"/>
  <c r="J184" i="2" s="1"/>
  <c r="G184" i="2"/>
  <c r="F184" i="2"/>
  <c r="K183" i="2"/>
  <c r="I183" i="2"/>
  <c r="H183" i="2"/>
  <c r="J183" i="2" s="1"/>
  <c r="G183" i="2"/>
  <c r="F183" i="2"/>
  <c r="K182" i="2"/>
  <c r="I182" i="2"/>
  <c r="J182" i="2" s="1"/>
  <c r="H182" i="2"/>
  <c r="G182" i="2"/>
  <c r="F182" i="2"/>
  <c r="K181" i="2"/>
  <c r="J181" i="2"/>
  <c r="I181" i="2"/>
  <c r="H181" i="2"/>
  <c r="G181" i="2"/>
  <c r="F181" i="2"/>
  <c r="K180" i="2"/>
  <c r="I180" i="2"/>
  <c r="J180" i="2" s="1"/>
  <c r="H180" i="2"/>
  <c r="G180" i="2"/>
  <c r="F180" i="2"/>
  <c r="K179" i="2"/>
  <c r="I179" i="2"/>
  <c r="G179" i="2"/>
  <c r="F179" i="2"/>
  <c r="H179" i="2" s="1"/>
  <c r="J179" i="2" s="1"/>
  <c r="K178" i="2"/>
  <c r="I178" i="2"/>
  <c r="G178" i="2"/>
  <c r="H178" i="2" s="1"/>
  <c r="J178" i="2" s="1"/>
  <c r="F178" i="2"/>
  <c r="K177" i="2"/>
  <c r="I177" i="2"/>
  <c r="G177" i="2"/>
  <c r="H177" i="2" s="1"/>
  <c r="J177" i="2" s="1"/>
  <c r="F177" i="2"/>
  <c r="K176" i="2"/>
  <c r="I176" i="2"/>
  <c r="G176" i="2"/>
  <c r="F176" i="2"/>
  <c r="K175" i="2"/>
  <c r="I175" i="2"/>
  <c r="H175" i="2"/>
  <c r="J175" i="2" s="1"/>
  <c r="G175" i="2"/>
  <c r="F175" i="2"/>
  <c r="K174" i="2"/>
  <c r="J174" i="2"/>
  <c r="I174" i="2"/>
  <c r="H174" i="2"/>
  <c r="G174" i="2"/>
  <c r="F174" i="2"/>
  <c r="K173" i="2"/>
  <c r="I173" i="2"/>
  <c r="H173" i="2"/>
  <c r="J173" i="2" s="1"/>
  <c r="G173" i="2"/>
  <c r="F173" i="2"/>
  <c r="K172" i="2"/>
  <c r="I172" i="2"/>
  <c r="H172" i="2"/>
  <c r="J172" i="2" s="1"/>
  <c r="G172" i="2"/>
  <c r="F172" i="2"/>
  <c r="K171" i="2"/>
  <c r="I171" i="2"/>
  <c r="J171" i="2" s="1"/>
  <c r="H171" i="2"/>
  <c r="G171" i="2"/>
  <c r="F171" i="2"/>
  <c r="K170" i="2"/>
  <c r="I170" i="2"/>
  <c r="G170" i="2"/>
  <c r="F170" i="2"/>
  <c r="H170" i="2" s="1"/>
  <c r="J170" i="2" s="1"/>
  <c r="K169" i="2"/>
  <c r="I169" i="2"/>
  <c r="G169" i="2"/>
  <c r="H169" i="2" s="1"/>
  <c r="J169" i="2" s="1"/>
  <c r="F169" i="2"/>
  <c r="K168" i="2"/>
  <c r="I168" i="2"/>
  <c r="G168" i="2"/>
  <c r="F168" i="2"/>
  <c r="H168" i="2" s="1"/>
  <c r="J168" i="2" s="1"/>
  <c r="K167" i="2"/>
  <c r="I167" i="2"/>
  <c r="G167" i="2"/>
  <c r="F167" i="2"/>
  <c r="H167" i="2" s="1"/>
  <c r="J167" i="2" s="1"/>
  <c r="K166" i="2"/>
  <c r="I166" i="2"/>
  <c r="G166" i="2"/>
  <c r="F166" i="2"/>
  <c r="H166" i="2" s="1"/>
  <c r="J166" i="2" s="1"/>
  <c r="K165" i="2"/>
  <c r="I165" i="2"/>
  <c r="G165" i="2"/>
  <c r="F165" i="2"/>
  <c r="K164" i="2"/>
  <c r="I164" i="2"/>
  <c r="G164" i="2"/>
  <c r="H164" i="2" s="1"/>
  <c r="J164" i="2" s="1"/>
  <c r="F164" i="2"/>
  <c r="K163" i="2"/>
  <c r="I163" i="2"/>
  <c r="G163" i="2"/>
  <c r="H163" i="2" s="1"/>
  <c r="J163" i="2" s="1"/>
  <c r="F163" i="2"/>
  <c r="K162" i="2"/>
  <c r="I162" i="2"/>
  <c r="H162" i="2"/>
  <c r="J162" i="2" s="1"/>
  <c r="G162" i="2"/>
  <c r="F162" i="2"/>
  <c r="K161" i="2"/>
  <c r="I161" i="2"/>
  <c r="G161" i="2"/>
  <c r="F161" i="2"/>
  <c r="H161" i="2" s="1"/>
  <c r="J161" i="2" s="1"/>
  <c r="K160" i="2"/>
  <c r="I160" i="2"/>
  <c r="G160" i="2"/>
  <c r="F160" i="2"/>
  <c r="H160" i="2" s="1"/>
  <c r="J160" i="2" s="1"/>
  <c r="K159" i="2"/>
  <c r="I159" i="2"/>
  <c r="G159" i="2"/>
  <c r="F159" i="2"/>
  <c r="H159" i="2" s="1"/>
  <c r="J159" i="2" s="1"/>
  <c r="K158" i="2"/>
  <c r="I158" i="2"/>
  <c r="G158" i="2"/>
  <c r="F158" i="2"/>
  <c r="H158" i="2" s="1"/>
  <c r="J158" i="2" s="1"/>
  <c r="K157" i="2"/>
  <c r="J157" i="2"/>
  <c r="I157" i="2"/>
  <c r="H157" i="2"/>
  <c r="G157" i="2"/>
  <c r="F157" i="2"/>
  <c r="K156" i="2"/>
  <c r="I156" i="2"/>
  <c r="G156" i="2"/>
  <c r="F156" i="2"/>
  <c r="H156" i="2" s="1"/>
  <c r="J156" i="2" s="1"/>
  <c r="K155" i="2"/>
  <c r="I155" i="2"/>
  <c r="G155" i="2"/>
  <c r="F155" i="2"/>
  <c r="H155" i="2" s="1"/>
  <c r="J155" i="2" s="1"/>
  <c r="K154" i="2"/>
  <c r="J154" i="2"/>
  <c r="I154" i="2"/>
  <c r="H154" i="2"/>
  <c r="G154" i="2"/>
  <c r="F154" i="2"/>
  <c r="K153" i="2"/>
  <c r="I153" i="2"/>
  <c r="G153" i="2"/>
  <c r="H153" i="2" s="1"/>
  <c r="J153" i="2" s="1"/>
  <c r="F153" i="2"/>
  <c r="K152" i="2"/>
  <c r="J152" i="2"/>
  <c r="I152" i="2"/>
  <c r="H152" i="2"/>
  <c r="G152" i="2"/>
  <c r="F152" i="2"/>
  <c r="K151" i="2"/>
  <c r="I151" i="2"/>
  <c r="G151" i="2"/>
  <c r="F151" i="2"/>
  <c r="K150" i="2"/>
  <c r="I150" i="2"/>
  <c r="H150" i="2"/>
  <c r="J150" i="2" s="1"/>
  <c r="G150" i="2"/>
  <c r="F150" i="2"/>
  <c r="K149" i="2"/>
  <c r="I149" i="2"/>
  <c r="G149" i="2"/>
  <c r="H149" i="2" s="1"/>
  <c r="J149" i="2" s="1"/>
  <c r="F149" i="2"/>
  <c r="K148" i="2"/>
  <c r="I148" i="2"/>
  <c r="G148" i="2"/>
  <c r="F148" i="2"/>
  <c r="H148" i="2" s="1"/>
  <c r="J148" i="2" s="1"/>
  <c r="K147" i="2"/>
  <c r="J147" i="2"/>
  <c r="I147" i="2"/>
  <c r="H147" i="2"/>
  <c r="G147" i="2"/>
  <c r="F147" i="2"/>
  <c r="K146" i="2"/>
  <c r="I146" i="2"/>
  <c r="G146" i="2"/>
  <c r="F146" i="2"/>
  <c r="H146" i="2" s="1"/>
  <c r="J146" i="2" s="1"/>
  <c r="K145" i="2"/>
  <c r="I145" i="2"/>
  <c r="G145" i="2"/>
  <c r="H145" i="2" s="1"/>
  <c r="J145" i="2" s="1"/>
  <c r="F145" i="2"/>
  <c r="K144" i="2"/>
  <c r="J144" i="2"/>
  <c r="I144" i="2"/>
  <c r="H144" i="2"/>
  <c r="G144" i="2"/>
  <c r="F144" i="2"/>
  <c r="K143" i="2"/>
  <c r="I143" i="2"/>
  <c r="G143" i="2"/>
  <c r="F143" i="2"/>
  <c r="H143" i="2" s="1"/>
  <c r="J143" i="2" s="1"/>
  <c r="K142" i="2"/>
  <c r="I142" i="2"/>
  <c r="J142" i="2" s="1"/>
  <c r="H142" i="2"/>
  <c r="G142" i="2"/>
  <c r="F142" i="2"/>
  <c r="K141" i="2"/>
  <c r="I141" i="2"/>
  <c r="G141" i="2"/>
  <c r="H141" i="2" s="1"/>
  <c r="F141" i="2"/>
  <c r="K140" i="2"/>
  <c r="I140" i="2"/>
  <c r="G140" i="2"/>
  <c r="F140" i="2"/>
  <c r="H140" i="2" s="1"/>
  <c r="J140" i="2" s="1"/>
  <c r="K139" i="2"/>
  <c r="I139" i="2"/>
  <c r="J139" i="2" s="1"/>
  <c r="H139" i="2"/>
  <c r="G139" i="2"/>
  <c r="F139" i="2"/>
  <c r="K138" i="2"/>
  <c r="J138" i="2"/>
  <c r="I138" i="2"/>
  <c r="H138" i="2"/>
  <c r="G138" i="2"/>
  <c r="F138" i="2"/>
  <c r="K137" i="2"/>
  <c r="I137" i="2"/>
  <c r="G137" i="2"/>
  <c r="F137" i="2"/>
  <c r="H137" i="2" s="1"/>
  <c r="J137" i="2" s="1"/>
  <c r="K136" i="2"/>
  <c r="J136" i="2"/>
  <c r="I136" i="2"/>
  <c r="G136" i="2"/>
  <c r="F136" i="2"/>
  <c r="H136" i="2" s="1"/>
  <c r="K135" i="2"/>
  <c r="I135" i="2"/>
  <c r="G135" i="2"/>
  <c r="F135" i="2"/>
  <c r="K134" i="2"/>
  <c r="I134" i="2"/>
  <c r="G134" i="2"/>
  <c r="F134" i="2"/>
  <c r="H134" i="2" s="1"/>
  <c r="J134" i="2" s="1"/>
  <c r="K133" i="2"/>
  <c r="I133" i="2"/>
  <c r="G133" i="2"/>
  <c r="F133" i="2"/>
  <c r="K132" i="2"/>
  <c r="I132" i="2"/>
  <c r="H132" i="2"/>
  <c r="J132" i="2" s="1"/>
  <c r="G132" i="2"/>
  <c r="F132" i="2"/>
  <c r="K131" i="2"/>
  <c r="I131" i="2"/>
  <c r="H131" i="2"/>
  <c r="J131" i="2" s="1"/>
  <c r="G131" i="2"/>
  <c r="F131" i="2"/>
  <c r="K130" i="2"/>
  <c r="I130" i="2"/>
  <c r="G130" i="2"/>
  <c r="H130" i="2" s="1"/>
  <c r="J130" i="2" s="1"/>
  <c r="F130" i="2"/>
  <c r="K129" i="2"/>
  <c r="I129" i="2"/>
  <c r="G129" i="2"/>
  <c r="F129" i="2"/>
  <c r="H129" i="2" s="1"/>
  <c r="J129" i="2" s="1"/>
  <c r="K128" i="2"/>
  <c r="I128" i="2"/>
  <c r="G128" i="2"/>
  <c r="H128" i="2" s="1"/>
  <c r="J128" i="2" s="1"/>
  <c r="F128" i="2"/>
  <c r="K127" i="2"/>
  <c r="I127" i="2"/>
  <c r="G127" i="2"/>
  <c r="F127" i="2"/>
  <c r="H127" i="2" s="1"/>
  <c r="J127" i="2" s="1"/>
  <c r="K126" i="2"/>
  <c r="I126" i="2"/>
  <c r="G126" i="2"/>
  <c r="F126" i="2"/>
  <c r="H126" i="2" s="1"/>
  <c r="J126" i="2" s="1"/>
  <c r="K125" i="2"/>
  <c r="I125" i="2"/>
  <c r="G125" i="2"/>
  <c r="F125" i="2"/>
  <c r="H125" i="2" s="1"/>
  <c r="J125" i="2" s="1"/>
  <c r="K124" i="2"/>
  <c r="J124" i="2"/>
  <c r="I124" i="2"/>
  <c r="H124" i="2"/>
  <c r="G124" i="2"/>
  <c r="F124" i="2"/>
  <c r="K123" i="2"/>
  <c r="I123" i="2"/>
  <c r="G123" i="2"/>
  <c r="F123" i="2"/>
  <c r="H123" i="2" s="1"/>
  <c r="J123" i="2" s="1"/>
  <c r="K122" i="2"/>
  <c r="I122" i="2"/>
  <c r="H122" i="2"/>
  <c r="J122" i="2" s="1"/>
  <c r="G122" i="2"/>
  <c r="F122" i="2"/>
  <c r="K121" i="2"/>
  <c r="I121" i="2"/>
  <c r="G121" i="2"/>
  <c r="H121" i="2" s="1"/>
  <c r="J121" i="2" s="1"/>
  <c r="F121" i="2"/>
  <c r="K120" i="2"/>
  <c r="I120" i="2"/>
  <c r="G120" i="2"/>
  <c r="F120" i="2"/>
  <c r="H120" i="2" s="1"/>
  <c r="J120" i="2" s="1"/>
  <c r="K119" i="2"/>
  <c r="J119" i="2"/>
  <c r="I119" i="2"/>
  <c r="H119" i="2"/>
  <c r="G119" i="2"/>
  <c r="F119" i="2"/>
  <c r="K118" i="2"/>
  <c r="I118" i="2"/>
  <c r="G118" i="2"/>
  <c r="F118" i="2"/>
  <c r="H118" i="2" s="1"/>
  <c r="J118" i="2" s="1"/>
  <c r="K117" i="2"/>
  <c r="I117" i="2"/>
  <c r="H117" i="2"/>
  <c r="J117" i="2" s="1"/>
  <c r="G117" i="2"/>
  <c r="F117" i="2"/>
  <c r="K116" i="2"/>
  <c r="I116" i="2"/>
  <c r="G116" i="2"/>
  <c r="H116" i="2" s="1"/>
  <c r="F116" i="2"/>
  <c r="K115" i="2"/>
  <c r="I115" i="2"/>
  <c r="G115" i="2"/>
  <c r="F115" i="2"/>
  <c r="H115" i="2" s="1"/>
  <c r="J115" i="2" s="1"/>
  <c r="K114" i="2"/>
  <c r="I114" i="2"/>
  <c r="G114" i="2"/>
  <c r="F114" i="2"/>
  <c r="H114" i="2" s="1"/>
  <c r="J114" i="2" s="1"/>
  <c r="K113" i="2"/>
  <c r="I113" i="2"/>
  <c r="H113" i="2"/>
  <c r="J113" i="2" s="1"/>
  <c r="G113" i="2"/>
  <c r="F113" i="2"/>
  <c r="K112" i="2"/>
  <c r="J112" i="2"/>
  <c r="I112" i="2"/>
  <c r="H112" i="2"/>
  <c r="G112" i="2"/>
  <c r="F112" i="2"/>
  <c r="K111" i="2"/>
  <c r="I111" i="2"/>
  <c r="G111" i="2"/>
  <c r="H111" i="2" s="1"/>
  <c r="J111" i="2" s="1"/>
  <c r="F111" i="2"/>
  <c r="K110" i="2"/>
  <c r="I110" i="2"/>
  <c r="H110" i="2"/>
  <c r="J110" i="2" s="1"/>
  <c r="G110" i="2"/>
  <c r="F110" i="2"/>
  <c r="K109" i="2"/>
  <c r="I109" i="2"/>
  <c r="G109" i="2"/>
  <c r="H109" i="2" s="1"/>
  <c r="J109" i="2" s="1"/>
  <c r="F109" i="2"/>
  <c r="K108" i="2"/>
  <c r="I108" i="2"/>
  <c r="G108" i="2"/>
  <c r="H108" i="2" s="1"/>
  <c r="J108" i="2" s="1"/>
  <c r="F108" i="2"/>
  <c r="K107" i="2"/>
  <c r="I107" i="2"/>
  <c r="J107" i="2" s="1"/>
  <c r="H107" i="2"/>
  <c r="G107" i="2"/>
  <c r="F107" i="2"/>
  <c r="K106" i="2"/>
  <c r="J106" i="2"/>
  <c r="I106" i="2"/>
  <c r="H106" i="2"/>
  <c r="G106" i="2"/>
  <c r="F106" i="2"/>
  <c r="K105" i="2"/>
  <c r="I105" i="2"/>
  <c r="H105" i="2"/>
  <c r="J105" i="2" s="1"/>
  <c r="G105" i="2"/>
  <c r="F105" i="2"/>
  <c r="K104" i="2"/>
  <c r="I104" i="2"/>
  <c r="G104" i="2"/>
  <c r="F104" i="2"/>
  <c r="H104" i="2" s="1"/>
  <c r="J104" i="2" s="1"/>
  <c r="K103" i="2"/>
  <c r="I103" i="2"/>
  <c r="G103" i="2"/>
  <c r="F103" i="2"/>
  <c r="K102" i="2"/>
  <c r="I102" i="2"/>
  <c r="G102" i="2"/>
  <c r="H102" i="2" s="1"/>
  <c r="J102" i="2" s="1"/>
  <c r="F102" i="2"/>
  <c r="K101" i="2"/>
  <c r="I101" i="2"/>
  <c r="G101" i="2"/>
  <c r="F101" i="2"/>
  <c r="H101" i="2" s="1"/>
  <c r="J101" i="2" s="1"/>
  <c r="K100" i="2"/>
  <c r="I100" i="2"/>
  <c r="H100" i="2"/>
  <c r="J100" i="2" s="1"/>
  <c r="G100" i="2"/>
  <c r="F100" i="2"/>
  <c r="K99" i="2"/>
  <c r="I99" i="2"/>
  <c r="G99" i="2"/>
  <c r="F99" i="2"/>
  <c r="H99" i="2" s="1"/>
  <c r="J99" i="2" s="1"/>
  <c r="K98" i="2"/>
  <c r="I98" i="2"/>
  <c r="G98" i="2"/>
  <c r="F98" i="2"/>
  <c r="H98" i="2" s="1"/>
  <c r="J98" i="2" s="1"/>
  <c r="K97" i="2"/>
  <c r="I97" i="2"/>
  <c r="H97" i="2"/>
  <c r="J97" i="2" s="1"/>
  <c r="G97" i="2"/>
  <c r="F97" i="2"/>
  <c r="K96" i="2"/>
  <c r="I96" i="2"/>
  <c r="G96" i="2"/>
  <c r="H96" i="2" s="1"/>
  <c r="J96" i="2" s="1"/>
  <c r="F96" i="2"/>
  <c r="K95" i="2"/>
  <c r="I95" i="2"/>
  <c r="G95" i="2"/>
  <c r="F95" i="2"/>
  <c r="H95" i="2" s="1"/>
  <c r="J95" i="2" s="1"/>
  <c r="K94" i="2"/>
  <c r="I94" i="2"/>
  <c r="G94" i="2"/>
  <c r="F94" i="2"/>
  <c r="H94" i="2" s="1"/>
  <c r="K93" i="2"/>
  <c r="I93" i="2"/>
  <c r="G93" i="2"/>
  <c r="F93" i="2"/>
  <c r="H93" i="2" s="1"/>
  <c r="J93" i="2" s="1"/>
  <c r="K92" i="2"/>
  <c r="I92" i="2"/>
  <c r="G92" i="2"/>
  <c r="F92" i="2"/>
  <c r="H92" i="2" s="1"/>
  <c r="J92" i="2" s="1"/>
  <c r="K91" i="2"/>
  <c r="I91" i="2"/>
  <c r="G91" i="2"/>
  <c r="H91" i="2" s="1"/>
  <c r="F91" i="2"/>
  <c r="K90" i="2"/>
  <c r="I90" i="2"/>
  <c r="G90" i="2"/>
  <c r="F90" i="2"/>
  <c r="H90" i="2" s="1"/>
  <c r="J90" i="2" s="1"/>
  <c r="K89" i="2"/>
  <c r="I89" i="2"/>
  <c r="G89" i="2"/>
  <c r="F89" i="2"/>
  <c r="H89" i="2" s="1"/>
  <c r="J89" i="2" s="1"/>
  <c r="K88" i="2"/>
  <c r="I88" i="2"/>
  <c r="G88" i="2"/>
  <c r="F88" i="2"/>
  <c r="H88" i="2" s="1"/>
  <c r="J88" i="2" s="1"/>
  <c r="K87" i="2"/>
  <c r="I87" i="2"/>
  <c r="G87" i="2"/>
  <c r="F87" i="2"/>
  <c r="H87" i="2" s="1"/>
  <c r="J87" i="2" s="1"/>
  <c r="K86" i="2"/>
  <c r="I86" i="2"/>
  <c r="G86" i="2"/>
  <c r="H86" i="2" s="1"/>
  <c r="J86" i="2" s="1"/>
  <c r="F86" i="2"/>
  <c r="K85" i="2"/>
  <c r="I85" i="2"/>
  <c r="G85" i="2"/>
  <c r="H85" i="2" s="1"/>
  <c r="J85" i="2" s="1"/>
  <c r="F85" i="2"/>
  <c r="K84" i="2"/>
  <c r="I84" i="2"/>
  <c r="G84" i="2"/>
  <c r="H84" i="2" s="1"/>
  <c r="J84" i="2" s="1"/>
  <c r="F84" i="2"/>
  <c r="K83" i="2"/>
  <c r="I83" i="2"/>
  <c r="G83" i="2"/>
  <c r="F83" i="2"/>
  <c r="H83" i="2" s="1"/>
  <c r="J83" i="2" s="1"/>
  <c r="K82" i="2"/>
  <c r="I82" i="2"/>
  <c r="G82" i="2"/>
  <c r="F82" i="2"/>
  <c r="H82" i="2" s="1"/>
  <c r="J82" i="2" s="1"/>
  <c r="K81" i="2"/>
  <c r="I81" i="2"/>
  <c r="G81" i="2"/>
  <c r="H81" i="2" s="1"/>
  <c r="J81" i="2" s="1"/>
  <c r="F81" i="2"/>
  <c r="K80" i="2"/>
  <c r="I80" i="2"/>
  <c r="G80" i="2"/>
  <c r="F80" i="2"/>
  <c r="H80" i="2" s="1"/>
  <c r="J80" i="2" s="1"/>
  <c r="K79" i="2"/>
  <c r="I79" i="2"/>
  <c r="H79" i="2"/>
  <c r="J79" i="2" s="1"/>
  <c r="G79" i="2"/>
  <c r="F79" i="2"/>
  <c r="K78" i="2"/>
  <c r="I78" i="2"/>
  <c r="H78" i="2"/>
  <c r="G78" i="2"/>
  <c r="F78" i="2"/>
  <c r="K77" i="2"/>
  <c r="I77" i="2"/>
  <c r="H77" i="2"/>
  <c r="J77" i="2" s="1"/>
  <c r="G77" i="2"/>
  <c r="F77" i="2"/>
  <c r="K76" i="2"/>
  <c r="I76" i="2"/>
  <c r="H76" i="2"/>
  <c r="J76" i="2" s="1"/>
  <c r="G76" i="2"/>
  <c r="F76" i="2"/>
  <c r="K75" i="2"/>
  <c r="I75" i="2"/>
  <c r="J75" i="2" s="1"/>
  <c r="H75" i="2"/>
  <c r="G75" i="2"/>
  <c r="F75" i="2"/>
  <c r="K74" i="2"/>
  <c r="I74" i="2"/>
  <c r="G74" i="2"/>
  <c r="F74" i="2"/>
  <c r="H74" i="2" s="1"/>
  <c r="J74" i="2" s="1"/>
  <c r="K73" i="2"/>
  <c r="I73" i="2"/>
  <c r="G73" i="2"/>
  <c r="F73" i="2"/>
  <c r="H73" i="2" s="1"/>
  <c r="J73" i="2" s="1"/>
  <c r="K72" i="2"/>
  <c r="J72" i="2"/>
  <c r="I72" i="2"/>
  <c r="G72" i="2"/>
  <c r="F72" i="2"/>
  <c r="H72" i="2" s="1"/>
  <c r="K71" i="2"/>
  <c r="I71" i="2"/>
  <c r="J71" i="2" s="1"/>
  <c r="G71" i="2"/>
  <c r="F71" i="2"/>
  <c r="H71" i="2" s="1"/>
  <c r="K70" i="2"/>
  <c r="I70" i="2"/>
  <c r="H70" i="2"/>
  <c r="J70" i="2" s="1"/>
  <c r="G70" i="2"/>
  <c r="F70" i="2"/>
  <c r="K69" i="2"/>
  <c r="I69" i="2"/>
  <c r="G69" i="2"/>
  <c r="F69" i="2"/>
  <c r="K68" i="2"/>
  <c r="I68" i="2"/>
  <c r="G68" i="2"/>
  <c r="H68" i="2" s="1"/>
  <c r="J68" i="2" s="1"/>
  <c r="F68" i="2"/>
  <c r="K67" i="2"/>
  <c r="I67" i="2"/>
  <c r="G67" i="2"/>
  <c r="H67" i="2" s="1"/>
  <c r="J67" i="2" s="1"/>
  <c r="F67" i="2"/>
  <c r="K66" i="2"/>
  <c r="I66" i="2"/>
  <c r="G66" i="2"/>
  <c r="F66" i="2"/>
  <c r="K65" i="2"/>
  <c r="I65" i="2"/>
  <c r="G65" i="2"/>
  <c r="F65" i="2"/>
  <c r="H65" i="2" s="1"/>
  <c r="J65" i="2" s="1"/>
  <c r="K64" i="2"/>
  <c r="I64" i="2"/>
  <c r="G64" i="2"/>
  <c r="F64" i="2"/>
  <c r="H64" i="2" s="1"/>
  <c r="J64" i="2" s="1"/>
  <c r="K63" i="2"/>
  <c r="I63" i="2"/>
  <c r="G63" i="2"/>
  <c r="H63" i="2" s="1"/>
  <c r="J63" i="2" s="1"/>
  <c r="F63" i="2"/>
  <c r="K62" i="2"/>
  <c r="I62" i="2"/>
  <c r="G62" i="2"/>
  <c r="F62" i="2"/>
  <c r="H62" i="2" s="1"/>
  <c r="J62" i="2" s="1"/>
  <c r="K61" i="2"/>
  <c r="I61" i="2"/>
  <c r="G61" i="2"/>
  <c r="F61" i="2"/>
  <c r="H61" i="2" s="1"/>
  <c r="J61" i="2" s="1"/>
  <c r="K60" i="2"/>
  <c r="I60" i="2"/>
  <c r="G60" i="2"/>
  <c r="F60" i="2"/>
  <c r="H60" i="2" s="1"/>
  <c r="J60" i="2" s="1"/>
  <c r="K59" i="2"/>
  <c r="I59" i="2"/>
  <c r="G59" i="2"/>
  <c r="H59" i="2" s="1"/>
  <c r="J59" i="2" s="1"/>
  <c r="F59" i="2"/>
  <c r="K58" i="2"/>
  <c r="I58" i="2"/>
  <c r="G58" i="2"/>
  <c r="H58" i="2" s="1"/>
  <c r="J58" i="2" s="1"/>
  <c r="F58" i="2"/>
  <c r="K57" i="2"/>
  <c r="I57" i="2"/>
  <c r="G57" i="2"/>
  <c r="F57" i="2"/>
  <c r="H57" i="2" s="1"/>
  <c r="J57" i="2" s="1"/>
  <c r="K56" i="2"/>
  <c r="I56" i="2"/>
  <c r="G56" i="2"/>
  <c r="F56" i="2"/>
  <c r="H56" i="2" s="1"/>
  <c r="J56" i="2" s="1"/>
  <c r="K55" i="2"/>
  <c r="I55" i="2"/>
  <c r="G55" i="2"/>
  <c r="F55" i="2"/>
  <c r="H55" i="2" s="1"/>
  <c r="J55" i="2" s="1"/>
  <c r="K54" i="2"/>
  <c r="I54" i="2"/>
  <c r="H54" i="2"/>
  <c r="J54" i="2" s="1"/>
  <c r="G54" i="2"/>
  <c r="F54" i="2"/>
  <c r="K53" i="2"/>
  <c r="I53" i="2"/>
  <c r="G53" i="2"/>
  <c r="F53" i="2"/>
  <c r="H53" i="2" s="1"/>
  <c r="J53" i="2" s="1"/>
  <c r="K52" i="2"/>
  <c r="I52" i="2"/>
  <c r="H52" i="2"/>
  <c r="J52" i="2" s="1"/>
  <c r="G52" i="2"/>
  <c r="F52" i="2"/>
  <c r="K51" i="2"/>
  <c r="I51" i="2"/>
  <c r="G51" i="2"/>
  <c r="F51" i="2"/>
  <c r="H51" i="2" s="1"/>
  <c r="J51" i="2" s="1"/>
  <c r="K50" i="2"/>
  <c r="I50" i="2"/>
  <c r="G50" i="2"/>
  <c r="F50" i="2"/>
  <c r="H50" i="2" s="1"/>
  <c r="J50" i="2" s="1"/>
  <c r="K49" i="2"/>
  <c r="I49" i="2"/>
  <c r="G49" i="2"/>
  <c r="H49" i="2" s="1"/>
  <c r="J49" i="2" s="1"/>
  <c r="F49" i="2"/>
  <c r="K48" i="2"/>
  <c r="I48" i="2"/>
  <c r="H48" i="2"/>
  <c r="J48" i="2" s="1"/>
  <c r="G48" i="2"/>
  <c r="F48" i="2"/>
  <c r="K47" i="2"/>
  <c r="I47" i="2"/>
  <c r="G47" i="2"/>
  <c r="H47" i="2" s="1"/>
  <c r="J47" i="2" s="1"/>
  <c r="F47" i="2"/>
  <c r="K46" i="2"/>
  <c r="I46" i="2"/>
  <c r="J46" i="2" s="1"/>
  <c r="H46" i="2"/>
  <c r="G46" i="2"/>
  <c r="F46" i="2"/>
  <c r="K45" i="2"/>
  <c r="I45" i="2"/>
  <c r="H45" i="2"/>
  <c r="J45" i="2" s="1"/>
  <c r="G45" i="2"/>
  <c r="F45" i="2"/>
  <c r="K44" i="2"/>
  <c r="I44" i="2"/>
  <c r="G44" i="2"/>
  <c r="H44" i="2" s="1"/>
  <c r="J44" i="2" s="1"/>
  <c r="F44" i="2"/>
  <c r="K43" i="2"/>
  <c r="I43" i="2"/>
  <c r="J43" i="2" s="1"/>
  <c r="H43" i="2"/>
  <c r="G43" i="2"/>
  <c r="F43" i="2"/>
  <c r="K42" i="2"/>
  <c r="I42" i="2"/>
  <c r="G42" i="2"/>
  <c r="F42" i="2"/>
  <c r="H42" i="2" s="1"/>
  <c r="J42" i="2" s="1"/>
  <c r="K41" i="2"/>
  <c r="I41" i="2"/>
  <c r="G41" i="2"/>
  <c r="F41" i="2"/>
  <c r="H41" i="2" s="1"/>
  <c r="J41" i="2" s="1"/>
  <c r="K40" i="2"/>
  <c r="J40" i="2"/>
  <c r="I40" i="2"/>
  <c r="G40" i="2"/>
  <c r="F40" i="2"/>
  <c r="H40" i="2" s="1"/>
  <c r="K39" i="2"/>
  <c r="I39" i="2"/>
  <c r="G39" i="2"/>
  <c r="F39" i="2"/>
  <c r="H39" i="2" s="1"/>
  <c r="J39" i="2" s="1"/>
  <c r="K38" i="2"/>
  <c r="I38" i="2"/>
  <c r="G38" i="2"/>
  <c r="F38" i="2"/>
  <c r="H38" i="2" s="1"/>
  <c r="J38" i="2" s="1"/>
  <c r="K37" i="2"/>
  <c r="I37" i="2"/>
  <c r="G37" i="2"/>
  <c r="F37" i="2"/>
  <c r="K36" i="2"/>
  <c r="I36" i="2"/>
  <c r="H36" i="2"/>
  <c r="J36" i="2" s="1"/>
  <c r="G36" i="2"/>
  <c r="F36" i="2"/>
  <c r="K35" i="2"/>
  <c r="I35" i="2"/>
  <c r="G35" i="2"/>
  <c r="H35" i="2" s="1"/>
  <c r="J35" i="2" s="1"/>
  <c r="F35" i="2"/>
  <c r="K34" i="2"/>
  <c r="I34" i="2"/>
  <c r="H34" i="2"/>
  <c r="J34" i="2" s="1"/>
  <c r="G34" i="2"/>
  <c r="F34" i="2"/>
  <c r="K33" i="2"/>
  <c r="I33" i="2"/>
  <c r="H33" i="2"/>
  <c r="J33" i="2" s="1"/>
  <c r="G33" i="2"/>
  <c r="F33" i="2"/>
  <c r="K32" i="2"/>
  <c r="I32" i="2"/>
  <c r="G32" i="2"/>
  <c r="H32" i="2" s="1"/>
  <c r="J32" i="2" s="1"/>
  <c r="F32" i="2"/>
  <c r="K31" i="2"/>
  <c r="I31" i="2"/>
  <c r="G31" i="2"/>
  <c r="H31" i="2" s="1"/>
  <c r="J31" i="2" s="1"/>
  <c r="F31" i="2"/>
  <c r="K30" i="2"/>
  <c r="I30" i="2"/>
  <c r="G30" i="2"/>
  <c r="H30" i="2" s="1"/>
  <c r="J30" i="2" s="1"/>
  <c r="F30" i="2"/>
  <c r="K29" i="2"/>
  <c r="I29" i="2"/>
  <c r="G29" i="2"/>
  <c r="F29" i="2"/>
  <c r="H29" i="2" s="1"/>
  <c r="J29" i="2" s="1"/>
  <c r="K28" i="2"/>
  <c r="I28" i="2"/>
  <c r="H28" i="2"/>
  <c r="J28" i="2" s="1"/>
  <c r="G28" i="2"/>
  <c r="F28" i="2"/>
  <c r="K27" i="2"/>
  <c r="I27" i="2"/>
  <c r="G27" i="2"/>
  <c r="F27" i="2"/>
  <c r="H27" i="2" s="1"/>
  <c r="J27" i="2" s="1"/>
  <c r="K26" i="2"/>
  <c r="I26" i="2"/>
  <c r="G26" i="2"/>
  <c r="F26" i="2"/>
  <c r="H26" i="2" s="1"/>
  <c r="J26" i="2" s="1"/>
  <c r="K25" i="2"/>
  <c r="I25" i="2"/>
  <c r="G25" i="2"/>
  <c r="F25" i="2"/>
  <c r="H25" i="2" s="1"/>
  <c r="J25" i="2" s="1"/>
  <c r="K24" i="2"/>
  <c r="I24" i="2"/>
  <c r="G24" i="2"/>
  <c r="F24" i="2"/>
  <c r="H24" i="2" s="1"/>
  <c r="J24" i="2" s="1"/>
  <c r="K23" i="2"/>
  <c r="I23" i="2"/>
  <c r="G23" i="2"/>
  <c r="F23" i="2"/>
  <c r="H23" i="2" s="1"/>
  <c r="J23" i="2" s="1"/>
  <c r="K22" i="2"/>
  <c r="I22" i="2"/>
  <c r="G22" i="2"/>
  <c r="H22" i="2" s="1"/>
  <c r="J22" i="2" s="1"/>
  <c r="F22" i="2"/>
  <c r="K21" i="2"/>
  <c r="I21" i="2"/>
  <c r="G21" i="2"/>
  <c r="F21" i="2"/>
  <c r="H21" i="2" s="1"/>
  <c r="J21" i="2" s="1"/>
  <c r="K20" i="2"/>
  <c r="I20" i="2"/>
  <c r="G20" i="2"/>
  <c r="F20" i="2"/>
  <c r="H20" i="2" s="1"/>
  <c r="J20" i="2" s="1"/>
  <c r="K19" i="2"/>
  <c r="I19" i="2"/>
  <c r="G19" i="2"/>
  <c r="F19" i="2"/>
  <c r="H19" i="2" s="1"/>
  <c r="J19" i="2" s="1"/>
  <c r="K18" i="2"/>
  <c r="I18" i="2"/>
  <c r="G18" i="2"/>
  <c r="H18" i="2" s="1"/>
  <c r="J18" i="2" s="1"/>
  <c r="F18" i="2"/>
  <c r="K17" i="2"/>
  <c r="I17" i="2"/>
  <c r="G17" i="2"/>
  <c r="H17" i="2" s="1"/>
  <c r="J17" i="2" s="1"/>
  <c r="F17" i="2"/>
  <c r="K16" i="2"/>
  <c r="I16" i="2"/>
  <c r="H16" i="2"/>
  <c r="J16" i="2" s="1"/>
  <c r="G16" i="2"/>
  <c r="F16" i="2"/>
  <c r="K15" i="2"/>
  <c r="I15" i="2"/>
  <c r="G15" i="2"/>
  <c r="F15" i="2"/>
  <c r="H15" i="2" s="1"/>
  <c r="J15" i="2" s="1"/>
  <c r="K14" i="2"/>
  <c r="J14" i="2"/>
  <c r="I14" i="2"/>
  <c r="H14" i="2"/>
  <c r="G14" i="2"/>
  <c r="F14" i="2"/>
  <c r="K13" i="2"/>
  <c r="I13" i="2"/>
  <c r="G13" i="2"/>
  <c r="F13" i="2"/>
  <c r="H13" i="2" s="1"/>
  <c r="J13" i="2" s="1"/>
  <c r="K12" i="2"/>
  <c r="I12" i="2"/>
  <c r="G12" i="2"/>
  <c r="F12" i="2"/>
  <c r="H12" i="2" s="1"/>
  <c r="J12" i="2" s="1"/>
  <c r="K11" i="2"/>
  <c r="J11" i="2"/>
  <c r="I11" i="2"/>
  <c r="H11" i="2"/>
  <c r="G11" i="2"/>
  <c r="F11" i="2"/>
  <c r="K10" i="2"/>
  <c r="I10" i="2"/>
  <c r="G10" i="2"/>
  <c r="F10" i="2"/>
  <c r="K9" i="2"/>
  <c r="I9" i="2"/>
  <c r="G9" i="2"/>
  <c r="H9" i="2" s="1"/>
  <c r="J9" i="2" s="1"/>
  <c r="F9" i="2"/>
  <c r="K8" i="2"/>
  <c r="I8" i="2"/>
  <c r="G8" i="2"/>
  <c r="F8" i="2"/>
  <c r="H8" i="2" s="1"/>
  <c r="J8" i="2" s="1"/>
  <c r="K7" i="2"/>
  <c r="I7" i="2"/>
  <c r="G7" i="2"/>
  <c r="F7" i="2"/>
  <c r="H7" i="2" s="1"/>
  <c r="K6" i="2"/>
  <c r="I6" i="2"/>
  <c r="G6" i="2"/>
  <c r="H6" i="2" s="1"/>
  <c r="J6" i="2" s="1"/>
  <c r="F6" i="2"/>
  <c r="K5" i="2"/>
  <c r="I5" i="2"/>
  <c r="G5" i="2"/>
  <c r="F5" i="2"/>
  <c r="H5" i="2" s="1"/>
  <c r="J5" i="2" s="1"/>
  <c r="K4" i="2"/>
  <c r="I4" i="2"/>
  <c r="G4" i="2"/>
  <c r="F4" i="2"/>
  <c r="H4" i="2" s="1"/>
  <c r="J4" i="2" s="1"/>
  <c r="K3" i="2"/>
  <c r="I3" i="2"/>
  <c r="G3" i="2"/>
  <c r="F3" i="2"/>
  <c r="H3" i="2" s="1"/>
  <c r="J3" i="2" s="1"/>
  <c r="L2" i="2"/>
  <c r="O2" i="2" s="1"/>
  <c r="P2" i="2" s="1"/>
  <c r="K2" i="2"/>
  <c r="I2" i="2"/>
  <c r="G2" i="2"/>
  <c r="F2" i="2"/>
  <c r="H2" i="2" s="1"/>
  <c r="J2" i="2" s="1"/>
  <c r="E566" i="7" l="1"/>
  <c r="E1318" i="7"/>
  <c r="E883" i="7"/>
  <c r="E118" i="7"/>
  <c r="E2237" i="7"/>
  <c r="E2245" i="7"/>
  <c r="E518" i="7"/>
  <c r="E219" i="7"/>
  <c r="E749" i="7"/>
  <c r="E318" i="7"/>
  <c r="E2238" i="7"/>
  <c r="E2246" i="7"/>
  <c r="E584" i="7"/>
  <c r="E338" i="7"/>
  <c r="E2239" i="7"/>
  <c r="E5568" i="7"/>
  <c r="E36" i="7"/>
  <c r="E374" i="7"/>
  <c r="E356" i="7"/>
  <c r="E84" i="7"/>
  <c r="E46" i="7"/>
  <c r="E384" i="7"/>
  <c r="E611" i="7"/>
  <c r="E402" i="7"/>
  <c r="E1390" i="7"/>
  <c r="E2240" i="7"/>
  <c r="E1348" i="7"/>
  <c r="E416" i="7"/>
  <c r="E1362" i="7"/>
  <c r="E728" i="7"/>
  <c r="J91" i="2"/>
  <c r="J78" i="2"/>
  <c r="J7" i="2"/>
  <c r="J94" i="2"/>
  <c r="J141" i="2"/>
  <c r="H66" i="2"/>
  <c r="J66" i="2" s="1"/>
  <c r="J116" i="2"/>
  <c r="H151" i="2"/>
  <c r="J151" i="2" s="1"/>
  <c r="H10" i="2"/>
  <c r="J10" i="2" s="1"/>
  <c r="J193" i="2"/>
  <c r="D5350" i="7"/>
  <c r="E5350" i="7" s="1"/>
  <c r="D5467" i="7"/>
  <c r="E5467" i="7" s="1"/>
  <c r="D4795" i="7"/>
  <c r="E4795" i="7" s="1"/>
  <c r="D5011" i="7"/>
  <c r="E5011" i="7" s="1"/>
  <c r="D5586" i="7"/>
  <c r="E5586" i="7" s="1"/>
  <c r="D5122" i="7"/>
  <c r="E5122" i="7" s="1"/>
  <c r="D5235" i="7"/>
  <c r="E5235" i="7" s="1"/>
  <c r="D4690" i="7"/>
  <c r="E4690" i="7" s="1"/>
  <c r="D4902" i="7"/>
  <c r="E4902" i="7" s="1"/>
  <c r="D4011" i="7"/>
  <c r="E4011" i="7" s="1"/>
  <c r="D4587" i="7"/>
  <c r="E4587" i="7" s="1"/>
  <c r="D3667" i="7"/>
  <c r="E3667" i="7" s="1"/>
  <c r="D4290" i="7"/>
  <c r="E4290" i="7" s="1"/>
  <c r="D4486" i="7"/>
  <c r="E4486" i="7" s="1"/>
  <c r="D3835" i="7"/>
  <c r="E3835" i="7" s="1"/>
  <c r="D3234" i="7"/>
  <c r="E3234" i="7" s="1"/>
  <c r="D4102" i="7"/>
  <c r="E4102" i="7" s="1"/>
  <c r="D2831" i="7"/>
  <c r="E2831" i="7" s="1"/>
  <c r="D4387" i="7"/>
  <c r="E4387" i="7" s="1"/>
  <c r="D4195" i="7"/>
  <c r="E4195" i="7" s="1"/>
  <c r="D3427" i="7"/>
  <c r="E3427" i="7" s="1"/>
  <c r="D2938" i="7"/>
  <c r="E2938" i="7" s="1"/>
  <c r="D3388" i="7"/>
  <c r="E3388" i="7" s="1"/>
  <c r="D3121" i="7"/>
  <c r="E3121" i="7" s="1"/>
  <c r="D3750" i="7"/>
  <c r="E3750" i="7" s="1"/>
  <c r="D3922" i="7"/>
  <c r="E3922" i="7" s="1"/>
  <c r="D3546" i="7"/>
  <c r="E3546" i="7" s="1"/>
  <c r="D2974" i="7"/>
  <c r="E2974" i="7" s="1"/>
  <c r="D2524" i="7"/>
  <c r="E2524" i="7" s="1"/>
  <c r="D2692" i="7"/>
  <c r="E2692" i="7" s="1"/>
  <c r="D3586" i="7"/>
  <c r="E3586" i="7" s="1"/>
  <c r="D3084" i="7"/>
  <c r="E3084" i="7" s="1"/>
  <c r="D3272" i="7"/>
  <c r="E3272" i="7" s="1"/>
  <c r="D2796" i="7"/>
  <c r="E2796" i="7" s="1"/>
  <c r="D1559" i="7"/>
  <c r="E1559" i="7" s="1"/>
  <c r="D1522" i="7"/>
  <c r="E1522" i="7" s="1"/>
  <c r="D1914" i="7"/>
  <c r="E1914" i="7" s="1"/>
  <c r="D2658" i="7"/>
  <c r="E2658" i="7" s="1"/>
  <c r="D1680" i="7"/>
  <c r="E1680" i="7" s="1"/>
  <c r="D2176" i="7"/>
  <c r="E2176" i="7" s="1"/>
  <c r="D2299" i="7"/>
  <c r="E2299" i="7" s="1"/>
  <c r="D1727" i="7"/>
  <c r="E1727" i="7" s="1"/>
  <c r="D2426" i="7"/>
  <c r="E2426" i="7" s="1"/>
  <c r="D1778" i="7"/>
  <c r="E1778" i="7" s="1"/>
  <c r="D2146" i="7"/>
  <c r="E2146" i="7" s="1"/>
  <c r="D2557" i="7"/>
  <c r="E2557" i="7" s="1"/>
  <c r="D2394" i="7"/>
  <c r="E2394" i="7" s="1"/>
  <c r="D2268" i="7"/>
  <c r="E2268" i="7" s="1"/>
  <c r="D1578" i="7"/>
  <c r="E1578" i="7" s="1"/>
  <c r="D2028" i="7"/>
  <c r="E2028" i="7" s="1"/>
  <c r="D1942" i="7"/>
  <c r="E1942" i="7" s="1"/>
  <c r="D2057" i="7"/>
  <c r="E2057" i="7" s="1"/>
  <c r="D1831" i="7"/>
  <c r="E1831" i="7" s="1"/>
  <c r="D1637" i="7"/>
  <c r="E1637" i="7" s="1"/>
  <c r="D1617" i="7"/>
  <c r="E1617" i="7" s="1"/>
  <c r="D5369" i="7"/>
  <c r="E5369" i="7" s="1"/>
  <c r="D5486" i="7"/>
  <c r="E5486" i="7" s="1"/>
  <c r="D5605" i="7"/>
  <c r="E5605" i="7" s="1"/>
  <c r="D4030" i="7"/>
  <c r="E4030" i="7" s="1"/>
  <c r="D4505" i="7"/>
  <c r="E4505" i="7" s="1"/>
  <c r="D3446" i="7"/>
  <c r="E3446" i="7" s="1"/>
  <c r="D3605" i="7"/>
  <c r="E3605" i="7" s="1"/>
  <c r="D4709" i="7"/>
  <c r="E4709" i="7" s="1"/>
  <c r="D5030" i="7"/>
  <c r="E5030" i="7" s="1"/>
  <c r="D5254" i="7"/>
  <c r="E5254" i="7" s="1"/>
  <c r="D4814" i="7"/>
  <c r="E4814" i="7" s="1"/>
  <c r="D4606" i="7"/>
  <c r="E4606" i="7" s="1"/>
  <c r="D4309" i="7"/>
  <c r="E4309" i="7" s="1"/>
  <c r="D5141" i="7"/>
  <c r="E5141" i="7" s="1"/>
  <c r="D4921" i="7"/>
  <c r="E4921" i="7" s="1"/>
  <c r="D3854" i="7"/>
  <c r="E3854" i="7" s="1"/>
  <c r="D3686" i="7"/>
  <c r="E3686" i="7" s="1"/>
  <c r="D3407" i="7"/>
  <c r="E3407" i="7" s="1"/>
  <c r="D4121" i="7"/>
  <c r="E4121" i="7" s="1"/>
  <c r="D4214" i="7"/>
  <c r="E4214" i="7" s="1"/>
  <c r="D3769" i="7"/>
  <c r="E3769" i="7" s="1"/>
  <c r="D4406" i="7"/>
  <c r="E4406" i="7" s="1"/>
  <c r="D3253" i="7"/>
  <c r="E3253" i="7" s="1"/>
  <c r="D3941" i="7"/>
  <c r="E3941" i="7" s="1"/>
  <c r="D3140" i="7"/>
  <c r="E3140" i="7" s="1"/>
  <c r="D3565" i="7"/>
  <c r="E3565" i="7" s="1"/>
  <c r="D3103" i="7"/>
  <c r="E3103" i="7" s="1"/>
  <c r="D3291" i="7"/>
  <c r="E3291" i="7" s="1"/>
  <c r="H69" i="2"/>
  <c r="J69" i="2" s="1"/>
  <c r="D4910" i="7"/>
  <c r="E4910" i="7" s="1"/>
  <c r="D5019" i="7"/>
  <c r="E5019" i="7" s="1"/>
  <c r="D5594" i="7"/>
  <c r="E5594" i="7" s="1"/>
  <c r="D5475" i="7"/>
  <c r="E5475" i="7" s="1"/>
  <c r="D4803" i="7"/>
  <c r="E4803" i="7" s="1"/>
  <c r="D5130" i="7"/>
  <c r="E5130" i="7" s="1"/>
  <c r="D5358" i="7"/>
  <c r="E5358" i="7" s="1"/>
  <c r="D4595" i="7"/>
  <c r="E4595" i="7" s="1"/>
  <c r="D4395" i="7"/>
  <c r="E4395" i="7" s="1"/>
  <c r="D4298" i="7"/>
  <c r="E4298" i="7" s="1"/>
  <c r="D5243" i="7"/>
  <c r="E5243" i="7" s="1"/>
  <c r="D4110" i="7"/>
  <c r="E4110" i="7" s="1"/>
  <c r="D4494" i="7"/>
  <c r="E4494" i="7" s="1"/>
  <c r="D4698" i="7"/>
  <c r="E4698" i="7" s="1"/>
  <c r="D3396" i="7"/>
  <c r="E3396" i="7" s="1"/>
  <c r="D3435" i="7"/>
  <c r="E3435" i="7" s="1"/>
  <c r="D3129" i="7"/>
  <c r="E3129" i="7" s="1"/>
  <c r="D4203" i="7"/>
  <c r="E4203" i="7" s="1"/>
  <c r="D3554" i="7"/>
  <c r="E3554" i="7" s="1"/>
  <c r="D3758" i="7"/>
  <c r="E3758" i="7" s="1"/>
  <c r="D3930" i="7"/>
  <c r="E3930" i="7" s="1"/>
  <c r="D3594" i="7"/>
  <c r="E3594" i="7" s="1"/>
  <c r="D3280" i="7"/>
  <c r="E3280" i="7" s="1"/>
  <c r="D3843" i="7"/>
  <c r="E3843" i="7" s="1"/>
  <c r="D2700" i="7"/>
  <c r="E2700" i="7" s="1"/>
  <c r="D2065" i="7"/>
  <c r="E2065" i="7" s="1"/>
  <c r="D3092" i="7"/>
  <c r="E3092" i="7" s="1"/>
  <c r="D3675" i="7"/>
  <c r="E3675" i="7" s="1"/>
  <c r="D2804" i="7"/>
  <c r="E2804" i="7" s="1"/>
  <c r="D2946" i="7"/>
  <c r="E2946" i="7" s="1"/>
  <c r="D3242" i="7"/>
  <c r="E3242" i="7" s="1"/>
  <c r="D4019" i="7"/>
  <c r="E4019" i="7" s="1"/>
  <c r="D2532" i="7"/>
  <c r="E2532" i="7" s="1"/>
  <c r="D2307" i="7"/>
  <c r="E2307" i="7" s="1"/>
  <c r="D2036" i="7"/>
  <c r="E2036" i="7" s="1"/>
  <c r="D1839" i="7"/>
  <c r="E1839" i="7" s="1"/>
  <c r="D2434" i="7"/>
  <c r="E2434" i="7" s="1"/>
  <c r="D1786" i="7"/>
  <c r="E1786" i="7" s="1"/>
  <c r="D2154" i="7"/>
  <c r="E2154" i="7" s="1"/>
  <c r="D2276" i="7"/>
  <c r="E2276" i="7" s="1"/>
  <c r="D2402" i="7"/>
  <c r="E2402" i="7" s="1"/>
  <c r="D2565" i="7"/>
  <c r="E2565" i="7" s="1"/>
  <c r="D2982" i="7"/>
  <c r="E2982" i="7" s="1"/>
  <c r="D2666" i="7"/>
  <c r="E2666" i="7" s="1"/>
  <c r="D2839" i="7"/>
  <c r="E2839" i="7" s="1"/>
  <c r="D1950" i="7"/>
  <c r="E1950" i="7" s="1"/>
  <c r="D2184" i="7"/>
  <c r="E2184" i="7" s="1"/>
  <c r="D1922" i="7"/>
  <c r="E1922" i="7" s="1"/>
  <c r="D4837" i="7"/>
  <c r="E4837" i="7" s="1"/>
  <c r="D4731" i="7"/>
  <c r="E4731" i="7" s="1"/>
  <c r="D5515" i="7"/>
  <c r="E5515" i="7" s="1"/>
  <c r="D4945" i="7"/>
  <c r="E4945" i="7" s="1"/>
  <c r="D5167" i="7"/>
  <c r="E5167" i="7" s="1"/>
  <c r="D5281" i="7"/>
  <c r="E5281" i="7" s="1"/>
  <c r="D5397" i="7"/>
  <c r="E5397" i="7" s="1"/>
  <c r="D3495" i="7"/>
  <c r="E3495" i="7" s="1"/>
  <c r="D5055" i="7"/>
  <c r="E5055" i="7" s="1"/>
  <c r="D4045" i="7"/>
  <c r="E4045" i="7" s="1"/>
  <c r="D4525" i="7"/>
  <c r="E4525" i="7" s="1"/>
  <c r="D3697" i="7"/>
  <c r="E3697" i="7" s="1"/>
  <c r="D4627" i="7"/>
  <c r="E4627" i="7" s="1"/>
  <c r="D3455" i="7"/>
  <c r="E3455" i="7" s="1"/>
  <c r="D3147" i="7"/>
  <c r="E3147" i="7" s="1"/>
  <c r="D4137" i="7"/>
  <c r="E4137" i="7" s="1"/>
  <c r="D4327" i="7"/>
  <c r="E4327" i="7" s="1"/>
  <c r="D3781" i="7"/>
  <c r="E3781" i="7" s="1"/>
  <c r="D4231" i="7"/>
  <c r="E4231" i="7" s="1"/>
  <c r="D3955" i="7"/>
  <c r="E3955" i="7" s="1"/>
  <c r="D3615" i="7"/>
  <c r="E3615" i="7" s="1"/>
  <c r="D3867" i="7"/>
  <c r="E3867" i="7" s="1"/>
  <c r="D4425" i="7"/>
  <c r="E4425" i="7" s="1"/>
  <c r="D2999" i="7"/>
  <c r="E2999" i="7" s="1"/>
  <c r="D2750" i="7"/>
  <c r="E2750" i="7" s="1"/>
  <c r="D3338" i="7"/>
  <c r="E3338" i="7" s="1"/>
  <c r="D3036" i="7"/>
  <c r="E3036" i="7" s="1"/>
  <c r="D2075" i="7"/>
  <c r="E2075" i="7" s="1"/>
  <c r="D3185" i="7"/>
  <c r="E3185" i="7" s="1"/>
  <c r="D1875" i="7"/>
  <c r="E1875" i="7" s="1"/>
  <c r="D1109" i="7"/>
  <c r="E1109" i="7" s="1"/>
  <c r="D2891" i="7"/>
  <c r="E2891" i="7" s="1"/>
  <c r="D2715" i="7"/>
  <c r="E2715" i="7" s="1"/>
  <c r="D2579" i="7"/>
  <c r="E2579" i="7" s="1"/>
  <c r="D2480" i="7"/>
  <c r="E2480" i="7" s="1"/>
  <c r="D2195" i="7"/>
  <c r="E2195" i="7" s="1"/>
  <c r="D2319" i="7"/>
  <c r="E2319" i="7" s="1"/>
  <c r="D1586" i="7"/>
  <c r="E1586" i="7" s="1"/>
  <c r="D1692" i="7"/>
  <c r="E1692" i="7" s="1"/>
  <c r="D2447" i="7"/>
  <c r="E2447" i="7" s="1"/>
  <c r="D2105" i="7"/>
  <c r="E2105" i="7" s="1"/>
  <c r="D2855" i="7"/>
  <c r="E2855" i="7" s="1"/>
  <c r="D2613" i="7"/>
  <c r="E2613" i="7" s="1"/>
  <c r="D3299" i="7"/>
  <c r="E3299" i="7" s="1"/>
  <c r="D758" i="7"/>
  <c r="E758" i="7" s="1"/>
  <c r="D642" i="7"/>
  <c r="E642" i="7" s="1"/>
  <c r="D897" i="7"/>
  <c r="E897" i="7" s="1"/>
  <c r="D1741" i="7"/>
  <c r="E1741" i="7" s="1"/>
  <c r="D1529" i="7"/>
  <c r="E1529" i="7" s="1"/>
  <c r="D1988" i="7"/>
  <c r="E1988" i="7" s="1"/>
  <c r="D1793" i="7"/>
  <c r="E1793" i="7" s="1"/>
  <c r="D1847" i="7"/>
  <c r="E1847" i="7" s="1"/>
  <c r="D1427" i="7"/>
  <c r="E1427" i="7" s="1"/>
  <c r="D1019" i="7"/>
  <c r="E1019" i="7" s="1"/>
  <c r="D1493" i="7"/>
  <c r="E1493" i="7" s="1"/>
  <c r="D2351" i="7"/>
  <c r="E2351" i="7" s="1"/>
  <c r="D1459" i="7"/>
  <c r="E1459" i="7" s="1"/>
  <c r="D1313" i="7"/>
  <c r="E1313" i="7" s="1"/>
  <c r="D1207" i="7"/>
  <c r="E1207" i="7" s="1"/>
  <c r="D1959" i="7"/>
  <c r="E1959" i="7" s="1"/>
  <c r="D634" i="7"/>
  <c r="E634" i="7" s="1"/>
  <c r="D1397" i="7"/>
  <c r="E1397" i="7" s="1"/>
  <c r="D1647" i="7"/>
  <c r="E1647" i="7" s="1"/>
  <c r="D539" i="7"/>
  <c r="E539" i="7" s="1"/>
  <c r="D5075" i="7"/>
  <c r="E5075" i="7" s="1"/>
  <c r="D5535" i="7"/>
  <c r="E5535" i="7" s="1"/>
  <c r="D5301" i="7"/>
  <c r="E5301" i="7" s="1"/>
  <c r="D5417" i="7"/>
  <c r="E5417" i="7" s="1"/>
  <c r="D4347" i="7"/>
  <c r="E4347" i="7" s="1"/>
  <c r="D5187" i="7"/>
  <c r="E5187" i="7" s="1"/>
  <c r="D3319" i="7"/>
  <c r="E3319" i="7" s="1"/>
  <c r="D4545" i="7"/>
  <c r="E4545" i="7" s="1"/>
  <c r="D4857" i="7"/>
  <c r="E4857" i="7" s="1"/>
  <c r="D3801" i="7"/>
  <c r="E3801" i="7" s="1"/>
  <c r="D4751" i="7"/>
  <c r="E4751" i="7" s="1"/>
  <c r="D4965" i="7"/>
  <c r="E4965" i="7" s="1"/>
  <c r="D4647" i="7"/>
  <c r="E4647" i="7" s="1"/>
  <c r="D3717" i="7"/>
  <c r="E3717" i="7" s="1"/>
  <c r="D3515" i="7"/>
  <c r="E3515" i="7" s="1"/>
  <c r="D3358" i="7"/>
  <c r="E3358" i="7" s="1"/>
  <c r="D2911" i="7"/>
  <c r="E2911" i="7" s="1"/>
  <c r="D4445" i="7"/>
  <c r="E4445" i="7" s="1"/>
  <c r="D4065" i="7"/>
  <c r="E4065" i="7" s="1"/>
  <c r="D4157" i="7"/>
  <c r="E4157" i="7" s="1"/>
  <c r="D3635" i="7"/>
  <c r="E3635" i="7" s="1"/>
  <c r="D3975" i="7"/>
  <c r="E3975" i="7" s="1"/>
  <c r="D4251" i="7"/>
  <c r="E4251" i="7" s="1"/>
  <c r="D3887" i="7"/>
  <c r="E3887" i="7" s="1"/>
  <c r="D2339" i="7"/>
  <c r="E2339" i="7" s="1"/>
  <c r="D2735" i="7"/>
  <c r="E2735" i="7" s="1"/>
  <c r="D3019" i="7"/>
  <c r="E3019" i="7" s="1"/>
  <c r="D3167" i="7"/>
  <c r="E3167" i="7" s="1"/>
  <c r="D3475" i="7"/>
  <c r="E3475" i="7" s="1"/>
  <c r="D2095" i="7"/>
  <c r="E2095" i="7" s="1"/>
  <c r="D1895" i="7"/>
  <c r="E1895" i="7" s="1"/>
  <c r="D2875" i="7"/>
  <c r="E2875" i="7" s="1"/>
  <c r="D2599" i="7"/>
  <c r="E2599" i="7" s="1"/>
  <c r="D2500" i="7"/>
  <c r="E2500" i="7" s="1"/>
  <c r="D2215" i="7"/>
  <c r="E2215" i="7" s="1"/>
  <c r="D2008" i="7"/>
  <c r="E2008" i="7" s="1"/>
  <c r="D1867" i="7"/>
  <c r="E1867" i="7" s="1"/>
  <c r="D2125" i="7"/>
  <c r="E2125" i="7" s="1"/>
  <c r="D3056" i="7"/>
  <c r="E3056" i="7" s="1"/>
  <c r="D2770" i="7"/>
  <c r="E2770" i="7" s="1"/>
  <c r="D2371" i="7"/>
  <c r="E2371" i="7" s="1"/>
  <c r="D3205" i="7"/>
  <c r="E3205" i="7" s="1"/>
  <c r="D1979" i="7"/>
  <c r="E1979" i="7" s="1"/>
  <c r="D1813" i="7"/>
  <c r="E1813" i="7" s="1"/>
  <c r="D2467" i="7"/>
  <c r="E2467" i="7" s="1"/>
  <c r="D2633" i="7"/>
  <c r="E2633" i="7" s="1"/>
  <c r="H290" i="2"/>
  <c r="J290" i="2" s="1"/>
  <c r="D213" i="7"/>
  <c r="E213" i="7" s="1"/>
  <c r="D16" i="7"/>
  <c r="E16" i="7" s="1"/>
  <c r="L16" i="2" s="1"/>
  <c r="D55" i="7"/>
  <c r="E55" i="7" s="1"/>
  <c r="D125" i="7"/>
  <c r="E125" i="7" s="1"/>
  <c r="D439" i="7"/>
  <c r="E439" i="7" s="1"/>
  <c r="D324" i="7"/>
  <c r="E324" i="7" s="1"/>
  <c r="D953" i="7"/>
  <c r="E953" i="7" s="1"/>
  <c r="D1351" i="7"/>
  <c r="E1351" i="7" s="1"/>
  <c r="D1141" i="7"/>
  <c r="E1141" i="7" s="1"/>
  <c r="D808" i="7"/>
  <c r="E808" i="7" s="1"/>
  <c r="D351" i="7"/>
  <c r="E351" i="7" s="1"/>
  <c r="D142" i="7"/>
  <c r="E142" i="7" s="1"/>
  <c r="D235" i="7"/>
  <c r="E235" i="7" s="1"/>
  <c r="D471" i="7"/>
  <c r="E471" i="7" s="1"/>
  <c r="D577" i="7"/>
  <c r="E577" i="7" s="1"/>
  <c r="D346" i="7"/>
  <c r="E346" i="7" s="1"/>
  <c r="D1242" i="7"/>
  <c r="E1242" i="7" s="1"/>
  <c r="D570" i="7"/>
  <c r="E570" i="7" s="1"/>
  <c r="D465" i="7"/>
  <c r="E465" i="7" s="1"/>
  <c r="D686" i="7"/>
  <c r="E686" i="7" s="1"/>
  <c r="D1048" i="7"/>
  <c r="E1048" i="7" s="1"/>
  <c r="D243" i="7"/>
  <c r="E243" i="7" s="1"/>
  <c r="D943" i="7"/>
  <c r="E943" i="7" s="1"/>
  <c r="D239" i="7"/>
  <c r="E239" i="7" s="1"/>
  <c r="D799" i="7"/>
  <c r="E799" i="7" s="1"/>
  <c r="D678" i="7"/>
  <c r="E678" i="7" s="1"/>
  <c r="D145" i="7"/>
  <c r="E145" i="7" s="1"/>
  <c r="D917" i="7"/>
  <c r="E917" i="7" s="1"/>
  <c r="D658" i="7"/>
  <c r="E658" i="7" s="1"/>
  <c r="D1327" i="7"/>
  <c r="E1327" i="7" s="1"/>
  <c r="D1121" i="7"/>
  <c r="E1121" i="7" s="1"/>
  <c r="D1220" i="7"/>
  <c r="E1220" i="7" s="1"/>
  <c r="D767" i="7"/>
  <c r="E767" i="7" s="1"/>
  <c r="D2226" i="7"/>
  <c r="E2226" i="7" s="1"/>
  <c r="D907" i="7"/>
  <c r="E907" i="7" s="1"/>
  <c r="D1030" i="7"/>
  <c r="E1030" i="7" s="1"/>
  <c r="D553" i="7"/>
  <c r="E553" i="7" s="1"/>
  <c r="D546" i="7"/>
  <c r="E546" i="7" s="1"/>
  <c r="D776" i="7"/>
  <c r="E776" i="7" s="1"/>
  <c r="D650" i="7"/>
  <c r="E650" i="7" s="1"/>
  <c r="D1347" i="7"/>
  <c r="E1347" i="7" s="1"/>
  <c r="D1239" i="7"/>
  <c r="E1239" i="7" s="1"/>
  <c r="D1127" i="7"/>
  <c r="E1127" i="7" s="1"/>
  <c r="D329" i="7"/>
  <c r="E329" i="7" s="1"/>
  <c r="D131" i="7"/>
  <c r="E131" i="7" s="1"/>
  <c r="D668" i="7"/>
  <c r="E668" i="7" s="1"/>
  <c r="D1035" i="7"/>
  <c r="E1035" i="7" s="1"/>
  <c r="D561" i="7"/>
  <c r="E561" i="7" s="1"/>
  <c r="D217" i="7"/>
  <c r="E217" i="7" s="1"/>
  <c r="D451" i="7"/>
  <c r="E451" i="7" s="1"/>
  <c r="D554" i="7"/>
  <c r="E554" i="7" s="1"/>
  <c r="D931" i="7"/>
  <c r="E931" i="7" s="1"/>
  <c r="D788" i="7"/>
  <c r="E788" i="7" s="1"/>
  <c r="D61" i="7"/>
  <c r="E61" i="7" s="1"/>
  <c r="D445" i="7"/>
  <c r="E445" i="7" s="1"/>
  <c r="D134" i="7"/>
  <c r="E134" i="7" s="1"/>
  <c r="D225" i="7"/>
  <c r="E225" i="7" s="1"/>
  <c r="D59" i="7"/>
  <c r="E59" i="7" s="1"/>
  <c r="D921" i="7"/>
  <c r="E921" i="7" s="1"/>
  <c r="D779" i="7"/>
  <c r="E779" i="7" s="1"/>
  <c r="D1227" i="7"/>
  <c r="E1227" i="7" s="1"/>
  <c r="D1335" i="7"/>
  <c r="E1335" i="7" s="1"/>
  <c r="D128" i="7"/>
  <c r="E128" i="7" s="1"/>
  <c r="D57" i="7"/>
  <c r="E57" i="7" s="1"/>
  <c r="D19" i="7"/>
  <c r="E19" i="7" s="1"/>
  <c r="L19" i="2" s="1"/>
  <c r="D334" i="7"/>
  <c r="E334" i="7" s="1"/>
  <c r="D221" i="7"/>
  <c r="E221" i="7" s="1"/>
  <c r="D18" i="7"/>
  <c r="E18" i="7" s="1"/>
  <c r="L18" i="2" s="1"/>
  <c r="D17" i="7"/>
  <c r="E17" i="7" s="1"/>
  <c r="L17" i="2" s="1"/>
  <c r="D660" i="7"/>
  <c r="E660" i="7" s="1"/>
  <c r="D1044" i="7"/>
  <c r="E1044" i="7" s="1"/>
  <c r="D1344" i="7"/>
  <c r="E1344" i="7" s="1"/>
  <c r="D1136" i="7"/>
  <c r="E1136" i="7" s="1"/>
  <c r="D1236" i="7"/>
  <c r="E1236" i="7" s="1"/>
  <c r="D940" i="7"/>
  <c r="E940" i="7" s="1"/>
  <c r="D930" i="7"/>
  <c r="E930" i="7" s="1"/>
  <c r="D229" i="7"/>
  <c r="E229" i="7" s="1"/>
  <c r="D137" i="7"/>
  <c r="E137" i="7" s="1"/>
  <c r="D339" i="7"/>
  <c r="E339" i="7" s="1"/>
  <c r="D63" i="7"/>
  <c r="E63" i="7" s="1"/>
  <c r="D457" i="7"/>
  <c r="E457" i="7" s="1"/>
  <c r="D20" i="7"/>
  <c r="E20" i="7" s="1"/>
  <c r="L20" i="2" s="1"/>
  <c r="D1041" i="7"/>
  <c r="E1041" i="7" s="1"/>
  <c r="D560" i="7"/>
  <c r="E560" i="7" s="1"/>
  <c r="D674" i="7"/>
  <c r="E674" i="7" s="1"/>
  <c r="D1341" i="7"/>
  <c r="E1341" i="7" s="1"/>
  <c r="D927" i="7"/>
  <c r="E927" i="7" s="1"/>
  <c r="D1133" i="7"/>
  <c r="E1133" i="7" s="1"/>
  <c r="D937" i="7"/>
  <c r="E937" i="7" s="1"/>
  <c r="D794" i="7"/>
  <c r="E794" i="7" s="1"/>
  <c r="D666" i="7"/>
  <c r="E666" i="7" s="1"/>
  <c r="D785" i="7"/>
  <c r="E785" i="7" s="1"/>
  <c r="D1233" i="7"/>
  <c r="E1233" i="7" s="1"/>
  <c r="D567" i="7"/>
  <c r="E567" i="7" s="1"/>
  <c r="D1055" i="7"/>
  <c r="E1055" i="7" s="1"/>
  <c r="D960" i="7"/>
  <c r="E960" i="7" s="1"/>
  <c r="D1358" i="7"/>
  <c r="E1358" i="7" s="1"/>
  <c r="D1249" i="7"/>
  <c r="E1249" i="7" s="1"/>
  <c r="D950" i="7"/>
  <c r="E950" i="7" s="1"/>
  <c r="D1148" i="7"/>
  <c r="E1148" i="7" s="1"/>
  <c r="D1349" i="7"/>
  <c r="E1349" i="7" s="1"/>
  <c r="D676" i="7"/>
  <c r="E676" i="7" s="1"/>
  <c r="D1046" i="7"/>
  <c r="E1046" i="7" s="1"/>
  <c r="D575" i="7"/>
  <c r="E575" i="7" s="1"/>
  <c r="D344" i="7"/>
  <c r="E344" i="7" s="1"/>
  <c r="D951" i="7"/>
  <c r="E951" i="7" s="1"/>
  <c r="D684" i="7"/>
  <c r="E684" i="7" s="1"/>
  <c r="D797" i="7"/>
  <c r="E797" i="7" s="1"/>
  <c r="D237" i="7"/>
  <c r="E237" i="7" s="1"/>
  <c r="D69" i="7"/>
  <c r="E69" i="7" s="1"/>
  <c r="D349" i="7"/>
  <c r="E349" i="7" s="1"/>
  <c r="D140" i="7"/>
  <c r="E140" i="7" s="1"/>
  <c r="D233" i="7"/>
  <c r="E233" i="7" s="1"/>
  <c r="D469" i="7"/>
  <c r="E469" i="7" s="1"/>
  <c r="D1240" i="7"/>
  <c r="E1240" i="7" s="1"/>
  <c r="D568" i="7"/>
  <c r="E568" i="7" s="1"/>
  <c r="D463" i="7"/>
  <c r="E463" i="7" s="1"/>
  <c r="D22" i="7"/>
  <c r="E22" i="7" s="1"/>
  <c r="L22" i="2" s="1"/>
  <c r="D806" i="7"/>
  <c r="E806" i="7" s="1"/>
  <c r="D1139" i="7"/>
  <c r="E1139" i="7" s="1"/>
  <c r="D143" i="7"/>
  <c r="E143" i="7" s="1"/>
  <c r="D67" i="7"/>
  <c r="E67" i="7" s="1"/>
  <c r="D241" i="7"/>
  <c r="E241" i="7" s="1"/>
  <c r="D65" i="7"/>
  <c r="E65" i="7" s="1"/>
  <c r="D21" i="7"/>
  <c r="E21" i="7" s="1"/>
  <c r="L21" i="2" s="1"/>
  <c r="D941" i="7"/>
  <c r="E941" i="7" s="1"/>
  <c r="D5114" i="7"/>
  <c r="E5114" i="7" s="1"/>
  <c r="D5578" i="7"/>
  <c r="E5578" i="7" s="1"/>
  <c r="D5342" i="7"/>
  <c r="E5342" i="7" s="1"/>
  <c r="D4682" i="7"/>
  <c r="E4682" i="7" s="1"/>
  <c r="D4894" i="7"/>
  <c r="E4894" i="7" s="1"/>
  <c r="D5459" i="7"/>
  <c r="E5459" i="7" s="1"/>
  <c r="D4379" i="7"/>
  <c r="E4379" i="7" s="1"/>
  <c r="D4282" i="7"/>
  <c r="E4282" i="7" s="1"/>
  <c r="D4187" i="7"/>
  <c r="E4187" i="7" s="1"/>
  <c r="D4478" i="7"/>
  <c r="E4478" i="7" s="1"/>
  <c r="D4787" i="7"/>
  <c r="E4787" i="7" s="1"/>
  <c r="D5227" i="7"/>
  <c r="E5227" i="7" s="1"/>
  <c r="D4579" i="7"/>
  <c r="E4579" i="7" s="1"/>
  <c r="D3113" i="7"/>
  <c r="E3113" i="7" s="1"/>
  <c r="D3578" i="7"/>
  <c r="E3578" i="7" s="1"/>
  <c r="D3076" i="7"/>
  <c r="E3076" i="7" s="1"/>
  <c r="D5003" i="7"/>
  <c r="E5003" i="7" s="1"/>
  <c r="D3827" i="7"/>
  <c r="E3827" i="7" s="1"/>
  <c r="D4094" i="7"/>
  <c r="E4094" i="7" s="1"/>
  <c r="D4003" i="7"/>
  <c r="E4003" i="7" s="1"/>
  <c r="D3659" i="7"/>
  <c r="E3659" i="7" s="1"/>
  <c r="D3914" i="7"/>
  <c r="E3914" i="7" s="1"/>
  <c r="D2049" i="7"/>
  <c r="E2049" i="7" s="1"/>
  <c r="D2168" i="7"/>
  <c r="E2168" i="7" s="1"/>
  <c r="D3419" i="7"/>
  <c r="E3419" i="7" s="1"/>
  <c r="D3226" i="7"/>
  <c r="E3226" i="7" s="1"/>
  <c r="D3380" i="7"/>
  <c r="E3380" i="7" s="1"/>
  <c r="D2930" i="7"/>
  <c r="E2930" i="7" s="1"/>
  <c r="D2788" i="7"/>
  <c r="E2788" i="7" s="1"/>
  <c r="D2823" i="7"/>
  <c r="E2823" i="7" s="1"/>
  <c r="D3742" i="7"/>
  <c r="E3742" i="7" s="1"/>
  <c r="D3538" i="7"/>
  <c r="E3538" i="7" s="1"/>
  <c r="D2966" i="7"/>
  <c r="E2966" i="7" s="1"/>
  <c r="D2138" i="7"/>
  <c r="E2138" i="7" s="1"/>
  <c r="D1823" i="7"/>
  <c r="E1823" i="7" s="1"/>
  <c r="D1629" i="7"/>
  <c r="E1629" i="7" s="1"/>
  <c r="D1934" i="7"/>
  <c r="E1934" i="7" s="1"/>
  <c r="D1770" i="7"/>
  <c r="E1770" i="7" s="1"/>
  <c r="D1609" i="7"/>
  <c r="E1609" i="7" s="1"/>
  <c r="D2684" i="7"/>
  <c r="E2684" i="7" s="1"/>
  <c r="D2260" i="7"/>
  <c r="E2260" i="7" s="1"/>
  <c r="D2386" i="7"/>
  <c r="E2386" i="7" s="1"/>
  <c r="D2549" i="7"/>
  <c r="E2549" i="7" s="1"/>
  <c r="D2650" i="7"/>
  <c r="E2650" i="7" s="1"/>
  <c r="D3264" i="7"/>
  <c r="E3264" i="7" s="1"/>
  <c r="D1551" i="7"/>
  <c r="E1551" i="7" s="1"/>
  <c r="D1446" i="7"/>
  <c r="E1446" i="7" s="1"/>
  <c r="D1906" i="7"/>
  <c r="E1906" i="7" s="1"/>
  <c r="D1514" i="7"/>
  <c r="E1514" i="7" s="1"/>
  <c r="D1479" i="7"/>
  <c r="E1479" i="7" s="1"/>
  <c r="D2516" i="7"/>
  <c r="E2516" i="7" s="1"/>
  <c r="D1066" i="7"/>
  <c r="E1066" i="7" s="1"/>
  <c r="D1372" i="7"/>
  <c r="E1372" i="7" s="1"/>
  <c r="D1719" i="7"/>
  <c r="E1719" i="7" s="1"/>
  <c r="D970" i="7"/>
  <c r="E970" i="7" s="1"/>
  <c r="D2418" i="7"/>
  <c r="E2418" i="7" s="1"/>
  <c r="D2020" i="7"/>
  <c r="E2020" i="7" s="1"/>
  <c r="D1570" i="7"/>
  <c r="E1570" i="7" s="1"/>
  <c r="D1672" i="7"/>
  <c r="E1672" i="7" s="1"/>
  <c r="D2291" i="7"/>
  <c r="E2291" i="7" s="1"/>
  <c r="D1262" i="7"/>
  <c r="E1262" i="7" s="1"/>
  <c r="D1160" i="7"/>
  <c r="E1160" i="7" s="1"/>
  <c r="D1415" i="7"/>
  <c r="E1415" i="7" s="1"/>
  <c r="D5581" i="7"/>
  <c r="E5581" i="7" s="1"/>
  <c r="D5230" i="7"/>
  <c r="E5230" i="7" s="1"/>
  <c r="D4382" i="7"/>
  <c r="E4382" i="7" s="1"/>
  <c r="D5462" i="7"/>
  <c r="E5462" i="7" s="1"/>
  <c r="D5345" i="7"/>
  <c r="E5345" i="7" s="1"/>
  <c r="D4190" i="7"/>
  <c r="E4190" i="7" s="1"/>
  <c r="D3383" i="7"/>
  <c r="E3383" i="7" s="1"/>
  <c r="D5117" i="7"/>
  <c r="E5117" i="7" s="1"/>
  <c r="D4097" i="7"/>
  <c r="E4097" i="7" s="1"/>
  <c r="D4481" i="7"/>
  <c r="E4481" i="7" s="1"/>
  <c r="D3541" i="7"/>
  <c r="E3541" i="7" s="1"/>
  <c r="D4790" i="7"/>
  <c r="E4790" i="7" s="1"/>
  <c r="D4685" i="7"/>
  <c r="E4685" i="7" s="1"/>
  <c r="D4897" i="7"/>
  <c r="E4897" i="7" s="1"/>
  <c r="D4582" i="7"/>
  <c r="E4582" i="7" s="1"/>
  <c r="D5006" i="7"/>
  <c r="E5006" i="7" s="1"/>
  <c r="D4285" i="7"/>
  <c r="E4285" i="7" s="1"/>
  <c r="D3830" i="7"/>
  <c r="E3830" i="7" s="1"/>
  <c r="D3662" i="7"/>
  <c r="E3662" i="7" s="1"/>
  <c r="D4006" i="7"/>
  <c r="E4006" i="7" s="1"/>
  <c r="D2969" i="7"/>
  <c r="E2969" i="7" s="1"/>
  <c r="D2933" i="7"/>
  <c r="E2933" i="7" s="1"/>
  <c r="D3229" i="7"/>
  <c r="E3229" i="7" s="1"/>
  <c r="D2389" i="7"/>
  <c r="E2389" i="7" s="1"/>
  <c r="D2791" i="7"/>
  <c r="E2791" i="7" s="1"/>
  <c r="D3116" i="7"/>
  <c r="E3116" i="7" s="1"/>
  <c r="D3745" i="7"/>
  <c r="E3745" i="7" s="1"/>
  <c r="D3917" i="7"/>
  <c r="E3917" i="7" s="1"/>
  <c r="D3581" i="7"/>
  <c r="E3581" i="7" s="1"/>
  <c r="D3422" i="7"/>
  <c r="E3422" i="7" s="1"/>
  <c r="D2687" i="7"/>
  <c r="E2687" i="7" s="1"/>
  <c r="D1418" i="7"/>
  <c r="E1418" i="7" s="1"/>
  <c r="D2263" i="7"/>
  <c r="E2263" i="7" s="1"/>
  <c r="D2653" i="7"/>
  <c r="E2653" i="7" s="1"/>
  <c r="D2552" i="7"/>
  <c r="E2552" i="7" s="1"/>
  <c r="D3267" i="7"/>
  <c r="E3267" i="7" s="1"/>
  <c r="D2826" i="7"/>
  <c r="E2826" i="7" s="1"/>
  <c r="D1675" i="7"/>
  <c r="E1675" i="7" s="1"/>
  <c r="D2171" i="7"/>
  <c r="E2171" i="7" s="1"/>
  <c r="D3079" i="7"/>
  <c r="E3079" i="7" s="1"/>
  <c r="D2519" i="7"/>
  <c r="E2519" i="7" s="1"/>
  <c r="D2294" i="7"/>
  <c r="E2294" i="7" s="1"/>
  <c r="D2023" i="7"/>
  <c r="E2023" i="7" s="1"/>
  <c r="D2421" i="7"/>
  <c r="E2421" i="7" s="1"/>
  <c r="D2141" i="7"/>
  <c r="E2141" i="7" s="1"/>
  <c r="D1773" i="7"/>
  <c r="E1773" i="7" s="1"/>
  <c r="D1612" i="7"/>
  <c r="E1612" i="7" s="1"/>
  <c r="D1554" i="7"/>
  <c r="E1554" i="7" s="1"/>
  <c r="D1482" i="7"/>
  <c r="E1482" i="7" s="1"/>
  <c r="D1826" i="7"/>
  <c r="E1826" i="7" s="1"/>
  <c r="D1265" i="7"/>
  <c r="E1265" i="7" s="1"/>
  <c r="D1632" i="7"/>
  <c r="E1632" i="7" s="1"/>
  <c r="D1909" i="7"/>
  <c r="E1909" i="7" s="1"/>
  <c r="D1573" i="7"/>
  <c r="E1573" i="7" s="1"/>
  <c r="D1449" i="7"/>
  <c r="E1449" i="7" s="1"/>
  <c r="D1937" i="7"/>
  <c r="E1937" i="7" s="1"/>
  <c r="D1517" i="7"/>
  <c r="E1517" i="7" s="1"/>
  <c r="D2052" i="7"/>
  <c r="E2052" i="7" s="1"/>
  <c r="D1722" i="7"/>
  <c r="E1722" i="7" s="1"/>
  <c r="D1375" i="7"/>
  <c r="E1375" i="7" s="1"/>
  <c r="J266" i="2"/>
  <c r="J310" i="2"/>
  <c r="J316" i="2"/>
  <c r="D461" i="7"/>
  <c r="E461" i="7" s="1"/>
  <c r="D343" i="7"/>
  <c r="E343" i="7" s="1"/>
  <c r="D5588" i="7"/>
  <c r="E5588" i="7" s="1"/>
  <c r="D5469" i="7"/>
  <c r="E5469" i="7" s="1"/>
  <c r="D5124" i="7"/>
  <c r="E5124" i="7" s="1"/>
  <c r="D5013" i="7"/>
  <c r="E5013" i="7" s="1"/>
  <c r="D5352" i="7"/>
  <c r="E5352" i="7" s="1"/>
  <c r="D5237" i="7"/>
  <c r="E5237" i="7" s="1"/>
  <c r="D4013" i="7"/>
  <c r="E4013" i="7" s="1"/>
  <c r="D4904" i="7"/>
  <c r="E4904" i="7" s="1"/>
  <c r="D4797" i="7"/>
  <c r="E4797" i="7" s="1"/>
  <c r="D3429" i="7"/>
  <c r="E3429" i="7" s="1"/>
  <c r="D4589" i="7"/>
  <c r="E4589" i="7" s="1"/>
  <c r="D4292" i="7"/>
  <c r="E4292" i="7" s="1"/>
  <c r="D4389" i="7"/>
  <c r="E4389" i="7" s="1"/>
  <c r="D4197" i="7"/>
  <c r="E4197" i="7" s="1"/>
  <c r="D4692" i="7"/>
  <c r="E4692" i="7" s="1"/>
  <c r="D4104" i="7"/>
  <c r="E4104" i="7" s="1"/>
  <c r="D2833" i="7"/>
  <c r="E2833" i="7" s="1"/>
  <c r="D3669" i="7"/>
  <c r="E3669" i="7" s="1"/>
  <c r="D2976" i="7"/>
  <c r="E2976" i="7" s="1"/>
  <c r="D3752" i="7"/>
  <c r="E3752" i="7" s="1"/>
  <c r="D3924" i="7"/>
  <c r="E3924" i="7" s="1"/>
  <c r="D3548" i="7"/>
  <c r="E3548" i="7" s="1"/>
  <c r="D3588" i="7"/>
  <c r="E3588" i="7" s="1"/>
  <c r="D4488" i="7"/>
  <c r="E4488" i="7" s="1"/>
  <c r="D3837" i="7"/>
  <c r="E3837" i="7" s="1"/>
  <c r="D3123" i="7"/>
  <c r="E3123" i="7" s="1"/>
  <c r="D2526" i="7"/>
  <c r="E2526" i="7" s="1"/>
  <c r="D2270" i="7"/>
  <c r="E2270" i="7" s="1"/>
  <c r="D2559" i="7"/>
  <c r="E2559" i="7" s="1"/>
  <c r="D3086" i="7"/>
  <c r="E3086" i="7" s="1"/>
  <c r="D3274" i="7"/>
  <c r="E3274" i="7" s="1"/>
  <c r="D3390" i="7"/>
  <c r="E3390" i="7" s="1"/>
  <c r="D2178" i="7"/>
  <c r="E2178" i="7" s="1"/>
  <c r="D2301" i="7"/>
  <c r="E2301" i="7" s="1"/>
  <c r="D2940" i="7"/>
  <c r="E2940" i="7" s="1"/>
  <c r="D2030" i="7"/>
  <c r="E2030" i="7" s="1"/>
  <c r="D2428" i="7"/>
  <c r="E2428" i="7" s="1"/>
  <c r="D1780" i="7"/>
  <c r="E1780" i="7" s="1"/>
  <c r="D1833" i="7"/>
  <c r="E1833" i="7" s="1"/>
  <c r="D1639" i="7"/>
  <c r="E1639" i="7" s="1"/>
  <c r="D2148" i="7"/>
  <c r="E2148" i="7" s="1"/>
  <c r="D1944" i="7"/>
  <c r="E1944" i="7" s="1"/>
  <c r="D1619" i="7"/>
  <c r="E1619" i="7" s="1"/>
  <c r="D3236" i="7"/>
  <c r="E3236" i="7" s="1"/>
  <c r="D2798" i="7"/>
  <c r="E2798" i="7" s="1"/>
  <c r="D2694" i="7"/>
  <c r="E2694" i="7" s="1"/>
  <c r="D1916" i="7"/>
  <c r="E1916" i="7" s="1"/>
  <c r="D2396" i="7"/>
  <c r="E2396" i="7" s="1"/>
  <c r="D1682" i="7"/>
  <c r="E1682" i="7" s="1"/>
  <c r="D1729" i="7"/>
  <c r="E1729" i="7" s="1"/>
  <c r="D2660" i="7"/>
  <c r="E2660" i="7" s="1"/>
  <c r="D2059" i="7"/>
  <c r="E2059" i="7" s="1"/>
  <c r="D810" i="7"/>
  <c r="E810" i="7" s="1"/>
  <c r="D1244" i="7"/>
  <c r="E1244" i="7" s="1"/>
  <c r="D1143" i="7"/>
  <c r="E1143" i="7" s="1"/>
  <c r="D945" i="7"/>
  <c r="E945" i="7" s="1"/>
  <c r="D801" i="7"/>
  <c r="E801" i="7" s="1"/>
  <c r="D473" i="7"/>
  <c r="E473" i="7" s="1"/>
  <c r="D579" i="7"/>
  <c r="E579" i="7" s="1"/>
  <c r="D348" i="7"/>
  <c r="E348" i="7" s="1"/>
  <c r="D572" i="7"/>
  <c r="E572" i="7" s="1"/>
  <c r="D688" i="7"/>
  <c r="E688" i="7" s="1"/>
  <c r="D467" i="7"/>
  <c r="E467" i="7" s="1"/>
  <c r="D1050" i="7"/>
  <c r="E1050" i="7" s="1"/>
  <c r="D955" i="7"/>
  <c r="E955" i="7" s="1"/>
  <c r="D1353" i="7"/>
  <c r="E1353" i="7" s="1"/>
  <c r="D353" i="7"/>
  <c r="E353" i="7" s="1"/>
  <c r="D680" i="7"/>
  <c r="E680" i="7" s="1"/>
  <c r="D5327" i="7"/>
  <c r="E5327" i="7" s="1"/>
  <c r="D5443" i="7"/>
  <c r="E5443" i="7" s="1"/>
  <c r="D5101" i="7"/>
  <c r="E5101" i="7" s="1"/>
  <c r="D5213" i="7"/>
  <c r="E5213" i="7" s="1"/>
  <c r="D4883" i="7"/>
  <c r="E4883" i="7" s="1"/>
  <c r="D5561" i="7"/>
  <c r="E5561" i="7" s="1"/>
  <c r="D4991" i="7"/>
  <c r="E4991" i="7" s="1"/>
  <c r="D4777" i="7"/>
  <c r="E4777" i="7" s="1"/>
  <c r="D5411" i="7"/>
  <c r="E5411" i="7" s="1"/>
  <c r="D5529" i="7"/>
  <c r="E5529" i="7" s="1"/>
  <c r="D5069" i="7"/>
  <c r="E5069" i="7" s="1"/>
  <c r="D4641" i="7"/>
  <c r="E4641" i="7" s="1"/>
  <c r="D4959" i="7"/>
  <c r="E4959" i="7" s="1"/>
  <c r="D4341" i="7"/>
  <c r="E4341" i="7" s="1"/>
  <c r="D4245" i="7"/>
  <c r="E4245" i="7" s="1"/>
  <c r="D4151" i="7"/>
  <c r="E4151" i="7" s="1"/>
  <c r="D4439" i="7"/>
  <c r="E4439" i="7" s="1"/>
  <c r="D3509" i="7"/>
  <c r="E3509" i="7" s="1"/>
  <c r="D5181" i="7"/>
  <c r="E5181" i="7" s="1"/>
  <c r="D4851" i="7"/>
  <c r="E4851" i="7" s="1"/>
  <c r="D4539" i="7"/>
  <c r="E4539" i="7" s="1"/>
  <c r="D4745" i="7"/>
  <c r="E4745" i="7" s="1"/>
  <c r="D5295" i="7"/>
  <c r="E5295" i="7" s="1"/>
  <c r="D3881" i="7"/>
  <c r="E3881" i="7" s="1"/>
  <c r="D3199" i="7"/>
  <c r="E3199" i="7" s="1"/>
  <c r="D3711" i="7"/>
  <c r="E3711" i="7" s="1"/>
  <c r="D3352" i="7"/>
  <c r="E3352" i="7" s="1"/>
  <c r="D2905" i="7"/>
  <c r="E2905" i="7" s="1"/>
  <c r="D3313" i="7"/>
  <c r="E3313" i="7" s="1"/>
  <c r="D4059" i="7"/>
  <c r="E4059" i="7" s="1"/>
  <c r="D3969" i="7"/>
  <c r="E3969" i="7" s="1"/>
  <c r="D2593" i="7"/>
  <c r="E2593" i="7" s="1"/>
  <c r="D2869" i="7"/>
  <c r="E2869" i="7" s="1"/>
  <c r="D2627" i="7"/>
  <c r="E2627" i="7" s="1"/>
  <c r="D2729" i="7"/>
  <c r="E2729" i="7" s="1"/>
  <c r="D3013" i="7"/>
  <c r="E3013" i="7" s="1"/>
  <c r="D2764" i="7"/>
  <c r="E2764" i="7" s="1"/>
  <c r="D3161" i="7"/>
  <c r="E3161" i="7" s="1"/>
  <c r="D3795" i="7"/>
  <c r="E3795" i="7" s="1"/>
  <c r="D3469" i="7"/>
  <c r="E3469" i="7" s="1"/>
  <c r="D3050" i="7"/>
  <c r="E3050" i="7" s="1"/>
  <c r="D2461" i="7"/>
  <c r="E2461" i="7" s="1"/>
  <c r="D1973" i="7"/>
  <c r="E1973" i="7" s="1"/>
  <c r="D2365" i="7"/>
  <c r="E2365" i="7" s="1"/>
  <c r="D3629" i="7"/>
  <c r="E3629" i="7" s="1"/>
  <c r="D2089" i="7"/>
  <c r="E2089" i="7" s="1"/>
  <c r="D2209" i="7"/>
  <c r="E2209" i="7" s="1"/>
  <c r="D2494" i="7"/>
  <c r="E2494" i="7" s="1"/>
  <c r="D1889" i="7"/>
  <c r="E1889" i="7" s="1"/>
  <c r="D2333" i="7"/>
  <c r="E2333" i="7" s="1"/>
  <c r="D1661" i="7"/>
  <c r="E1661" i="7" s="1"/>
  <c r="D1706" i="7"/>
  <c r="E1706" i="7" s="1"/>
  <c r="D2119" i="7"/>
  <c r="E2119" i="7" s="1"/>
  <c r="D1755" i="7"/>
  <c r="E1755" i="7" s="1"/>
  <c r="D1807" i="7"/>
  <c r="E1807" i="7" s="1"/>
  <c r="D2002" i="7"/>
  <c r="E2002" i="7" s="1"/>
  <c r="D1861" i="7"/>
  <c r="E1861" i="7" s="1"/>
  <c r="D5621" i="7"/>
  <c r="E5621" i="7" s="1"/>
  <c r="D4937" i="7"/>
  <c r="E4937" i="7" s="1"/>
  <c r="D5046" i="7"/>
  <c r="E5046" i="7" s="1"/>
  <c r="D5157" i="7"/>
  <c r="E5157" i="7" s="1"/>
  <c r="D5502" i="7"/>
  <c r="E5502" i="7" s="1"/>
  <c r="D5270" i="7"/>
  <c r="E5270" i="7" s="1"/>
  <c r="D5385" i="7"/>
  <c r="E5385" i="7" s="1"/>
  <c r="D4830" i="7"/>
  <c r="E4830" i="7" s="1"/>
  <c r="D5454" i="7"/>
  <c r="E5454" i="7" s="1"/>
  <c r="D4889" i="7"/>
  <c r="E4889" i="7" s="1"/>
  <c r="D4677" i="7"/>
  <c r="E4677" i="7" s="1"/>
  <c r="D4998" i="7"/>
  <c r="E4998" i="7" s="1"/>
  <c r="D5573" i="7"/>
  <c r="E5573" i="7" s="1"/>
  <c r="D5109" i="7"/>
  <c r="E5109" i="7" s="1"/>
  <c r="D4782" i="7"/>
  <c r="E4782" i="7" s="1"/>
  <c r="D4473" i="7"/>
  <c r="E4473" i="7" s="1"/>
  <c r="D4277" i="7"/>
  <c r="E4277" i="7" s="1"/>
  <c r="D5337" i="7"/>
  <c r="E5337" i="7" s="1"/>
  <c r="D4574" i="7"/>
  <c r="E4574" i="7" s="1"/>
  <c r="D3909" i="7"/>
  <c r="E3909" i="7" s="1"/>
  <c r="D3414" i="7"/>
  <c r="E3414" i="7" s="1"/>
  <c r="D3573" i="7"/>
  <c r="E3573" i="7" s="1"/>
  <c r="D4374" i="7"/>
  <c r="E4374" i="7" s="1"/>
  <c r="D4182" i="7"/>
  <c r="E4182" i="7" s="1"/>
  <c r="D4089" i="7"/>
  <c r="E4089" i="7" s="1"/>
  <c r="D5222" i="7"/>
  <c r="E5222" i="7" s="1"/>
  <c r="D2961" i="7"/>
  <c r="E2961" i="7" s="1"/>
  <c r="D3737" i="7"/>
  <c r="E3737" i="7" s="1"/>
  <c r="D2783" i="7"/>
  <c r="E2783" i="7" s="1"/>
  <c r="D3533" i="7"/>
  <c r="E3533" i="7" s="1"/>
  <c r="D3822" i="7"/>
  <c r="E3822" i="7" s="1"/>
  <c r="D3998" i="7"/>
  <c r="E3998" i="7" s="1"/>
  <c r="D3071" i="7"/>
  <c r="E3071" i="7" s="1"/>
  <c r="D2645" i="7"/>
  <c r="E2645" i="7" s="1"/>
  <c r="D3375" i="7"/>
  <c r="E3375" i="7" s="1"/>
  <c r="D3221" i="7"/>
  <c r="E3221" i="7" s="1"/>
  <c r="D2925" i="7"/>
  <c r="E2925" i="7" s="1"/>
  <c r="D3654" i="7"/>
  <c r="E3654" i="7" s="1"/>
  <c r="D3108" i="7"/>
  <c r="E3108" i="7" s="1"/>
  <c r="D1367" i="7"/>
  <c r="E1367" i="7" s="1"/>
  <c r="D2413" i="7"/>
  <c r="E2413" i="7" s="1"/>
  <c r="D2015" i="7"/>
  <c r="E2015" i="7" s="1"/>
  <c r="D1714" i="7"/>
  <c r="E1714" i="7" s="1"/>
  <c r="D2133" i="7"/>
  <c r="E2133" i="7" s="1"/>
  <c r="D2679" i="7"/>
  <c r="E2679" i="7" s="1"/>
  <c r="D3259" i="7"/>
  <c r="E3259" i="7" s="1"/>
  <c r="D1604" i="7"/>
  <c r="E1604" i="7" s="1"/>
  <c r="D2381" i="7"/>
  <c r="E2381" i="7" s="1"/>
  <c r="D2255" i="7"/>
  <c r="E2255" i="7" s="1"/>
  <c r="D2818" i="7"/>
  <c r="E2818" i="7" s="1"/>
  <c r="D2544" i="7"/>
  <c r="E2544" i="7" s="1"/>
  <c r="D2044" i="7"/>
  <c r="E2044" i="7" s="1"/>
  <c r="D2511" i="7"/>
  <c r="E2511" i="7" s="1"/>
  <c r="D2286" i="7"/>
  <c r="E2286" i="7" s="1"/>
  <c r="D1509" i="7"/>
  <c r="E1509" i="7" s="1"/>
  <c r="D1410" i="7"/>
  <c r="E1410" i="7" s="1"/>
  <c r="D1765" i="7"/>
  <c r="E1765" i="7" s="1"/>
  <c r="D1474" i="7"/>
  <c r="E1474" i="7" s="1"/>
  <c r="D1818" i="7"/>
  <c r="E1818" i="7" s="1"/>
  <c r="D1155" i="7"/>
  <c r="E1155" i="7" s="1"/>
  <c r="D819" i="7"/>
  <c r="E819" i="7" s="1"/>
  <c r="D586" i="7"/>
  <c r="E586" i="7" s="1"/>
  <c r="D1546" i="7"/>
  <c r="E1546" i="7" s="1"/>
  <c r="D1257" i="7"/>
  <c r="E1257" i="7" s="1"/>
  <c r="D1624" i="7"/>
  <c r="E1624" i="7" s="1"/>
  <c r="D1901" i="7"/>
  <c r="E1901" i="7" s="1"/>
  <c r="D2163" i="7"/>
  <c r="E2163" i="7" s="1"/>
  <c r="D1929" i="7"/>
  <c r="E1929" i="7" s="1"/>
  <c r="D1667" i="7"/>
  <c r="E1667" i="7" s="1"/>
  <c r="D696" i="7"/>
  <c r="E696" i="7" s="1"/>
  <c r="D368" i="7"/>
  <c r="E368" i="7" s="1"/>
  <c r="D1061" i="7"/>
  <c r="E1061" i="7" s="1"/>
  <c r="D491" i="7"/>
  <c r="E491" i="7" s="1"/>
  <c r="D1441" i="7"/>
  <c r="E1441" i="7" s="1"/>
  <c r="D965" i="7"/>
  <c r="E965" i="7" s="1"/>
  <c r="D363" i="7"/>
  <c r="E363" i="7" s="1"/>
  <c r="D485" i="7"/>
  <c r="E485" i="7" s="1"/>
  <c r="D358" i="7"/>
  <c r="E358" i="7" s="1"/>
  <c r="D1565" i="7"/>
  <c r="E1565" i="7" s="1"/>
  <c r="D828" i="7"/>
  <c r="E828" i="7" s="1"/>
  <c r="D479" i="7"/>
  <c r="E479" i="7" s="1"/>
  <c r="D5288" i="7"/>
  <c r="E5288" i="7" s="1"/>
  <c r="D5404" i="7"/>
  <c r="E5404" i="7" s="1"/>
  <c r="D5522" i="7"/>
  <c r="E5522" i="7" s="1"/>
  <c r="D4844" i="7"/>
  <c r="E4844" i="7" s="1"/>
  <c r="D5174" i="7"/>
  <c r="E5174" i="7" s="1"/>
  <c r="D3962" i="7"/>
  <c r="E3962" i="7" s="1"/>
  <c r="D4738" i="7"/>
  <c r="E4738" i="7" s="1"/>
  <c r="D3462" i="7"/>
  <c r="E3462" i="7" s="1"/>
  <c r="D3874" i="7"/>
  <c r="E3874" i="7" s="1"/>
  <c r="D3704" i="7"/>
  <c r="E3704" i="7" s="1"/>
  <c r="D4634" i="7"/>
  <c r="E4634" i="7" s="1"/>
  <c r="D4238" i="7"/>
  <c r="E4238" i="7" s="1"/>
  <c r="D4432" i="7"/>
  <c r="E4432" i="7" s="1"/>
  <c r="D4334" i="7"/>
  <c r="E4334" i="7" s="1"/>
  <c r="D4144" i="7"/>
  <c r="E4144" i="7" s="1"/>
  <c r="D5062" i="7"/>
  <c r="E5062" i="7" s="1"/>
  <c r="D4532" i="7"/>
  <c r="E4532" i="7" s="1"/>
  <c r="D3306" i="7"/>
  <c r="E3306" i="7" s="1"/>
  <c r="D3043" i="7"/>
  <c r="E3043" i="7" s="1"/>
  <c r="D3622" i="7"/>
  <c r="E3622" i="7" s="1"/>
  <c r="D4952" i="7"/>
  <c r="E4952" i="7" s="1"/>
  <c r="D3192" i="7"/>
  <c r="E3192" i="7" s="1"/>
  <c r="D3502" i="7"/>
  <c r="E3502" i="7" s="1"/>
  <c r="D4052" i="7"/>
  <c r="E4052" i="7" s="1"/>
  <c r="D2202" i="7"/>
  <c r="E2202" i="7" s="1"/>
  <c r="D3345" i="7"/>
  <c r="E3345" i="7" s="1"/>
  <c r="D2862" i="7"/>
  <c r="E2862" i="7" s="1"/>
  <c r="D3788" i="7"/>
  <c r="E3788" i="7" s="1"/>
  <c r="D2722" i="7"/>
  <c r="E2722" i="7" s="1"/>
  <c r="D1995" i="7"/>
  <c r="E1995" i="7" s="1"/>
  <c r="D1699" i="7"/>
  <c r="E1699" i="7" s="1"/>
  <c r="D2757" i="7"/>
  <c r="E2757" i="7" s="1"/>
  <c r="D2326" i="7"/>
  <c r="E2326" i="7" s="1"/>
  <c r="D1593" i="7"/>
  <c r="E1593" i="7" s="1"/>
  <c r="D1434" i="7"/>
  <c r="E1434" i="7" s="1"/>
  <c r="D2112" i="7"/>
  <c r="E2112" i="7" s="1"/>
  <c r="D2454" i="7"/>
  <c r="E2454" i="7" s="1"/>
  <c r="D3006" i="7"/>
  <c r="E3006" i="7" s="1"/>
  <c r="D2620" i="7"/>
  <c r="E2620" i="7" s="1"/>
  <c r="D3154" i="7"/>
  <c r="E3154" i="7" s="1"/>
  <c r="D1966" i="7"/>
  <c r="E1966" i="7" s="1"/>
  <c r="D2358" i="7"/>
  <c r="E2358" i="7" s="1"/>
  <c r="D2586" i="7"/>
  <c r="E2586" i="7" s="1"/>
  <c r="D2898" i="7"/>
  <c r="E2898" i="7" s="1"/>
  <c r="D2487" i="7"/>
  <c r="E2487" i="7" s="1"/>
  <c r="D1800" i="7"/>
  <c r="E1800" i="7" s="1"/>
  <c r="D1854" i="7"/>
  <c r="E1854" i="7" s="1"/>
  <c r="D2082" i="7"/>
  <c r="E2082" i="7" s="1"/>
  <c r="D1882" i="7"/>
  <c r="E1882" i="7" s="1"/>
  <c r="D1500" i="7"/>
  <c r="E1500" i="7" s="1"/>
  <c r="D1654" i="7"/>
  <c r="E1654" i="7" s="1"/>
  <c r="D1404" i="7"/>
  <c r="E1404" i="7" s="1"/>
  <c r="D1320" i="7"/>
  <c r="E1320" i="7" s="1"/>
  <c r="D1748" i="7"/>
  <c r="E1748" i="7" s="1"/>
  <c r="D1536" i="7"/>
  <c r="E1536" i="7" s="1"/>
  <c r="D1466" i="7"/>
  <c r="E1466" i="7" s="1"/>
  <c r="D5328" i="7"/>
  <c r="E5328" i="7" s="1"/>
  <c r="D5444" i="7"/>
  <c r="E5444" i="7" s="1"/>
  <c r="D4992" i="7"/>
  <c r="E4992" i="7" s="1"/>
  <c r="D5102" i="7"/>
  <c r="E5102" i="7" s="1"/>
  <c r="D4884" i="7"/>
  <c r="E4884" i="7" s="1"/>
  <c r="D5562" i="7"/>
  <c r="E5562" i="7" s="1"/>
  <c r="D5214" i="7"/>
  <c r="E5214" i="7" s="1"/>
  <c r="H133" i="2"/>
  <c r="J133" i="2" s="1"/>
  <c r="D5622" i="7"/>
  <c r="E5622" i="7" s="1"/>
  <c r="D4938" i="7"/>
  <c r="E4938" i="7" s="1"/>
  <c r="D5047" i="7"/>
  <c r="E5047" i="7" s="1"/>
  <c r="D5158" i="7"/>
  <c r="E5158" i="7" s="1"/>
  <c r="D5503" i="7"/>
  <c r="E5503" i="7" s="1"/>
  <c r="D5271" i="7"/>
  <c r="E5271" i="7" s="1"/>
  <c r="D5386" i="7"/>
  <c r="E5386" i="7" s="1"/>
  <c r="J345" i="2"/>
  <c r="D178" i="7"/>
  <c r="E178" i="7" s="1"/>
  <c r="D285" i="7"/>
  <c r="E285" i="7" s="1"/>
  <c r="D96" i="7"/>
  <c r="E96" i="7" s="1"/>
  <c r="D398" i="7"/>
  <c r="E398" i="7" s="1"/>
  <c r="D38" i="7"/>
  <c r="E38" i="7" s="1"/>
  <c r="D180" i="7"/>
  <c r="E180" i="7" s="1"/>
  <c r="D287" i="7"/>
  <c r="E287" i="7" s="1"/>
  <c r="D400" i="7"/>
  <c r="E400" i="7" s="1"/>
  <c r="D5133" i="7"/>
  <c r="E5133" i="7" s="1"/>
  <c r="D5597" i="7"/>
  <c r="E5597" i="7" s="1"/>
  <c r="D5361" i="7"/>
  <c r="E5361" i="7" s="1"/>
  <c r="D4701" i="7"/>
  <c r="E4701" i="7" s="1"/>
  <c r="D5022" i="7"/>
  <c r="E5022" i="7" s="1"/>
  <c r="D5246" i="7"/>
  <c r="E5246" i="7" s="1"/>
  <c r="D4398" i="7"/>
  <c r="E4398" i="7" s="1"/>
  <c r="D3399" i="7"/>
  <c r="E3399" i="7" s="1"/>
  <c r="D5478" i="7"/>
  <c r="E5478" i="7" s="1"/>
  <c r="D4301" i="7"/>
  <c r="E4301" i="7" s="1"/>
  <c r="D4206" i="7"/>
  <c r="E4206" i="7" s="1"/>
  <c r="D3557" i="7"/>
  <c r="E3557" i="7" s="1"/>
  <c r="D4497" i="7"/>
  <c r="E4497" i="7" s="1"/>
  <c r="D4022" i="7"/>
  <c r="E4022" i="7" s="1"/>
  <c r="D4806" i="7"/>
  <c r="E4806" i="7" s="1"/>
  <c r="D3095" i="7"/>
  <c r="E3095" i="7" s="1"/>
  <c r="D3761" i="7"/>
  <c r="E3761" i="7" s="1"/>
  <c r="D3933" i="7"/>
  <c r="E3933" i="7" s="1"/>
  <c r="D3597" i="7"/>
  <c r="E3597" i="7" s="1"/>
  <c r="D4913" i="7"/>
  <c r="E4913" i="7" s="1"/>
  <c r="D3245" i="7"/>
  <c r="E3245" i="7" s="1"/>
  <c r="D3846" i="7"/>
  <c r="E3846" i="7" s="1"/>
  <c r="D4598" i="7"/>
  <c r="E4598" i="7" s="1"/>
  <c r="D2985" i="7"/>
  <c r="E2985" i="7" s="1"/>
  <c r="D4113" i="7"/>
  <c r="E4113" i="7" s="1"/>
  <c r="D3283" i="7"/>
  <c r="E3283" i="7" s="1"/>
  <c r="D2405" i="7"/>
  <c r="E2405" i="7" s="1"/>
  <c r="D3678" i="7"/>
  <c r="E3678" i="7" s="1"/>
  <c r="D2949" i="7"/>
  <c r="E2949" i="7" s="1"/>
  <c r="D2842" i="7"/>
  <c r="E2842" i="7" s="1"/>
  <c r="D3438" i="7"/>
  <c r="E3438" i="7" s="1"/>
  <c r="D2157" i="7"/>
  <c r="E2157" i="7" s="1"/>
  <c r="D2279" i="7"/>
  <c r="E2279" i="7" s="1"/>
  <c r="D2568" i="7"/>
  <c r="E2568" i="7" s="1"/>
  <c r="D2068" i="7"/>
  <c r="E2068" i="7" s="1"/>
  <c r="D2703" i="7"/>
  <c r="E2703" i="7" s="1"/>
  <c r="D2669" i="7"/>
  <c r="E2669" i="7" s="1"/>
  <c r="D3132" i="7"/>
  <c r="E3132" i="7" s="1"/>
  <c r="D2807" i="7"/>
  <c r="E2807" i="7" s="1"/>
  <c r="D2535" i="7"/>
  <c r="E2535" i="7" s="1"/>
  <c r="D2039" i="7"/>
  <c r="E2039" i="7" s="1"/>
  <c r="D2187" i="7"/>
  <c r="E2187" i="7" s="1"/>
  <c r="D2310" i="7"/>
  <c r="E2310" i="7" s="1"/>
  <c r="D2437" i="7"/>
  <c r="E2437" i="7" s="1"/>
  <c r="D1094" i="7"/>
  <c r="E1094" i="7" s="1"/>
  <c r="D1005" i="7"/>
  <c r="E1005" i="7" s="1"/>
  <c r="D874" i="7"/>
  <c r="E874" i="7" s="1"/>
  <c r="D1296" i="7"/>
  <c r="E1296" i="7" s="1"/>
  <c r="D746" i="7"/>
  <c r="E746" i="7" s="1"/>
  <c r="D412" i="7"/>
  <c r="E412" i="7" s="1"/>
  <c r="D292" i="7"/>
  <c r="E292" i="7" s="1"/>
  <c r="D623" i="7"/>
  <c r="E623" i="7" s="1"/>
  <c r="D406" i="7"/>
  <c r="E406" i="7" s="1"/>
  <c r="D192" i="7"/>
  <c r="E192" i="7" s="1"/>
  <c r="D737" i="7"/>
  <c r="E737" i="7" s="1"/>
  <c r="D615" i="7"/>
  <c r="E615" i="7" s="1"/>
  <c r="D529" i="7"/>
  <c r="E529" i="7" s="1"/>
  <c r="D1191" i="7"/>
  <c r="E1191" i="7" s="1"/>
  <c r="D188" i="7"/>
  <c r="E188" i="7" s="1"/>
  <c r="D884" i="7"/>
  <c r="E884" i="7" s="1"/>
  <c r="D297" i="7"/>
  <c r="E297" i="7" s="1"/>
  <c r="D184" i="7"/>
  <c r="E184" i="7" s="1"/>
  <c r="D522" i="7"/>
  <c r="E522" i="7" s="1"/>
  <c r="D659" i="7"/>
  <c r="E659" i="7" s="1"/>
  <c r="D1328" i="7"/>
  <c r="E1328" i="7" s="1"/>
  <c r="D1122" i="7"/>
  <c r="E1122" i="7" s="1"/>
  <c r="D768" i="7"/>
  <c r="E768" i="7" s="1"/>
  <c r="D651" i="7"/>
  <c r="E651" i="7" s="1"/>
  <c r="D908" i="7"/>
  <c r="E908" i="7" s="1"/>
  <c r="D2227" i="7"/>
  <c r="E2227" i="7" s="1"/>
  <c r="D1031" i="7"/>
  <c r="E1031" i="7" s="1"/>
  <c r="D918" i="7"/>
  <c r="E918" i="7" s="1"/>
  <c r="D777" i="7"/>
  <c r="E777" i="7" s="1"/>
  <c r="D1221" i="7"/>
  <c r="E1221" i="7" s="1"/>
  <c r="D1331" i="7"/>
  <c r="E1331" i="7" s="1"/>
  <c r="D1125" i="7"/>
  <c r="E1125" i="7" s="1"/>
  <c r="D2230" i="7"/>
  <c r="E2230" i="7" s="1"/>
  <c r="D1224" i="7"/>
  <c r="E1224" i="7" s="1"/>
  <c r="D1034" i="7"/>
  <c r="E1034" i="7" s="1"/>
  <c r="D5231" i="7"/>
  <c r="E5231" i="7" s="1"/>
  <c r="D4383" i="7"/>
  <c r="E4383" i="7" s="1"/>
  <c r="D5463" i="7"/>
  <c r="E5463" i="7" s="1"/>
  <c r="D5582" i="7"/>
  <c r="E5582" i="7" s="1"/>
  <c r="D5346" i="7"/>
  <c r="E5346" i="7" s="1"/>
  <c r="D5118" i="7"/>
  <c r="E5118" i="7" s="1"/>
  <c r="D4098" i="7"/>
  <c r="E4098" i="7" s="1"/>
  <c r="D4482" i="7"/>
  <c r="E4482" i="7" s="1"/>
  <c r="D3542" i="7"/>
  <c r="E3542" i="7" s="1"/>
  <c r="D4791" i="7"/>
  <c r="E4791" i="7" s="1"/>
  <c r="D4686" i="7"/>
  <c r="E4686" i="7" s="1"/>
  <c r="D4898" i="7"/>
  <c r="E4898" i="7" s="1"/>
  <c r="D4583" i="7"/>
  <c r="E4583" i="7" s="1"/>
  <c r="D5007" i="7"/>
  <c r="E5007" i="7" s="1"/>
  <c r="D4286" i="7"/>
  <c r="E4286" i="7" s="1"/>
  <c r="D3831" i="7"/>
  <c r="E3831" i="7" s="1"/>
  <c r="D3268" i="7"/>
  <c r="E3268" i="7" s="1"/>
  <c r="D3663" i="7"/>
  <c r="E3663" i="7" s="1"/>
  <c r="D4007" i="7"/>
  <c r="E4007" i="7" s="1"/>
  <c r="D2970" i="7"/>
  <c r="E2970" i="7" s="1"/>
  <c r="D4191" i="7"/>
  <c r="E4191" i="7" s="1"/>
  <c r="D3423" i="7"/>
  <c r="E3423" i="7" s="1"/>
  <c r="D3918" i="7"/>
  <c r="E3918" i="7" s="1"/>
  <c r="D3384" i="7"/>
  <c r="E3384" i="7" s="1"/>
  <c r="D3230" i="7"/>
  <c r="E3230" i="7" s="1"/>
  <c r="D2390" i="7"/>
  <c r="E2390" i="7" s="1"/>
  <c r="D2792" i="7"/>
  <c r="E2792" i="7" s="1"/>
  <c r="D2422" i="7"/>
  <c r="E2422" i="7" s="1"/>
  <c r="D3117" i="7"/>
  <c r="E3117" i="7" s="1"/>
  <c r="D3746" i="7"/>
  <c r="E3746" i="7" s="1"/>
  <c r="D2654" i="7"/>
  <c r="E2654" i="7" s="1"/>
  <c r="D3582" i="7"/>
  <c r="E3582" i="7" s="1"/>
  <c r="D2264" i="7"/>
  <c r="E2264" i="7" s="1"/>
  <c r="D2553" i="7"/>
  <c r="E2553" i="7" s="1"/>
  <c r="D1574" i="7"/>
  <c r="E1574" i="7" s="1"/>
  <c r="D1555" i="7"/>
  <c r="E1555" i="7" s="1"/>
  <c r="D1450" i="7"/>
  <c r="E1450" i="7" s="1"/>
  <c r="D2827" i="7"/>
  <c r="E2827" i="7" s="1"/>
  <c r="D2172" i="7"/>
  <c r="E2172" i="7" s="1"/>
  <c r="D3080" i="7"/>
  <c r="E3080" i="7" s="1"/>
  <c r="D2934" i="7"/>
  <c r="E2934" i="7" s="1"/>
  <c r="D2520" i="7"/>
  <c r="E2520" i="7" s="1"/>
  <c r="D2295" i="7"/>
  <c r="E2295" i="7" s="1"/>
  <c r="D2024" i="7"/>
  <c r="E2024" i="7" s="1"/>
  <c r="D1483" i="7"/>
  <c r="E1483" i="7" s="1"/>
  <c r="D1827" i="7"/>
  <c r="E1827" i="7" s="1"/>
  <c r="D1633" i="7"/>
  <c r="E1633" i="7" s="1"/>
  <c r="D1910" i="7"/>
  <c r="E1910" i="7" s="1"/>
  <c r="D1938" i="7"/>
  <c r="E1938" i="7" s="1"/>
  <c r="D1518" i="7"/>
  <c r="E1518" i="7" s="1"/>
  <c r="D1676" i="7"/>
  <c r="E1676" i="7" s="1"/>
  <c r="D2688" i="7"/>
  <c r="E2688" i="7" s="1"/>
  <c r="D2053" i="7"/>
  <c r="E2053" i="7" s="1"/>
  <c r="D1774" i="7"/>
  <c r="E1774" i="7" s="1"/>
  <c r="D1376" i="7"/>
  <c r="E1376" i="7" s="1"/>
  <c r="D2142" i="7"/>
  <c r="E2142" i="7" s="1"/>
  <c r="D1723" i="7"/>
  <c r="E1723" i="7" s="1"/>
  <c r="D1613" i="7"/>
  <c r="E1613" i="7" s="1"/>
  <c r="D1419" i="7"/>
  <c r="E1419" i="7" s="1"/>
  <c r="H165" i="2"/>
  <c r="J165" i="2" s="1"/>
  <c r="H240" i="2"/>
  <c r="J240" i="2" s="1"/>
  <c r="J267" i="2"/>
  <c r="D2221" i="7"/>
  <c r="E2221" i="7" s="1"/>
  <c r="D428" i="7"/>
  <c r="E428" i="7" s="1"/>
  <c r="D1025" i="7"/>
  <c r="E1025" i="7" s="1"/>
  <c r="D541" i="7"/>
  <c r="E541" i="7" s="1"/>
  <c r="D1322" i="7"/>
  <c r="E1322" i="7" s="1"/>
  <c r="D1116" i="7"/>
  <c r="E1116" i="7" s="1"/>
  <c r="D1215" i="7"/>
  <c r="E1215" i="7" s="1"/>
  <c r="D771" i="7"/>
  <c r="E771" i="7" s="1"/>
  <c r="D52" i="7"/>
  <c r="E52" i="7" s="1"/>
  <c r="D123" i="7"/>
  <c r="E123" i="7" s="1"/>
  <c r="D50" i="7"/>
  <c r="E50" i="7" s="1"/>
  <c r="D902" i="7"/>
  <c r="E902" i="7" s="1"/>
  <c r="D645" i="7"/>
  <c r="E645" i="7" s="1"/>
  <c r="D762" i="7"/>
  <c r="E762" i="7" s="1"/>
  <c r="D210" i="7"/>
  <c r="E210" i="7" s="1"/>
  <c r="D117" i="7"/>
  <c r="E117" i="7" s="1"/>
  <c r="D548" i="7"/>
  <c r="E548" i="7" s="1"/>
  <c r="D320" i="7"/>
  <c r="E320" i="7" s="1"/>
  <c r="D206" i="7"/>
  <c r="E206" i="7" s="1"/>
  <c r="D912" i="7"/>
  <c r="E912" i="7" s="1"/>
  <c r="D54" i="7"/>
  <c r="E54" i="7" s="1"/>
  <c r="D120" i="7"/>
  <c r="E120" i="7" s="1"/>
  <c r="D434" i="7"/>
  <c r="E434" i="7" s="1"/>
  <c r="D315" i="7"/>
  <c r="E315" i="7" s="1"/>
  <c r="D202" i="7"/>
  <c r="E202" i="7" s="1"/>
  <c r="D653" i="7"/>
  <c r="E653" i="7" s="1"/>
  <c r="D5512" i="7"/>
  <c r="E5512" i="7" s="1"/>
  <c r="D5052" i="7"/>
  <c r="E5052" i="7" s="1"/>
  <c r="D4942" i="7"/>
  <c r="E4942" i="7" s="1"/>
  <c r="D5278" i="7"/>
  <c r="E5278" i="7" s="1"/>
  <c r="D5394" i="7"/>
  <c r="E5394" i="7" s="1"/>
  <c r="D3335" i="7"/>
  <c r="E3335" i="7" s="1"/>
  <c r="D4134" i="7"/>
  <c r="E4134" i="7" s="1"/>
  <c r="D4522" i="7"/>
  <c r="E4522" i="7" s="1"/>
  <c r="D4728" i="7"/>
  <c r="E4728" i="7" s="1"/>
  <c r="D5164" i="7"/>
  <c r="E5164" i="7" s="1"/>
  <c r="D4834" i="7"/>
  <c r="E4834" i="7" s="1"/>
  <c r="D3694" i="7"/>
  <c r="E3694" i="7" s="1"/>
  <c r="D3182" i="7"/>
  <c r="E3182" i="7" s="1"/>
  <c r="D3492" i="7"/>
  <c r="E3492" i="7" s="1"/>
  <c r="D4042" i="7"/>
  <c r="E4042" i="7" s="1"/>
  <c r="D4624" i="7"/>
  <c r="E4624" i="7" s="1"/>
  <c r="D4324" i="7"/>
  <c r="E4324" i="7" s="1"/>
  <c r="D3778" i="7"/>
  <c r="E3778" i="7" s="1"/>
  <c r="D3952" i="7"/>
  <c r="E3952" i="7" s="1"/>
  <c r="D4228" i="7"/>
  <c r="E4228" i="7" s="1"/>
  <c r="D3612" i="7"/>
  <c r="E3612" i="7" s="1"/>
  <c r="D3296" i="7"/>
  <c r="E3296" i="7" s="1"/>
  <c r="D4422" i="7"/>
  <c r="E4422" i="7" s="1"/>
  <c r="D2852" i="7"/>
  <c r="E2852" i="7" s="1"/>
  <c r="D2576" i="7"/>
  <c r="E2576" i="7" s="1"/>
  <c r="D2888" i="7"/>
  <c r="E2888" i="7" s="1"/>
  <c r="D2610" i="7"/>
  <c r="E2610" i="7" s="1"/>
  <c r="D3144" i="7"/>
  <c r="E3144" i="7" s="1"/>
  <c r="D3452" i="7"/>
  <c r="E3452" i="7" s="1"/>
  <c r="D2996" i="7"/>
  <c r="E2996" i="7" s="1"/>
  <c r="D2747" i="7"/>
  <c r="E2747" i="7" s="1"/>
  <c r="D3033" i="7"/>
  <c r="E3033" i="7" s="1"/>
  <c r="D3864" i="7"/>
  <c r="E3864" i="7" s="1"/>
  <c r="D1644" i="7"/>
  <c r="E1644" i="7" s="1"/>
  <c r="D2072" i="7"/>
  <c r="E2072" i="7" s="1"/>
  <c r="D2712" i="7"/>
  <c r="E2712" i="7" s="1"/>
  <c r="D2477" i="7"/>
  <c r="E2477" i="7" s="1"/>
  <c r="D2192" i="7"/>
  <c r="E2192" i="7" s="1"/>
  <c r="D2316" i="7"/>
  <c r="E2316" i="7" s="1"/>
  <c r="D1985" i="7"/>
  <c r="E1985" i="7" s="1"/>
  <c r="D2348" i="7"/>
  <c r="E2348" i="7" s="1"/>
  <c r="D1204" i="7"/>
  <c r="E1204" i="7" s="1"/>
  <c r="D312" i="7"/>
  <c r="E312" i="7" s="1"/>
  <c r="D1689" i="7"/>
  <c r="E1689" i="7" s="1"/>
  <c r="D196" i="7"/>
  <c r="E196" i="7" s="1"/>
  <c r="D1956" i="7"/>
  <c r="E1956" i="7" s="1"/>
  <c r="D1456" i="7"/>
  <c r="E1456" i="7" s="1"/>
  <c r="D1738" i="7"/>
  <c r="E1738" i="7" s="1"/>
  <c r="D1526" i="7"/>
  <c r="E1526" i="7" s="1"/>
  <c r="D1790" i="7"/>
  <c r="E1790" i="7" s="1"/>
  <c r="D1872" i="7"/>
  <c r="E1872" i="7" s="1"/>
  <c r="D1844" i="7"/>
  <c r="E1844" i="7" s="1"/>
  <c r="D1424" i="7"/>
  <c r="E1424" i="7" s="1"/>
  <c r="D2444" i="7"/>
  <c r="E2444" i="7" s="1"/>
  <c r="D2102" i="7"/>
  <c r="E2102" i="7" s="1"/>
  <c r="D200" i="7"/>
  <c r="E200" i="7" s="1"/>
  <c r="D536" i="7"/>
  <c r="E536" i="7" s="1"/>
  <c r="D1310" i="7"/>
  <c r="E1310" i="7" s="1"/>
  <c r="D307" i="7"/>
  <c r="E307" i="7" s="1"/>
  <c r="D424" i="7"/>
  <c r="E424" i="7" s="1"/>
  <c r="D639" i="7"/>
  <c r="E639" i="7" s="1"/>
  <c r="D1016" i="7"/>
  <c r="E1016" i="7" s="1"/>
  <c r="D894" i="7"/>
  <c r="E894" i="7" s="1"/>
  <c r="D1490" i="7"/>
  <c r="E1490" i="7" s="1"/>
  <c r="D302" i="7"/>
  <c r="E302" i="7" s="1"/>
  <c r="D1583" i="7"/>
  <c r="E1583" i="7" s="1"/>
  <c r="D755" i="7"/>
  <c r="E755" i="7" s="1"/>
  <c r="D1106" i="7"/>
  <c r="E1106" i="7" s="1"/>
  <c r="D631" i="7"/>
  <c r="E631" i="7" s="1"/>
  <c r="D1394" i="7"/>
  <c r="E1394" i="7" s="1"/>
  <c r="D418" i="7"/>
  <c r="E418" i="7" s="1"/>
  <c r="D609" i="7"/>
  <c r="E609" i="7" s="1"/>
  <c r="D510" i="7"/>
  <c r="E510" i="7" s="1"/>
  <c r="D1084" i="7"/>
  <c r="E1084" i="7" s="1"/>
  <c r="D1284" i="7"/>
  <c r="E1284" i="7" s="1"/>
  <c r="D856" i="7"/>
  <c r="E856" i="7" s="1"/>
  <c r="D721" i="7"/>
  <c r="E721" i="7" s="1"/>
  <c r="D517" i="7"/>
  <c r="E517" i="7" s="1"/>
  <c r="D390" i="7"/>
  <c r="E390" i="7" s="1"/>
  <c r="D601" i="7"/>
  <c r="E601" i="7" s="1"/>
  <c r="D996" i="7"/>
  <c r="E996" i="7" s="1"/>
  <c r="D866" i="7"/>
  <c r="E866" i="7" s="1"/>
  <c r="D1180" i="7"/>
  <c r="E1180" i="7" s="1"/>
  <c r="D396" i="7"/>
  <c r="E396" i="7" s="1"/>
  <c r="D730" i="7"/>
  <c r="E730" i="7" s="1"/>
  <c r="D1045" i="7"/>
  <c r="E1045" i="7" s="1"/>
  <c r="D1345" i="7"/>
  <c r="E1345" i="7" s="1"/>
  <c r="D1237" i="7"/>
  <c r="E1237" i="7" s="1"/>
  <c r="D1137" i="7"/>
  <c r="E1137" i="7" s="1"/>
  <c r="J346" i="2"/>
  <c r="D214" i="7"/>
  <c r="E214" i="7" s="1"/>
  <c r="D325" i="7"/>
  <c r="E325" i="7" s="1"/>
  <c r="D440" i="7"/>
  <c r="E440" i="7" s="1"/>
  <c r="D56" i="7"/>
  <c r="E56" i="7" s="1"/>
  <c r="D126" i="7"/>
  <c r="E126" i="7" s="1"/>
  <c r="D1056" i="7"/>
  <c r="E1056" i="7" s="1"/>
  <c r="D1359" i="7"/>
  <c r="E1359" i="7" s="1"/>
  <c r="D1250" i="7"/>
  <c r="E1250" i="7" s="1"/>
  <c r="D1149" i="7"/>
  <c r="E1149" i="7" s="1"/>
  <c r="D5624" i="7"/>
  <c r="E5624" i="7" s="1"/>
  <c r="D5388" i="7"/>
  <c r="E5388" i="7" s="1"/>
  <c r="D5505" i="7"/>
  <c r="E5505" i="7" s="1"/>
  <c r="D5160" i="7"/>
  <c r="E5160" i="7" s="1"/>
  <c r="D5273" i="7"/>
  <c r="E5273" i="7" s="1"/>
  <c r="H208" i="2"/>
  <c r="J208" i="2" s="1"/>
  <c r="H226" i="2"/>
  <c r="J226" i="2" s="1"/>
  <c r="D1128" i="7"/>
  <c r="E1128" i="7" s="1"/>
  <c r="D932" i="7"/>
  <c r="E932" i="7" s="1"/>
  <c r="D669" i="7"/>
  <c r="E669" i="7" s="1"/>
  <c r="D1036" i="7"/>
  <c r="E1036" i="7" s="1"/>
  <c r="D218" i="7"/>
  <c r="E218" i="7" s="1"/>
  <c r="D452" i="7"/>
  <c r="E452" i="7" s="1"/>
  <c r="D330" i="7"/>
  <c r="E330" i="7" s="1"/>
  <c r="D555" i="7"/>
  <c r="E555" i="7" s="1"/>
  <c r="D789" i="7"/>
  <c r="E789" i="7" s="1"/>
  <c r="D446" i="7"/>
  <c r="E446" i="7" s="1"/>
  <c r="D135" i="7"/>
  <c r="E135" i="7" s="1"/>
  <c r="D60" i="7"/>
  <c r="E60" i="7" s="1"/>
  <c r="D226" i="7"/>
  <c r="E226" i="7" s="1"/>
  <c r="D922" i="7"/>
  <c r="E922" i="7" s="1"/>
  <c r="D780" i="7"/>
  <c r="E780" i="7" s="1"/>
  <c r="D661" i="7"/>
  <c r="E661" i="7" s="1"/>
  <c r="D132" i="7"/>
  <c r="E132" i="7" s="1"/>
  <c r="D58" i="7"/>
  <c r="E58" i="7" s="1"/>
  <c r="D1228" i="7"/>
  <c r="E1228" i="7" s="1"/>
  <c r="D1336" i="7"/>
  <c r="E1336" i="7" s="1"/>
  <c r="D562" i="7"/>
  <c r="E562" i="7" s="1"/>
  <c r="D129" i="7"/>
  <c r="E129" i="7" s="1"/>
  <c r="D62" i="7"/>
  <c r="E62" i="7" s="1"/>
  <c r="D335" i="7"/>
  <c r="E335" i="7" s="1"/>
  <c r="D222" i="7"/>
  <c r="E222" i="7" s="1"/>
  <c r="D5115" i="7"/>
  <c r="E5115" i="7" s="1"/>
  <c r="D5579" i="7"/>
  <c r="E5579" i="7" s="1"/>
  <c r="D5228" i="7"/>
  <c r="E5228" i="7" s="1"/>
  <c r="D5343" i="7"/>
  <c r="E5343" i="7" s="1"/>
  <c r="D5460" i="7"/>
  <c r="E5460" i="7" s="1"/>
  <c r="D4895" i="7"/>
  <c r="E4895" i="7" s="1"/>
  <c r="D4283" i="7"/>
  <c r="E4283" i="7" s="1"/>
  <c r="D4188" i="7"/>
  <c r="E4188" i="7" s="1"/>
  <c r="D4479" i="7"/>
  <c r="E4479" i="7" s="1"/>
  <c r="D4788" i="7"/>
  <c r="E4788" i="7" s="1"/>
  <c r="D4683" i="7"/>
  <c r="E4683" i="7" s="1"/>
  <c r="D4004" i="7"/>
  <c r="E4004" i="7" s="1"/>
  <c r="D4580" i="7"/>
  <c r="E4580" i="7" s="1"/>
  <c r="D3579" i="7"/>
  <c r="E3579" i="7" s="1"/>
  <c r="D3077" i="7"/>
  <c r="E3077" i="7" s="1"/>
  <c r="D5004" i="7"/>
  <c r="E5004" i="7" s="1"/>
  <c r="D3828" i="7"/>
  <c r="E3828" i="7" s="1"/>
  <c r="D4095" i="7"/>
  <c r="E4095" i="7" s="1"/>
  <c r="D4380" i="7"/>
  <c r="E4380" i="7" s="1"/>
  <c r="D3660" i="7"/>
  <c r="E3660" i="7" s="1"/>
  <c r="D3227" i="7"/>
  <c r="E3227" i="7" s="1"/>
  <c r="D3420" i="7"/>
  <c r="E3420" i="7" s="1"/>
  <c r="D3381" i="7"/>
  <c r="E3381" i="7" s="1"/>
  <c r="D2931" i="7"/>
  <c r="E2931" i="7" s="1"/>
  <c r="D2789" i="7"/>
  <c r="E2789" i="7" s="1"/>
  <c r="D3114" i="7"/>
  <c r="E3114" i="7" s="1"/>
  <c r="D2824" i="7"/>
  <c r="E2824" i="7" s="1"/>
  <c r="D3539" i="7"/>
  <c r="E3539" i="7" s="1"/>
  <c r="D3743" i="7"/>
  <c r="E3743" i="7" s="1"/>
  <c r="D2967" i="7"/>
  <c r="E2967" i="7" s="1"/>
  <c r="D3915" i="7"/>
  <c r="E3915" i="7" s="1"/>
  <c r="D1263" i="7"/>
  <c r="E1263" i="7" s="1"/>
  <c r="D1161" i="7"/>
  <c r="E1161" i="7" s="1"/>
  <c r="D1610" i="7"/>
  <c r="E1610" i="7" s="1"/>
  <c r="D2685" i="7"/>
  <c r="E2685" i="7" s="1"/>
  <c r="D2261" i="7"/>
  <c r="E2261" i="7" s="1"/>
  <c r="D2387" i="7"/>
  <c r="E2387" i="7" s="1"/>
  <c r="D2550" i="7"/>
  <c r="E2550" i="7" s="1"/>
  <c r="D2651" i="7"/>
  <c r="E2651" i="7" s="1"/>
  <c r="D3265" i="7"/>
  <c r="E3265" i="7" s="1"/>
  <c r="D2050" i="7"/>
  <c r="E2050" i="7" s="1"/>
  <c r="D1907" i="7"/>
  <c r="E1907" i="7" s="1"/>
  <c r="D1673" i="7"/>
  <c r="E1673" i="7" s="1"/>
  <c r="D2169" i="7"/>
  <c r="E2169" i="7" s="1"/>
  <c r="D2517" i="7"/>
  <c r="E2517" i="7" s="1"/>
  <c r="D1720" i="7"/>
  <c r="E1720" i="7" s="1"/>
  <c r="D2419" i="7"/>
  <c r="E2419" i="7" s="1"/>
  <c r="D2139" i="7"/>
  <c r="E2139" i="7" s="1"/>
  <c r="D1771" i="7"/>
  <c r="E1771" i="7" s="1"/>
  <c r="D1480" i="7"/>
  <c r="E1480" i="7" s="1"/>
  <c r="D1552" i="7"/>
  <c r="E1552" i="7" s="1"/>
  <c r="D1824" i="7"/>
  <c r="E1824" i="7" s="1"/>
  <c r="D1630" i="7"/>
  <c r="E1630" i="7" s="1"/>
  <c r="D2021" i="7"/>
  <c r="E2021" i="7" s="1"/>
  <c r="D1571" i="7"/>
  <c r="E1571" i="7" s="1"/>
  <c r="D1447" i="7"/>
  <c r="E1447" i="7" s="1"/>
  <c r="D1935" i="7"/>
  <c r="E1935" i="7" s="1"/>
  <c r="D2292" i="7"/>
  <c r="E2292" i="7" s="1"/>
  <c r="D1067" i="7"/>
  <c r="E1067" i="7" s="1"/>
  <c r="D1515" i="7"/>
  <c r="E1515" i="7" s="1"/>
  <c r="D1373" i="7"/>
  <c r="E1373" i="7" s="1"/>
  <c r="D1416" i="7"/>
  <c r="E1416" i="7" s="1"/>
  <c r="M2" i="2"/>
  <c r="D4928" i="7"/>
  <c r="E4928" i="7" s="1"/>
  <c r="D5493" i="7"/>
  <c r="E5493" i="7" s="1"/>
  <c r="D4316" i="7"/>
  <c r="E4316" i="7" s="1"/>
  <c r="D5037" i="7"/>
  <c r="E5037" i="7" s="1"/>
  <c r="D5148" i="7"/>
  <c r="E5148" i="7" s="1"/>
  <c r="D5612" i="7"/>
  <c r="E5612" i="7" s="1"/>
  <c r="D5376" i="7"/>
  <c r="E5376" i="7" s="1"/>
  <c r="D5261" i="7"/>
  <c r="E5261" i="7" s="1"/>
  <c r="D4613" i="7"/>
  <c r="E4613" i="7" s="1"/>
  <c r="D4821" i="7"/>
  <c r="E4821" i="7" s="1"/>
  <c r="D4413" i="7"/>
  <c r="E4413" i="7" s="1"/>
  <c r="D4128" i="7"/>
  <c r="E4128" i="7" s="1"/>
  <c r="D4037" i="7"/>
  <c r="E4037" i="7" s="1"/>
  <c r="D4512" i="7"/>
  <c r="E4512" i="7" s="1"/>
  <c r="D4221" i="7"/>
  <c r="E4221" i="7" s="1"/>
  <c r="D4716" i="7"/>
  <c r="E4716" i="7" s="1"/>
  <c r="D3948" i="7"/>
  <c r="E3948" i="7" s="1"/>
  <c r="D1350" i="7"/>
  <c r="E1350" i="7" s="1"/>
  <c r="D1047" i="7"/>
  <c r="E1047" i="7" s="1"/>
  <c r="D576" i="7"/>
  <c r="E576" i="7" s="1"/>
  <c r="D345" i="7"/>
  <c r="E345" i="7" s="1"/>
  <c r="D952" i="7"/>
  <c r="E952" i="7" s="1"/>
  <c r="D1140" i="7"/>
  <c r="E1140" i="7" s="1"/>
  <c r="D1241" i="7"/>
  <c r="E1241" i="7" s="1"/>
  <c r="D685" i="7"/>
  <c r="E685" i="7" s="1"/>
  <c r="D70" i="7"/>
  <c r="E70" i="7" s="1"/>
  <c r="D350" i="7"/>
  <c r="E350" i="7" s="1"/>
  <c r="D141" i="7"/>
  <c r="E141" i="7" s="1"/>
  <c r="D68" i="7"/>
  <c r="E68" i="7" s="1"/>
  <c r="D234" i="7"/>
  <c r="E234" i="7" s="1"/>
  <c r="D470" i="7"/>
  <c r="E470" i="7" s="1"/>
  <c r="D569" i="7"/>
  <c r="E569" i="7" s="1"/>
  <c r="D464" i="7"/>
  <c r="E464" i="7" s="1"/>
  <c r="D807" i="7"/>
  <c r="E807" i="7" s="1"/>
  <c r="D798" i="7"/>
  <c r="E798" i="7" s="1"/>
  <c r="D242" i="7"/>
  <c r="E242" i="7" s="1"/>
  <c r="D66" i="7"/>
  <c r="E66" i="7" s="1"/>
  <c r="D238" i="7"/>
  <c r="E238" i="7" s="1"/>
  <c r="D677" i="7"/>
  <c r="E677" i="7" s="1"/>
  <c r="D942" i="7"/>
  <c r="E942" i="7" s="1"/>
  <c r="D144" i="7"/>
  <c r="E144" i="7" s="1"/>
  <c r="D1230" i="7"/>
  <c r="E1230" i="7" s="1"/>
  <c r="D934" i="7"/>
  <c r="E934" i="7" s="1"/>
  <c r="D791" i="7"/>
  <c r="E791" i="7" s="1"/>
  <c r="D228" i="7"/>
  <c r="E228" i="7" s="1"/>
  <c r="D454" i="7"/>
  <c r="E454" i="7" s="1"/>
  <c r="D332" i="7"/>
  <c r="E332" i="7" s="1"/>
  <c r="D557" i="7"/>
  <c r="E557" i="7" s="1"/>
  <c r="D671" i="7"/>
  <c r="E671" i="7" s="1"/>
  <c r="D1130" i="7"/>
  <c r="E1130" i="7" s="1"/>
  <c r="D448" i="7"/>
  <c r="E448" i="7" s="1"/>
  <c r="D924" i="7"/>
  <c r="E924" i="7" s="1"/>
  <c r="D782" i="7"/>
  <c r="E782" i="7" s="1"/>
  <c r="D663" i="7"/>
  <c r="E663" i="7" s="1"/>
  <c r="D1338" i="7"/>
  <c r="E1338" i="7" s="1"/>
  <c r="D224" i="7"/>
  <c r="E224" i="7" s="1"/>
  <c r="D1038" i="7"/>
  <c r="E1038" i="7" s="1"/>
  <c r="D337" i="7"/>
  <c r="E337" i="7" s="1"/>
  <c r="D220" i="7"/>
  <c r="E220" i="7" s="1"/>
  <c r="D564" i="7"/>
  <c r="E564" i="7" s="1"/>
  <c r="D4695" i="7"/>
  <c r="E4695" i="7" s="1"/>
  <c r="D5472" i="7"/>
  <c r="E5472" i="7" s="1"/>
  <c r="D4907" i="7"/>
  <c r="E4907" i="7" s="1"/>
  <c r="D5591" i="7"/>
  <c r="E5591" i="7" s="1"/>
  <c r="D5240" i="7"/>
  <c r="E5240" i="7" s="1"/>
  <c r="D4295" i="7"/>
  <c r="E4295" i="7" s="1"/>
  <c r="D4107" i="7"/>
  <c r="E4107" i="7" s="1"/>
  <c r="D4491" i="7"/>
  <c r="E4491" i="7" s="1"/>
  <c r="D4800" i="7"/>
  <c r="E4800" i="7" s="1"/>
  <c r="D5127" i="7"/>
  <c r="E5127" i="7" s="1"/>
  <c r="D5355" i="7"/>
  <c r="E5355" i="7" s="1"/>
  <c r="D3927" i="7"/>
  <c r="E3927" i="7" s="1"/>
  <c r="D3591" i="7"/>
  <c r="E3591" i="7" s="1"/>
  <c r="D3239" i="7"/>
  <c r="E3239" i="7" s="1"/>
  <c r="D3672" i="7"/>
  <c r="E3672" i="7" s="1"/>
  <c r="D4592" i="7"/>
  <c r="E4592" i="7" s="1"/>
  <c r="D4392" i="7"/>
  <c r="E4392" i="7" s="1"/>
  <c r="D4200" i="7"/>
  <c r="E4200" i="7" s="1"/>
  <c r="D3551" i="7"/>
  <c r="E3551" i="7" s="1"/>
  <c r="D5016" i="7"/>
  <c r="E5016" i="7" s="1"/>
  <c r="D2801" i="7"/>
  <c r="E2801" i="7" s="1"/>
  <c r="D4016" i="7"/>
  <c r="E4016" i="7" s="1"/>
  <c r="D2943" i="7"/>
  <c r="E2943" i="7" s="1"/>
  <c r="D3755" i="7"/>
  <c r="E3755" i="7" s="1"/>
  <c r="D2979" i="7"/>
  <c r="E2979" i="7" s="1"/>
  <c r="D2304" i="7"/>
  <c r="E2304" i="7" s="1"/>
  <c r="D2151" i="7"/>
  <c r="E2151" i="7" s="1"/>
  <c r="D2663" i="7"/>
  <c r="E2663" i="7" s="1"/>
  <c r="D3840" i="7"/>
  <c r="E3840" i="7" s="1"/>
  <c r="D3277" i="7"/>
  <c r="E3277" i="7" s="1"/>
  <c r="D3089" i="7"/>
  <c r="E3089" i="7" s="1"/>
  <c r="D3393" i="7"/>
  <c r="E3393" i="7" s="1"/>
  <c r="D3432" i="7"/>
  <c r="E3432" i="7" s="1"/>
  <c r="D2836" i="7"/>
  <c r="E2836" i="7" s="1"/>
  <c r="D2529" i="7"/>
  <c r="E2529" i="7" s="1"/>
  <c r="D1732" i="7"/>
  <c r="E1732" i="7" s="1"/>
  <c r="D2431" i="7"/>
  <c r="E2431" i="7" s="1"/>
  <c r="D1947" i="7"/>
  <c r="E1947" i="7" s="1"/>
  <c r="D2273" i="7"/>
  <c r="E2273" i="7" s="1"/>
  <c r="D2399" i="7"/>
  <c r="E2399" i="7" s="1"/>
  <c r="D2697" i="7"/>
  <c r="E2697" i="7" s="1"/>
  <c r="D3126" i="7"/>
  <c r="E3126" i="7" s="1"/>
  <c r="D2562" i="7"/>
  <c r="E2562" i="7" s="1"/>
  <c r="D1919" i="7"/>
  <c r="E1919" i="7" s="1"/>
  <c r="D2033" i="7"/>
  <c r="E2033" i="7" s="1"/>
  <c r="D1685" i="7"/>
  <c r="E1685" i="7" s="1"/>
  <c r="D2181" i="7"/>
  <c r="E2181" i="7" s="1"/>
  <c r="D2062" i="7"/>
  <c r="E2062" i="7" s="1"/>
  <c r="D1783" i="7"/>
  <c r="E1783" i="7" s="1"/>
  <c r="D1836" i="7"/>
  <c r="E1836" i="7" s="1"/>
  <c r="D5599" i="7"/>
  <c r="E5599" i="7" s="1"/>
  <c r="D5248" i="7"/>
  <c r="E5248" i="7" s="1"/>
  <c r="D5363" i="7"/>
  <c r="E5363" i="7" s="1"/>
  <c r="D5024" i="7"/>
  <c r="E5024" i="7" s="1"/>
  <c r="D4400" i="7"/>
  <c r="E4400" i="7" s="1"/>
  <c r="D5135" i="7"/>
  <c r="E5135" i="7" s="1"/>
  <c r="D4915" i="7"/>
  <c r="E4915" i="7" s="1"/>
  <c r="D5480" i="7"/>
  <c r="E5480" i="7" s="1"/>
  <c r="D4303" i="7"/>
  <c r="E4303" i="7" s="1"/>
  <c r="D4208" i="7"/>
  <c r="E4208" i="7" s="1"/>
  <c r="D3559" i="7"/>
  <c r="E3559" i="7" s="1"/>
  <c r="D4115" i="7"/>
  <c r="E4115" i="7" s="1"/>
  <c r="D4499" i="7"/>
  <c r="E4499" i="7" s="1"/>
  <c r="D3599" i="7"/>
  <c r="E3599" i="7" s="1"/>
  <c r="D4703" i="7"/>
  <c r="E4703" i="7" s="1"/>
  <c r="D4808" i="7"/>
  <c r="E4808" i="7" s="1"/>
  <c r="D4600" i="7"/>
  <c r="E4600" i="7" s="1"/>
  <c r="D2705" i="7"/>
  <c r="E2705" i="7" s="1"/>
  <c r="D3935" i="7"/>
  <c r="E3935" i="7" s="1"/>
  <c r="D3285" i="7"/>
  <c r="E3285" i="7" s="1"/>
  <c r="D3848" i="7"/>
  <c r="E3848" i="7" s="1"/>
  <c r="D2987" i="7"/>
  <c r="E2987" i="7" s="1"/>
  <c r="D3680" i="7"/>
  <c r="E3680" i="7" s="1"/>
  <c r="D4024" i="7"/>
  <c r="E4024" i="7" s="1"/>
  <c r="D2407" i="7"/>
  <c r="E2407" i="7" s="1"/>
  <c r="D3097" i="7"/>
  <c r="E3097" i="7" s="1"/>
  <c r="D2809" i="7"/>
  <c r="E2809" i="7" s="1"/>
  <c r="D2439" i="7"/>
  <c r="E2439" i="7" s="1"/>
  <c r="D2951" i="7"/>
  <c r="E2951" i="7" s="1"/>
  <c r="D3763" i="7"/>
  <c r="E3763" i="7" s="1"/>
  <c r="D3247" i="7"/>
  <c r="E3247" i="7" s="1"/>
  <c r="D3440" i="7"/>
  <c r="E3440" i="7" s="1"/>
  <c r="D3401" i="7"/>
  <c r="E3401" i="7" s="1"/>
  <c r="D3134" i="7"/>
  <c r="E3134" i="7" s="1"/>
  <c r="D2671" i="7"/>
  <c r="E2671" i="7" s="1"/>
  <c r="D2281" i="7"/>
  <c r="E2281" i="7" s="1"/>
  <c r="D2570" i="7"/>
  <c r="E2570" i="7" s="1"/>
  <c r="D2844" i="7"/>
  <c r="E2844" i="7" s="1"/>
  <c r="D2537" i="7"/>
  <c r="E2537" i="7" s="1"/>
  <c r="D2312" i="7"/>
  <c r="E2312" i="7" s="1"/>
  <c r="H272" i="2"/>
  <c r="J272" i="2" s="1"/>
  <c r="D4571" i="7"/>
  <c r="E4571" i="7" s="1"/>
  <c r="D5451" i="7"/>
  <c r="E5451" i="7" s="1"/>
  <c r="D5570" i="7"/>
  <c r="E5570" i="7" s="1"/>
  <c r="D5106" i="7"/>
  <c r="E5106" i="7" s="1"/>
  <c r="D5219" i="7"/>
  <c r="E5219" i="7" s="1"/>
  <c r="D4995" i="7"/>
  <c r="E4995" i="7" s="1"/>
  <c r="D4779" i="7"/>
  <c r="E4779" i="7" s="1"/>
  <c r="D3995" i="7"/>
  <c r="E3995" i="7" s="1"/>
  <c r="D4274" i="7"/>
  <c r="E4274" i="7" s="1"/>
  <c r="D4371" i="7"/>
  <c r="E4371" i="7" s="1"/>
  <c r="D4886" i="7"/>
  <c r="E4886" i="7" s="1"/>
  <c r="D5334" i="7"/>
  <c r="E5334" i="7" s="1"/>
  <c r="D4470" i="7"/>
  <c r="E4470" i="7" s="1"/>
  <c r="D4179" i="7"/>
  <c r="E4179" i="7" s="1"/>
  <c r="D4674" i="7"/>
  <c r="E4674" i="7" s="1"/>
  <c r="D3906" i="7"/>
  <c r="E3906" i="7" s="1"/>
  <c r="D2815" i="7"/>
  <c r="E2815" i="7" s="1"/>
  <c r="D3734" i="7"/>
  <c r="E3734" i="7" s="1"/>
  <c r="D3530" i="7"/>
  <c r="E3530" i="7" s="1"/>
  <c r="D3570" i="7"/>
  <c r="E3570" i="7" s="1"/>
  <c r="D4086" i="7"/>
  <c r="E4086" i="7" s="1"/>
  <c r="D2508" i="7"/>
  <c r="E2508" i="7" s="1"/>
  <c r="D3256" i="7"/>
  <c r="E3256" i="7" s="1"/>
  <c r="D3068" i="7"/>
  <c r="E3068" i="7" s="1"/>
  <c r="D2541" i="7"/>
  <c r="E2541" i="7" s="1"/>
  <c r="D3411" i="7"/>
  <c r="E3411" i="7" s="1"/>
  <c r="D3372" i="7"/>
  <c r="E3372" i="7" s="1"/>
  <c r="D3819" i="7"/>
  <c r="E3819" i="7" s="1"/>
  <c r="D3218" i="7"/>
  <c r="E3218" i="7" s="1"/>
  <c r="D2922" i="7"/>
  <c r="E2922" i="7" s="1"/>
  <c r="D3651" i="7"/>
  <c r="E3651" i="7" s="1"/>
  <c r="D1664" i="7"/>
  <c r="E1664" i="7" s="1"/>
  <c r="D3105" i="7"/>
  <c r="E3105" i="7" s="1"/>
  <c r="D2958" i="7"/>
  <c r="E2958" i="7" s="1"/>
  <c r="D2283" i="7"/>
  <c r="E2283" i="7" s="1"/>
  <c r="D1058" i="7"/>
  <c r="E1058" i="7" s="1"/>
  <c r="D2012" i="7"/>
  <c r="E2012" i="7" s="1"/>
  <c r="D2410" i="7"/>
  <c r="E2410" i="7" s="1"/>
  <c r="D2780" i="7"/>
  <c r="E2780" i="7" s="1"/>
  <c r="D2130" i="7"/>
  <c r="E2130" i="7" s="1"/>
  <c r="D1926" i="7"/>
  <c r="E1926" i="7" s="1"/>
  <c r="D1762" i="7"/>
  <c r="E1762" i="7" s="1"/>
  <c r="D1621" i="7"/>
  <c r="E1621" i="7" s="1"/>
  <c r="D2676" i="7"/>
  <c r="E2676" i="7" s="1"/>
  <c r="D1815" i="7"/>
  <c r="E1815" i="7" s="1"/>
  <c r="D2252" i="7"/>
  <c r="E2252" i="7" s="1"/>
  <c r="D2642" i="7"/>
  <c r="E2642" i="7" s="1"/>
  <c r="D2378" i="7"/>
  <c r="E2378" i="7" s="1"/>
  <c r="D2160" i="7"/>
  <c r="E2160" i="7" s="1"/>
  <c r="D2041" i="7"/>
  <c r="E2041" i="7" s="1"/>
  <c r="D246" i="7"/>
  <c r="E246" i="7" s="1"/>
  <c r="D147" i="7"/>
  <c r="E147" i="7" s="1"/>
  <c r="D476" i="7"/>
  <c r="E476" i="7" s="1"/>
  <c r="D1506" i="7"/>
  <c r="E1506" i="7" s="1"/>
  <c r="D360" i="7"/>
  <c r="E360" i="7" s="1"/>
  <c r="D825" i="7"/>
  <c r="E825" i="7" s="1"/>
  <c r="D1711" i="7"/>
  <c r="E1711" i="7" s="1"/>
  <c r="D1601" i="7"/>
  <c r="E1601" i="7" s="1"/>
  <c r="D1407" i="7"/>
  <c r="E1407" i="7" s="1"/>
  <c r="D1364" i="7"/>
  <c r="E1364" i="7" s="1"/>
  <c r="D962" i="7"/>
  <c r="E962" i="7" s="1"/>
  <c r="D1471" i="7"/>
  <c r="E1471" i="7" s="1"/>
  <c r="D1152" i="7"/>
  <c r="E1152" i="7" s="1"/>
  <c r="D1898" i="7"/>
  <c r="E1898" i="7" s="1"/>
  <c r="D254" i="7"/>
  <c r="E254" i="7" s="1"/>
  <c r="D1254" i="7"/>
  <c r="E1254" i="7" s="1"/>
  <c r="D816" i="7"/>
  <c r="E816" i="7" s="1"/>
  <c r="D693" i="7"/>
  <c r="E693" i="7" s="1"/>
  <c r="D365" i="7"/>
  <c r="E365" i="7" s="1"/>
  <c r="D250" i="7"/>
  <c r="E250" i="7" s="1"/>
  <c r="D1438" i="7"/>
  <c r="E1438" i="7" s="1"/>
  <c r="D488" i="7"/>
  <c r="E488" i="7" s="1"/>
  <c r="D150" i="7"/>
  <c r="E150" i="7" s="1"/>
  <c r="D76" i="7"/>
  <c r="E76" i="7" s="1"/>
  <c r="L52" i="2" s="1"/>
  <c r="D1562" i="7"/>
  <c r="E1562" i="7" s="1"/>
  <c r="D1543" i="7"/>
  <c r="E1543" i="7" s="1"/>
  <c r="D355" i="7"/>
  <c r="E355" i="7" s="1"/>
  <c r="D583" i="7"/>
  <c r="E583" i="7" s="1"/>
  <c r="D74" i="7"/>
  <c r="E74" i="7" s="1"/>
  <c r="D72" i="7"/>
  <c r="E72" i="7" s="1"/>
  <c r="L50" i="2" s="1"/>
  <c r="D482" i="7"/>
  <c r="E482" i="7" s="1"/>
  <c r="D460" i="7"/>
  <c r="E460" i="7" s="1"/>
  <c r="D232" i="7"/>
  <c r="E232" i="7" s="1"/>
  <c r="D342" i="7"/>
  <c r="E342" i="7" s="1"/>
  <c r="D1384" i="7"/>
  <c r="E1384" i="7" s="1"/>
  <c r="D1075" i="7"/>
  <c r="E1075" i="7" s="1"/>
  <c r="D988" i="7"/>
  <c r="E988" i="7" s="1"/>
  <c r="D707" i="7"/>
  <c r="E707" i="7" s="1"/>
  <c r="D849" i="7"/>
  <c r="E849" i="7" s="1"/>
  <c r="D1170" i="7"/>
  <c r="E1170" i="7" s="1"/>
  <c r="D715" i="7"/>
  <c r="E715" i="7" s="1"/>
  <c r="D840" i="7"/>
  <c r="E840" i="7" s="1"/>
  <c r="D978" i="7"/>
  <c r="E978" i="7" s="1"/>
  <c r="D1273" i="7"/>
  <c r="E1273" i="7" s="1"/>
  <c r="D5464" i="7"/>
  <c r="E5464" i="7" s="1"/>
  <c r="D4384" i="7"/>
  <c r="E4384" i="7" s="1"/>
  <c r="D4584" i="7"/>
  <c r="E4584" i="7" s="1"/>
  <c r="D5583" i="7"/>
  <c r="E5583" i="7" s="1"/>
  <c r="D5347" i="7"/>
  <c r="E5347" i="7" s="1"/>
  <c r="D5119" i="7"/>
  <c r="E5119" i="7" s="1"/>
  <c r="D4099" i="7"/>
  <c r="E4099" i="7" s="1"/>
  <c r="D4483" i="7"/>
  <c r="E4483" i="7" s="1"/>
  <c r="D3543" i="7"/>
  <c r="E3543" i="7" s="1"/>
  <c r="D4792" i="7"/>
  <c r="E4792" i="7" s="1"/>
  <c r="D4687" i="7"/>
  <c r="E4687" i="7" s="1"/>
  <c r="D4899" i="7"/>
  <c r="E4899" i="7" s="1"/>
  <c r="D3919" i="7"/>
  <c r="E3919" i="7" s="1"/>
  <c r="D3583" i="7"/>
  <c r="E3583" i="7" s="1"/>
  <c r="D5232" i="7"/>
  <c r="E5232" i="7" s="1"/>
  <c r="D3664" i="7"/>
  <c r="E3664" i="7" s="1"/>
  <c r="D5008" i="7"/>
  <c r="E5008" i="7" s="1"/>
  <c r="D4192" i="7"/>
  <c r="E4192" i="7" s="1"/>
  <c r="D4287" i="7"/>
  <c r="E4287" i="7" s="1"/>
  <c r="D2689" i="7"/>
  <c r="E2689" i="7" s="1"/>
  <c r="D3832" i="7"/>
  <c r="E3832" i="7" s="1"/>
  <c r="D3269" i="7"/>
  <c r="E3269" i="7" s="1"/>
  <c r="D4008" i="7"/>
  <c r="E4008" i="7" s="1"/>
  <c r="D2971" i="7"/>
  <c r="E2971" i="7" s="1"/>
  <c r="D3424" i="7"/>
  <c r="E3424" i="7" s="1"/>
  <c r="D2793" i="7"/>
  <c r="E2793" i="7" s="1"/>
  <c r="D2423" i="7"/>
  <c r="E2423" i="7" s="1"/>
  <c r="D3118" i="7"/>
  <c r="E3118" i="7" s="1"/>
  <c r="D2828" i="7"/>
  <c r="E2828" i="7" s="1"/>
  <c r="D3747" i="7"/>
  <c r="E3747" i="7" s="1"/>
  <c r="D2554" i="7"/>
  <c r="E2554" i="7" s="1"/>
  <c r="D2655" i="7"/>
  <c r="E2655" i="7" s="1"/>
  <c r="D2935" i="7"/>
  <c r="E2935" i="7" s="1"/>
  <c r="D2391" i="7"/>
  <c r="E2391" i="7" s="1"/>
  <c r="D1575" i="7"/>
  <c r="E1575" i="7" s="1"/>
  <c r="D1451" i="7"/>
  <c r="E1451" i="7" s="1"/>
  <c r="D2054" i="7"/>
  <c r="E2054" i="7" s="1"/>
  <c r="D1556" i="7"/>
  <c r="E1556" i="7" s="1"/>
  <c r="D2173" i="7"/>
  <c r="E2173" i="7" s="1"/>
  <c r="D3081" i="7"/>
  <c r="E3081" i="7" s="1"/>
  <c r="D2521" i="7"/>
  <c r="E2521" i="7" s="1"/>
  <c r="D2296" i="7"/>
  <c r="E2296" i="7" s="1"/>
  <c r="D2025" i="7"/>
  <c r="E2025" i="7" s="1"/>
  <c r="D3385" i="7"/>
  <c r="E3385" i="7" s="1"/>
  <c r="D3231" i="7"/>
  <c r="E3231" i="7" s="1"/>
  <c r="D1828" i="7"/>
  <c r="E1828" i="7" s="1"/>
  <c r="D1634" i="7"/>
  <c r="E1634" i="7" s="1"/>
  <c r="D2265" i="7"/>
  <c r="E2265" i="7" s="1"/>
  <c r="D1911" i="7"/>
  <c r="E1911" i="7" s="1"/>
  <c r="D1519" i="7"/>
  <c r="E1519" i="7" s="1"/>
  <c r="D1939" i="7"/>
  <c r="E1939" i="7" s="1"/>
  <c r="D1677" i="7"/>
  <c r="E1677" i="7" s="1"/>
  <c r="D1724" i="7"/>
  <c r="E1724" i="7" s="1"/>
  <c r="D1775" i="7"/>
  <c r="E1775" i="7" s="1"/>
  <c r="D1614" i="7"/>
  <c r="E1614" i="7" s="1"/>
  <c r="D2143" i="7"/>
  <c r="E2143" i="7" s="1"/>
  <c r="D1420" i="7"/>
  <c r="E1420" i="7" s="1"/>
  <c r="D1484" i="7"/>
  <c r="E1484" i="7" s="1"/>
  <c r="D4854" i="7"/>
  <c r="E4854" i="7" s="1"/>
  <c r="D4748" i="7"/>
  <c r="E4748" i="7" s="1"/>
  <c r="D4962" i="7"/>
  <c r="E4962" i="7" s="1"/>
  <c r="D5532" i="7"/>
  <c r="E5532" i="7" s="1"/>
  <c r="D5072" i="7"/>
  <c r="E5072" i="7" s="1"/>
  <c r="D4644" i="7"/>
  <c r="E4644" i="7" s="1"/>
  <c r="D5414" i="7"/>
  <c r="E5414" i="7" s="1"/>
  <c r="D5184" i="7"/>
  <c r="E5184" i="7" s="1"/>
  <c r="D4062" i="7"/>
  <c r="E4062" i="7" s="1"/>
  <c r="D4542" i="7"/>
  <c r="E4542" i="7" s="1"/>
  <c r="D3632" i="7"/>
  <c r="E3632" i="7" s="1"/>
  <c r="D5298" i="7"/>
  <c r="E5298" i="7" s="1"/>
  <c r="D3164" i="7"/>
  <c r="E3164" i="7" s="1"/>
  <c r="D3714" i="7"/>
  <c r="E3714" i="7" s="1"/>
  <c r="D3472" i="7"/>
  <c r="E3472" i="7" s="1"/>
  <c r="D2767" i="7"/>
  <c r="E2767" i="7" s="1"/>
  <c r="D3512" i="7"/>
  <c r="E3512" i="7" s="1"/>
  <c r="D3316" i="7"/>
  <c r="E3316" i="7" s="1"/>
  <c r="D3798" i="7"/>
  <c r="E3798" i="7" s="1"/>
  <c r="D3053" i="7"/>
  <c r="E3053" i="7" s="1"/>
  <c r="D4442" i="7"/>
  <c r="E4442" i="7" s="1"/>
  <c r="D4154" i="7"/>
  <c r="E4154" i="7" s="1"/>
  <c r="D3972" i="7"/>
  <c r="E3972" i="7" s="1"/>
  <c r="D4248" i="7"/>
  <c r="E4248" i="7" s="1"/>
  <c r="D3202" i="7"/>
  <c r="E3202" i="7" s="1"/>
  <c r="D2908" i="7"/>
  <c r="E2908" i="7" s="1"/>
  <c r="D2732" i="7"/>
  <c r="E2732" i="7" s="1"/>
  <c r="D4344" i="7"/>
  <c r="E4344" i="7" s="1"/>
  <c r="D3016" i="7"/>
  <c r="E3016" i="7" s="1"/>
  <c r="D3884" i="7"/>
  <c r="E3884" i="7" s="1"/>
  <c r="D3355" i="7"/>
  <c r="E3355" i="7" s="1"/>
  <c r="D2368" i="7"/>
  <c r="E2368" i="7" s="1"/>
  <c r="D2630" i="7"/>
  <c r="E2630" i="7" s="1"/>
  <c r="D2092" i="7"/>
  <c r="E2092" i="7" s="1"/>
  <c r="D2872" i="7"/>
  <c r="E2872" i="7" s="1"/>
  <c r="D2596" i="7"/>
  <c r="E2596" i="7" s="1"/>
  <c r="D2497" i="7"/>
  <c r="E2497" i="7" s="1"/>
  <c r="D2212" i="7"/>
  <c r="E2212" i="7" s="1"/>
  <c r="D1709" i="7"/>
  <c r="E1709" i="7" s="1"/>
  <c r="D2336" i="7"/>
  <c r="E2336" i="7" s="1"/>
  <c r="D2005" i="7"/>
  <c r="E2005" i="7" s="1"/>
  <c r="D2122" i="7"/>
  <c r="E2122" i="7" s="1"/>
  <c r="D1758" i="7"/>
  <c r="E1758" i="7" s="1"/>
  <c r="D1976" i="7"/>
  <c r="E1976" i="7" s="1"/>
  <c r="D2464" i="7"/>
  <c r="E2464" i="7" s="1"/>
  <c r="D1810" i="7"/>
  <c r="E1810" i="7" s="1"/>
  <c r="D1864" i="7"/>
  <c r="E1864" i="7" s="1"/>
  <c r="D1892" i="7"/>
  <c r="E1892" i="7" s="1"/>
  <c r="D5306" i="7"/>
  <c r="E5306" i="7" s="1"/>
  <c r="D5540" i="7"/>
  <c r="E5540" i="7" s="1"/>
  <c r="D4970" i="7"/>
  <c r="E4970" i="7" s="1"/>
  <c r="D5192" i="7"/>
  <c r="E5192" i="7" s="1"/>
  <c r="D5080" i="7"/>
  <c r="E5080" i="7" s="1"/>
  <c r="D4862" i="7"/>
  <c r="E4862" i="7" s="1"/>
  <c r="D3640" i="7"/>
  <c r="E3640" i="7" s="1"/>
  <c r="D4550" i="7"/>
  <c r="E4550" i="7" s="1"/>
  <c r="D3892" i="7"/>
  <c r="E3892" i="7" s="1"/>
  <c r="D3722" i="7"/>
  <c r="E3722" i="7" s="1"/>
  <c r="D5422" i="7"/>
  <c r="E5422" i="7" s="1"/>
  <c r="D4756" i="7"/>
  <c r="E4756" i="7" s="1"/>
  <c r="D4256" i="7"/>
  <c r="E4256" i="7" s="1"/>
  <c r="D3520" i="7"/>
  <c r="E3520" i="7" s="1"/>
  <c r="D4352" i="7"/>
  <c r="E4352" i="7" s="1"/>
  <c r="D4450" i="7"/>
  <c r="E4450" i="7" s="1"/>
  <c r="D4162" i="7"/>
  <c r="E4162" i="7" s="1"/>
  <c r="D4652" i="7"/>
  <c r="E4652" i="7" s="1"/>
  <c r="D3324" i="7"/>
  <c r="E3324" i="7" s="1"/>
  <c r="D3061" i="7"/>
  <c r="E3061" i="7" s="1"/>
  <c r="D2880" i="7"/>
  <c r="E2880" i="7" s="1"/>
  <c r="D4070" i="7"/>
  <c r="E4070" i="7" s="1"/>
  <c r="D3806" i="7"/>
  <c r="E3806" i="7" s="1"/>
  <c r="D3210" i="7"/>
  <c r="E3210" i="7" s="1"/>
  <c r="D3980" i="7"/>
  <c r="E3980" i="7" s="1"/>
  <c r="D3172" i="7"/>
  <c r="E3172" i="7" s="1"/>
  <c r="D2638" i="7"/>
  <c r="E2638" i="7" s="1"/>
  <c r="D2604" i="7"/>
  <c r="E2604" i="7" s="1"/>
  <c r="D3480" i="7"/>
  <c r="E3480" i="7" s="1"/>
  <c r="D3363" i="7"/>
  <c r="E3363" i="7" s="1"/>
  <c r="D2505" i="7"/>
  <c r="E2505" i="7" s="1"/>
  <c r="D3024" i="7"/>
  <c r="E3024" i="7" s="1"/>
  <c r="D2344" i="7"/>
  <c r="E2344" i="7" s="1"/>
  <c r="D2740" i="7"/>
  <c r="E2740" i="7" s="1"/>
  <c r="D2472" i="7"/>
  <c r="E2472" i="7" s="1"/>
  <c r="D2775" i="7"/>
  <c r="E2775" i="7" s="1"/>
  <c r="D2916" i="7"/>
  <c r="E2916" i="7" s="1"/>
  <c r="D2376" i="7"/>
  <c r="E2376" i="7" s="1"/>
  <c r="D709" i="7"/>
  <c r="E709" i="7" s="1"/>
  <c r="D494" i="7"/>
  <c r="E494" i="7" s="1"/>
  <c r="D1267" i="7"/>
  <c r="E1267" i="7" s="1"/>
  <c r="D262" i="7"/>
  <c r="E262" i="7" s="1"/>
  <c r="D80" i="7"/>
  <c r="E80" i="7" s="1"/>
  <c r="D1164" i="7"/>
  <c r="E1164" i="7" s="1"/>
  <c r="D843" i="7"/>
  <c r="E843" i="7" s="1"/>
  <c r="D982" i="7"/>
  <c r="E982" i="7" s="1"/>
  <c r="D701" i="7"/>
  <c r="E701" i="7" s="1"/>
  <c r="D972" i="7"/>
  <c r="E972" i="7" s="1"/>
  <c r="D1378" i="7"/>
  <c r="E1378" i="7" s="1"/>
  <c r="D370" i="7"/>
  <c r="E370" i="7" s="1"/>
  <c r="D159" i="7"/>
  <c r="E159" i="7" s="1"/>
  <c r="D156" i="7"/>
  <c r="E156" i="7" s="1"/>
  <c r="D153" i="7"/>
  <c r="E153" i="7" s="1"/>
  <c r="D266" i="7"/>
  <c r="E266" i="7" s="1"/>
  <c r="D590" i="7"/>
  <c r="E590" i="7" s="1"/>
  <c r="D78" i="7"/>
  <c r="E78" i="7" s="1"/>
  <c r="D834" i="7"/>
  <c r="E834" i="7" s="1"/>
  <c r="D1069" i="7"/>
  <c r="E1069" i="7" s="1"/>
  <c r="D375" i="7"/>
  <c r="E375" i="7" s="1"/>
  <c r="D82" i="7"/>
  <c r="E82" i="7" s="1"/>
  <c r="D500" i="7"/>
  <c r="E500" i="7" s="1"/>
  <c r="D258" i="7"/>
  <c r="E258" i="7" s="1"/>
  <c r="D5290" i="7"/>
  <c r="E5290" i="7" s="1"/>
  <c r="D5406" i="7"/>
  <c r="E5406" i="7" s="1"/>
  <c r="D4954" i="7"/>
  <c r="E4954" i="7" s="1"/>
  <c r="D5524" i="7"/>
  <c r="E5524" i="7" s="1"/>
  <c r="D4846" i="7"/>
  <c r="E4846" i="7" s="1"/>
  <c r="D4740" i="7"/>
  <c r="E4740" i="7" s="1"/>
  <c r="D5176" i="7"/>
  <c r="E5176" i="7" s="1"/>
  <c r="D5064" i="7"/>
  <c r="E5064" i="7" s="1"/>
  <c r="D3876" i="7"/>
  <c r="E3876" i="7" s="1"/>
  <c r="D3624" i="7"/>
  <c r="E3624" i="7" s="1"/>
  <c r="D3790" i="7"/>
  <c r="E3790" i="7" s="1"/>
  <c r="D3706" i="7"/>
  <c r="E3706" i="7" s="1"/>
  <c r="D4636" i="7"/>
  <c r="E4636" i="7" s="1"/>
  <c r="D4336" i="7"/>
  <c r="E4336" i="7" s="1"/>
  <c r="D4434" i="7"/>
  <c r="E4434" i="7" s="1"/>
  <c r="D4146" i="7"/>
  <c r="E4146" i="7" s="1"/>
  <c r="D3504" i="7"/>
  <c r="E3504" i="7" s="1"/>
  <c r="D4054" i="7"/>
  <c r="E4054" i="7" s="1"/>
  <c r="D4240" i="7"/>
  <c r="E4240" i="7" s="1"/>
  <c r="D3964" i="7"/>
  <c r="E3964" i="7" s="1"/>
  <c r="D2864" i="7"/>
  <c r="E2864" i="7" s="1"/>
  <c r="D4534" i="7"/>
  <c r="E4534" i="7" s="1"/>
  <c r="D3008" i="7"/>
  <c r="E3008" i="7" s="1"/>
  <c r="D3156" i="7"/>
  <c r="E3156" i="7" s="1"/>
  <c r="D3464" i="7"/>
  <c r="E3464" i="7" s="1"/>
  <c r="D3347" i="7"/>
  <c r="E3347" i="7" s="1"/>
  <c r="D3045" i="7"/>
  <c r="E3045" i="7" s="1"/>
  <c r="D2456" i="7"/>
  <c r="E2456" i="7" s="1"/>
  <c r="D3308" i="7"/>
  <c r="E3308" i="7" s="1"/>
  <c r="D3194" i="7"/>
  <c r="E3194" i="7" s="1"/>
  <c r="D2622" i="7"/>
  <c r="E2622" i="7" s="1"/>
  <c r="D2588" i="7"/>
  <c r="E2588" i="7" s="1"/>
  <c r="D2900" i="7"/>
  <c r="E2900" i="7" s="1"/>
  <c r="D1856" i="7"/>
  <c r="E1856" i="7" s="1"/>
  <c r="D1538" i="7"/>
  <c r="E1538" i="7" s="1"/>
  <c r="D1468" i="7"/>
  <c r="E1468" i="7" s="1"/>
  <c r="D2114" i="7"/>
  <c r="E2114" i="7" s="1"/>
  <c r="D2360" i="7"/>
  <c r="E2360" i="7" s="1"/>
  <c r="D1656" i="7"/>
  <c r="E1656" i="7" s="1"/>
  <c r="D2489" i="7"/>
  <c r="E2489" i="7" s="1"/>
  <c r="D2724" i="7"/>
  <c r="E2724" i="7" s="1"/>
  <c r="D1997" i="7"/>
  <c r="E1997" i="7" s="1"/>
  <c r="D1884" i="7"/>
  <c r="E1884" i="7" s="1"/>
  <c r="D1436" i="7"/>
  <c r="E1436" i="7" s="1"/>
  <c r="D2084" i="7"/>
  <c r="E2084" i="7" s="1"/>
  <c r="D2204" i="7"/>
  <c r="E2204" i="7" s="1"/>
  <c r="D1502" i="7"/>
  <c r="E1502" i="7" s="1"/>
  <c r="D2328" i="7"/>
  <c r="E2328" i="7" s="1"/>
  <c r="D2759" i="7"/>
  <c r="E2759" i="7" s="1"/>
  <c r="D1968" i="7"/>
  <c r="E1968" i="7" s="1"/>
  <c r="D1750" i="7"/>
  <c r="E1750" i="7" s="1"/>
  <c r="D1595" i="7"/>
  <c r="E1595" i="7" s="1"/>
  <c r="D1701" i="7"/>
  <c r="E1701" i="7" s="1"/>
  <c r="D1802" i="7"/>
  <c r="E1802" i="7" s="1"/>
  <c r="D5600" i="7"/>
  <c r="E5600" i="7" s="1"/>
  <c r="D5249" i="7"/>
  <c r="E5249" i="7" s="1"/>
  <c r="D5481" i="7"/>
  <c r="E5481" i="7" s="1"/>
  <c r="D5025" i="7"/>
  <c r="E5025" i="7" s="1"/>
  <c r="D4401" i="7"/>
  <c r="E4401" i="7" s="1"/>
  <c r="D5136" i="7"/>
  <c r="E5136" i="7" s="1"/>
  <c r="D5364" i="7"/>
  <c r="E5364" i="7" s="1"/>
  <c r="D4916" i="7"/>
  <c r="E4916" i="7" s="1"/>
  <c r="D4116" i="7"/>
  <c r="E4116" i="7" s="1"/>
  <c r="D4500" i="7"/>
  <c r="E4500" i="7" s="1"/>
  <c r="D3441" i="7"/>
  <c r="E3441" i="7" s="1"/>
  <c r="D3600" i="7"/>
  <c r="E3600" i="7" s="1"/>
  <c r="D3936" i="7"/>
  <c r="E3936" i="7" s="1"/>
  <c r="D4704" i="7"/>
  <c r="E4704" i="7" s="1"/>
  <c r="D3849" i="7"/>
  <c r="E3849" i="7" s="1"/>
  <c r="D4809" i="7"/>
  <c r="E4809" i="7" s="1"/>
  <c r="D4209" i="7"/>
  <c r="E4209" i="7" s="1"/>
  <c r="D3560" i="7"/>
  <c r="E3560" i="7" s="1"/>
  <c r="D3286" i="7"/>
  <c r="E3286" i="7" s="1"/>
  <c r="D4601" i="7"/>
  <c r="E4601" i="7" s="1"/>
  <c r="D3681" i="7"/>
  <c r="E3681" i="7" s="1"/>
  <c r="D4304" i="7"/>
  <c r="E4304" i="7" s="1"/>
  <c r="D4025" i="7"/>
  <c r="E4025" i="7" s="1"/>
  <c r="D3098" i="7"/>
  <c r="E3098" i="7" s="1"/>
  <c r="D2810" i="7"/>
  <c r="E2810" i="7" s="1"/>
  <c r="D2440" i="7"/>
  <c r="E2440" i="7" s="1"/>
  <c r="D2952" i="7"/>
  <c r="E2952" i="7" s="1"/>
  <c r="D3764" i="7"/>
  <c r="E3764" i="7" s="1"/>
  <c r="D2845" i="7"/>
  <c r="E2845" i="7" s="1"/>
  <c r="D3248" i="7"/>
  <c r="E3248" i="7" s="1"/>
  <c r="D2571" i="7"/>
  <c r="E2571" i="7" s="1"/>
  <c r="D3402" i="7"/>
  <c r="E3402" i="7" s="1"/>
  <c r="D3135" i="7"/>
  <c r="E3135" i="7" s="1"/>
  <c r="D2988" i="7"/>
  <c r="E2988" i="7" s="1"/>
  <c r="D2672" i="7"/>
  <c r="E2672" i="7" s="1"/>
  <c r="D2408" i="7"/>
  <c r="E2408" i="7" s="1"/>
  <c r="D2706" i="7"/>
  <c r="E2706" i="7" s="1"/>
  <c r="D2538" i="7"/>
  <c r="E2538" i="7" s="1"/>
  <c r="D4317" i="7"/>
  <c r="E4317" i="7" s="1"/>
  <c r="D5038" i="7"/>
  <c r="E5038" i="7" s="1"/>
  <c r="D5262" i="7"/>
  <c r="E5262" i="7" s="1"/>
  <c r="D5613" i="7"/>
  <c r="E5613" i="7" s="1"/>
  <c r="D5494" i="7"/>
  <c r="E5494" i="7" s="1"/>
  <c r="D4822" i="7"/>
  <c r="E4822" i="7" s="1"/>
  <c r="D5149" i="7"/>
  <c r="E5149" i="7" s="1"/>
  <c r="D4614" i="7"/>
  <c r="E4614" i="7" s="1"/>
  <c r="D4414" i="7"/>
  <c r="E4414" i="7" s="1"/>
  <c r="D5377" i="7"/>
  <c r="E5377" i="7" s="1"/>
  <c r="D4038" i="7"/>
  <c r="E4038" i="7" s="1"/>
  <c r="D4929" i="7"/>
  <c r="E4929" i="7" s="1"/>
  <c r="D4129" i="7"/>
  <c r="E4129" i="7" s="1"/>
  <c r="D4513" i="7"/>
  <c r="E4513" i="7" s="1"/>
  <c r="D4222" i="7"/>
  <c r="E4222" i="7" s="1"/>
  <c r="D4717" i="7"/>
  <c r="E4717" i="7" s="1"/>
  <c r="J252" i="2"/>
  <c r="D163" i="7"/>
  <c r="E163" i="7" s="1"/>
  <c r="D271" i="7"/>
  <c r="E271" i="7" s="1"/>
  <c r="D381" i="7"/>
  <c r="E381" i="7" s="1"/>
  <c r="D85" i="7"/>
  <c r="E85" i="7" s="1"/>
  <c r="D5423" i="7"/>
  <c r="E5423" i="7" s="1"/>
  <c r="D5193" i="7"/>
  <c r="E5193" i="7" s="1"/>
  <c r="D5081" i="7"/>
  <c r="E5081" i="7" s="1"/>
  <c r="D5307" i="7"/>
  <c r="E5307" i="7" s="1"/>
  <c r="D5541" i="7"/>
  <c r="E5541" i="7" s="1"/>
  <c r="D4551" i="7"/>
  <c r="E4551" i="7" s="1"/>
  <c r="D3893" i="7"/>
  <c r="E3893" i="7" s="1"/>
  <c r="D3641" i="7"/>
  <c r="E3641" i="7" s="1"/>
  <c r="D3723" i="7"/>
  <c r="E3723" i="7" s="1"/>
  <c r="D3807" i="7"/>
  <c r="E3807" i="7" s="1"/>
  <c r="D4863" i="7"/>
  <c r="E4863" i="7" s="1"/>
  <c r="D4757" i="7"/>
  <c r="E4757" i="7" s="1"/>
  <c r="D3521" i="7"/>
  <c r="E3521" i="7" s="1"/>
  <c r="D4353" i="7"/>
  <c r="E4353" i="7" s="1"/>
  <c r="D4163" i="7"/>
  <c r="E4163" i="7" s="1"/>
  <c r="D4451" i="7"/>
  <c r="E4451" i="7" s="1"/>
  <c r="D4071" i="7"/>
  <c r="E4071" i="7" s="1"/>
  <c r="D4653" i="7"/>
  <c r="E4653" i="7" s="1"/>
  <c r="D4971" i="7"/>
  <c r="E4971" i="7" s="1"/>
  <c r="D2881" i="7"/>
  <c r="E2881" i="7" s="1"/>
  <c r="D3025" i="7"/>
  <c r="E3025" i="7" s="1"/>
  <c r="D3211" i="7"/>
  <c r="E3211" i="7" s="1"/>
  <c r="D3981" i="7"/>
  <c r="E3981" i="7" s="1"/>
  <c r="D3173" i="7"/>
  <c r="E3173" i="7" s="1"/>
  <c r="D4257" i="7"/>
  <c r="E4257" i="7" s="1"/>
  <c r="D2473" i="7"/>
  <c r="E2473" i="7" s="1"/>
  <c r="D2639" i="7"/>
  <c r="E2639" i="7" s="1"/>
  <c r="D2605" i="7"/>
  <c r="E2605" i="7" s="1"/>
  <c r="D3062" i="7"/>
  <c r="E3062" i="7" s="1"/>
  <c r="D3481" i="7"/>
  <c r="E3481" i="7" s="1"/>
  <c r="D3364" i="7"/>
  <c r="E3364" i="7" s="1"/>
  <c r="D2506" i="7"/>
  <c r="E2506" i="7" s="1"/>
  <c r="D2741" i="7"/>
  <c r="E2741" i="7" s="1"/>
  <c r="D2776" i="7"/>
  <c r="E2776" i="7" s="1"/>
  <c r="D2917" i="7"/>
  <c r="E2917" i="7" s="1"/>
  <c r="D3325" i="7"/>
  <c r="E3325" i="7" s="1"/>
  <c r="D5094" i="7"/>
  <c r="E5094" i="7" s="1"/>
  <c r="D5554" i="7"/>
  <c r="E5554" i="7" s="1"/>
  <c r="D5320" i="7"/>
  <c r="E5320" i="7" s="1"/>
  <c r="D4366" i="7"/>
  <c r="E4366" i="7" s="1"/>
  <c r="D4564" i="7"/>
  <c r="E4564" i="7" s="1"/>
  <c r="D5206" i="7"/>
  <c r="E5206" i="7" s="1"/>
  <c r="D4984" i="7"/>
  <c r="E4984" i="7" s="1"/>
  <c r="D4666" i="7"/>
  <c r="E4666" i="7" s="1"/>
  <c r="D5436" i="7"/>
  <c r="E5436" i="7" s="1"/>
  <c r="D4876" i="7"/>
  <c r="E4876" i="7" s="1"/>
  <c r="D4770" i="7"/>
  <c r="E4770" i="7" s="1"/>
  <c r="D4464" i="7"/>
  <c r="E4464" i="7" s="1"/>
  <c r="D4270" i="7"/>
  <c r="E4270" i="7" s="1"/>
  <c r="D4084" i="7"/>
  <c r="E4084" i="7" s="1"/>
  <c r="D4176" i="7"/>
  <c r="E4176" i="7" s="1"/>
  <c r="D5449" i="7"/>
  <c r="E5449" i="7" s="1"/>
  <c r="D5567" i="7"/>
  <c r="E5567" i="7" s="1"/>
  <c r="D1346" i="7"/>
  <c r="E1346" i="7" s="1"/>
  <c r="D1238" i="7"/>
  <c r="E1238" i="7" s="1"/>
  <c r="D1138" i="7"/>
  <c r="E1138" i="7" s="1"/>
  <c r="D5601" i="7"/>
  <c r="E5601" i="7" s="1"/>
  <c r="D5250" i="7"/>
  <c r="E5250" i="7" s="1"/>
  <c r="D5365" i="7"/>
  <c r="E5365" i="7" s="1"/>
  <c r="D5137" i="7"/>
  <c r="E5137" i="7" s="1"/>
  <c r="D4917" i="7"/>
  <c r="E4917" i="7" s="1"/>
  <c r="D4602" i="7"/>
  <c r="E4602" i="7" s="1"/>
  <c r="D5482" i="7"/>
  <c r="E5482" i="7" s="1"/>
  <c r="D4117" i="7"/>
  <c r="E4117" i="7" s="1"/>
  <c r="D3287" i="7"/>
  <c r="E3287" i="7" s="1"/>
  <c r="D4501" i="7"/>
  <c r="E4501" i="7" s="1"/>
  <c r="D3601" i="7"/>
  <c r="E3601" i="7" s="1"/>
  <c r="D3937" i="7"/>
  <c r="E3937" i="7" s="1"/>
  <c r="D4705" i="7"/>
  <c r="E4705" i="7" s="1"/>
  <c r="D5026" i="7"/>
  <c r="E5026" i="7" s="1"/>
  <c r="D4810" i="7"/>
  <c r="E4810" i="7" s="1"/>
  <c r="D2673" i="7"/>
  <c r="E2673" i="7" s="1"/>
  <c r="D4402" i="7"/>
  <c r="E4402" i="7" s="1"/>
  <c r="D3850" i="7"/>
  <c r="E3850" i="7" s="1"/>
  <c r="D3682" i="7"/>
  <c r="E3682" i="7" s="1"/>
  <c r="D2953" i="7"/>
  <c r="E2953" i="7" s="1"/>
  <c r="D4305" i="7"/>
  <c r="E4305" i="7" s="1"/>
  <c r="D4026" i="7"/>
  <c r="E4026" i="7" s="1"/>
  <c r="D3765" i="7"/>
  <c r="E3765" i="7" s="1"/>
  <c r="D2811" i="7"/>
  <c r="E2811" i="7" s="1"/>
  <c r="D3561" i="7"/>
  <c r="E3561" i="7" s="1"/>
  <c r="D3249" i="7"/>
  <c r="E3249" i="7" s="1"/>
  <c r="D3442" i="7"/>
  <c r="E3442" i="7" s="1"/>
  <c r="D3403" i="7"/>
  <c r="E3403" i="7" s="1"/>
  <c r="D3136" i="7"/>
  <c r="E3136" i="7" s="1"/>
  <c r="D4210" i="7"/>
  <c r="E4210" i="7" s="1"/>
  <c r="D2989" i="7"/>
  <c r="E2989" i="7" s="1"/>
  <c r="D3099" i="7"/>
  <c r="E3099" i="7" s="1"/>
  <c r="D2572" i="7"/>
  <c r="E2572" i="7" s="1"/>
  <c r="D2707" i="7"/>
  <c r="E2707" i="7" s="1"/>
  <c r="D2539" i="7"/>
  <c r="E2539" i="7" s="1"/>
  <c r="D2846" i="7"/>
  <c r="E2846" i="7" s="1"/>
  <c r="D5627" i="7"/>
  <c r="E5627" i="7" s="1"/>
  <c r="D5508" i="7"/>
  <c r="E5508" i="7" s="1"/>
  <c r="H37" i="2"/>
  <c r="J37" i="2" s="1"/>
  <c r="D1144" i="7"/>
  <c r="E1144" i="7" s="1"/>
  <c r="D1245" i="7"/>
  <c r="E1245" i="7" s="1"/>
  <c r="D946" i="7"/>
  <c r="E946" i="7" s="1"/>
  <c r="D802" i="7"/>
  <c r="E802" i="7" s="1"/>
  <c r="D1354" i="7"/>
  <c r="E1354" i="7" s="1"/>
  <c r="D474" i="7"/>
  <c r="E474" i="7" s="1"/>
  <c r="D580" i="7"/>
  <c r="E580" i="7" s="1"/>
  <c r="D573" i="7"/>
  <c r="E573" i="7" s="1"/>
  <c r="D689" i="7"/>
  <c r="E689" i="7" s="1"/>
  <c r="D468" i="7"/>
  <c r="E468" i="7" s="1"/>
  <c r="D1051" i="7"/>
  <c r="E1051" i="7" s="1"/>
  <c r="D956" i="7"/>
  <c r="E956" i="7" s="1"/>
  <c r="D811" i="7"/>
  <c r="E811" i="7" s="1"/>
  <c r="D681" i="7"/>
  <c r="E681" i="7" s="1"/>
  <c r="D5517" i="7"/>
  <c r="E5517" i="7" s="1"/>
  <c r="D5057" i="7"/>
  <c r="E5057" i="7" s="1"/>
  <c r="D5169" i="7"/>
  <c r="E5169" i="7" s="1"/>
  <c r="D4329" i="7"/>
  <c r="E4329" i="7" s="1"/>
  <c r="D5283" i="7"/>
  <c r="E5283" i="7" s="1"/>
  <c r="D4527" i="7"/>
  <c r="E4527" i="7" s="1"/>
  <c r="D5399" i="7"/>
  <c r="E5399" i="7" s="1"/>
  <c r="D4839" i="7"/>
  <c r="E4839" i="7" s="1"/>
  <c r="D4047" i="7"/>
  <c r="E4047" i="7" s="1"/>
  <c r="D4947" i="7"/>
  <c r="E4947" i="7" s="1"/>
  <c r="D4733" i="7"/>
  <c r="E4733" i="7" s="1"/>
  <c r="D3457" i="7"/>
  <c r="E3457" i="7" s="1"/>
  <c r="D3699" i="7"/>
  <c r="E3699" i="7" s="1"/>
  <c r="D4629" i="7"/>
  <c r="E4629" i="7" s="1"/>
  <c r="D4233" i="7"/>
  <c r="E4233" i="7" s="1"/>
  <c r="D4139" i="7"/>
  <c r="E4139" i="7" s="1"/>
  <c r="D3340" i="7"/>
  <c r="E3340" i="7" s="1"/>
  <c r="D3783" i="7"/>
  <c r="E3783" i="7" s="1"/>
  <c r="D3957" i="7"/>
  <c r="E3957" i="7" s="1"/>
  <c r="D3617" i="7"/>
  <c r="E3617" i="7" s="1"/>
  <c r="D4427" i="7"/>
  <c r="E4427" i="7" s="1"/>
  <c r="D3869" i="7"/>
  <c r="E3869" i="7" s="1"/>
  <c r="D3149" i="7"/>
  <c r="E3149" i="7" s="1"/>
  <c r="D2717" i="7"/>
  <c r="E2717" i="7" s="1"/>
  <c r="D2321" i="7"/>
  <c r="E2321" i="7" s="1"/>
  <c r="D2752" i="7"/>
  <c r="E2752" i="7" s="1"/>
  <c r="D3497" i="7"/>
  <c r="E3497" i="7" s="1"/>
  <c r="D3038" i="7"/>
  <c r="E3038" i="7" s="1"/>
  <c r="D3301" i="7"/>
  <c r="E3301" i="7" s="1"/>
  <c r="D3187" i="7"/>
  <c r="E3187" i="7" s="1"/>
  <c r="D2449" i="7"/>
  <c r="E2449" i="7" s="1"/>
  <c r="D2893" i="7"/>
  <c r="E2893" i="7" s="1"/>
  <c r="D1877" i="7"/>
  <c r="E1877" i="7" s="1"/>
  <c r="D1315" i="7"/>
  <c r="E1315" i="7" s="1"/>
  <c r="D1111" i="7"/>
  <c r="E1111" i="7" s="1"/>
  <c r="D2581" i="7"/>
  <c r="E2581" i="7" s="1"/>
  <c r="D2482" i="7"/>
  <c r="E2482" i="7" s="1"/>
  <c r="D2197" i="7"/>
  <c r="E2197" i="7" s="1"/>
  <c r="D2107" i="7"/>
  <c r="E2107" i="7" s="1"/>
  <c r="D3001" i="7"/>
  <c r="E3001" i="7" s="1"/>
  <c r="D1743" i="7"/>
  <c r="E1743" i="7" s="1"/>
  <c r="D2857" i="7"/>
  <c r="E2857" i="7" s="1"/>
  <c r="D1849" i="7"/>
  <c r="E1849" i="7" s="1"/>
  <c r="D1795" i="7"/>
  <c r="E1795" i="7" s="1"/>
  <c r="D2615" i="7"/>
  <c r="E2615" i="7" s="1"/>
  <c r="D1531" i="7"/>
  <c r="E1531" i="7" s="1"/>
  <c r="D1990" i="7"/>
  <c r="E1990" i="7" s="1"/>
  <c r="D1429" i="7"/>
  <c r="E1429" i="7" s="1"/>
  <c r="D2077" i="7"/>
  <c r="E2077" i="7" s="1"/>
  <c r="D1495" i="7"/>
  <c r="E1495" i="7" s="1"/>
  <c r="D1649" i="7"/>
  <c r="E1649" i="7" s="1"/>
  <c r="D2353" i="7"/>
  <c r="E2353" i="7" s="1"/>
  <c r="D1961" i="7"/>
  <c r="E1961" i="7" s="1"/>
  <c r="D1694" i="7"/>
  <c r="E1694" i="7" s="1"/>
  <c r="D1461" i="7"/>
  <c r="E1461" i="7" s="1"/>
  <c r="D1209" i="7"/>
  <c r="E1209" i="7" s="1"/>
  <c r="D1021" i="7"/>
  <c r="E1021" i="7" s="1"/>
  <c r="D899" i="7"/>
  <c r="E899" i="7" s="1"/>
  <c r="D760" i="7"/>
  <c r="E760" i="7" s="1"/>
  <c r="D1588" i="7"/>
  <c r="E1588" i="7" s="1"/>
  <c r="D1399" i="7"/>
  <c r="E1399" i="7" s="1"/>
  <c r="H103" i="2"/>
  <c r="J103" i="2" s="1"/>
  <c r="D1329" i="7"/>
  <c r="E1329" i="7" s="1"/>
  <c r="D1123" i="7"/>
  <c r="E1123" i="7" s="1"/>
  <c r="D909" i="7"/>
  <c r="E909" i="7" s="1"/>
  <c r="D2228" i="7"/>
  <c r="E2228" i="7" s="1"/>
  <c r="D1032" i="7"/>
  <c r="E1032" i="7" s="1"/>
  <c r="D769" i="7"/>
  <c r="E769" i="7" s="1"/>
  <c r="D919" i="7"/>
  <c r="E919" i="7" s="1"/>
  <c r="D1222" i="7"/>
  <c r="E1222" i="7" s="1"/>
  <c r="D778" i="7"/>
  <c r="E778" i="7" s="1"/>
  <c r="D5525" i="7"/>
  <c r="E5525" i="7" s="1"/>
  <c r="D5291" i="7"/>
  <c r="E5291" i="7" s="1"/>
  <c r="D4847" i="7"/>
  <c r="E4847" i="7" s="1"/>
  <c r="D4741" i="7"/>
  <c r="E4741" i="7" s="1"/>
  <c r="D5407" i="7"/>
  <c r="E5407" i="7" s="1"/>
  <c r="D5177" i="7"/>
  <c r="E5177" i="7" s="1"/>
  <c r="D5065" i="7"/>
  <c r="E5065" i="7" s="1"/>
  <c r="D3791" i="7"/>
  <c r="E3791" i="7" s="1"/>
  <c r="D3707" i="7"/>
  <c r="E3707" i="7" s="1"/>
  <c r="D4637" i="7"/>
  <c r="E4637" i="7" s="1"/>
  <c r="D4337" i="7"/>
  <c r="E4337" i="7" s="1"/>
  <c r="D4435" i="7"/>
  <c r="E4435" i="7" s="1"/>
  <c r="D3505" i="7"/>
  <c r="E3505" i="7" s="1"/>
  <c r="D4055" i="7"/>
  <c r="E4055" i="7" s="1"/>
  <c r="D4955" i="7"/>
  <c r="E4955" i="7" s="1"/>
  <c r="D4241" i="7"/>
  <c r="E4241" i="7" s="1"/>
  <c r="D3965" i="7"/>
  <c r="E3965" i="7" s="1"/>
  <c r="D2865" i="7"/>
  <c r="E2865" i="7" s="1"/>
  <c r="D4535" i="7"/>
  <c r="E4535" i="7" s="1"/>
  <c r="D3625" i="7"/>
  <c r="E3625" i="7" s="1"/>
  <c r="D3009" i="7"/>
  <c r="E3009" i="7" s="1"/>
  <c r="D3877" i="7"/>
  <c r="E3877" i="7" s="1"/>
  <c r="D3157" i="7"/>
  <c r="E3157" i="7" s="1"/>
  <c r="D3465" i="7"/>
  <c r="E3465" i="7" s="1"/>
  <c r="D3348" i="7"/>
  <c r="E3348" i="7" s="1"/>
  <c r="D4147" i="7"/>
  <c r="E4147" i="7" s="1"/>
  <c r="D3046" i="7"/>
  <c r="E3046" i="7" s="1"/>
  <c r="D2457" i="7"/>
  <c r="E2457" i="7" s="1"/>
  <c r="D2490" i="7"/>
  <c r="E2490" i="7" s="1"/>
  <c r="D3309" i="7"/>
  <c r="E3309" i="7" s="1"/>
  <c r="D3195" i="7"/>
  <c r="E3195" i="7" s="1"/>
  <c r="D2901" i="7"/>
  <c r="E2901" i="7" s="1"/>
  <c r="D1857" i="7"/>
  <c r="E1857" i="7" s="1"/>
  <c r="D1539" i="7"/>
  <c r="E1539" i="7" s="1"/>
  <c r="D1469" i="7"/>
  <c r="E1469" i="7" s="1"/>
  <c r="D2115" i="7"/>
  <c r="E2115" i="7" s="1"/>
  <c r="D1751" i="7"/>
  <c r="E1751" i="7" s="1"/>
  <c r="D1503" i="7"/>
  <c r="E1503" i="7" s="1"/>
  <c r="D1803" i="7"/>
  <c r="E1803" i="7" s="1"/>
  <c r="D2623" i="7"/>
  <c r="E2623" i="7" s="1"/>
  <c r="D2361" i="7"/>
  <c r="E2361" i="7" s="1"/>
  <c r="D1657" i="7"/>
  <c r="E1657" i="7" s="1"/>
  <c r="D1885" i="7"/>
  <c r="E1885" i="7" s="1"/>
  <c r="D2085" i="7"/>
  <c r="E2085" i="7" s="1"/>
  <c r="D2589" i="7"/>
  <c r="E2589" i="7" s="1"/>
  <c r="D2725" i="7"/>
  <c r="E2725" i="7" s="1"/>
  <c r="D2760" i="7"/>
  <c r="E2760" i="7" s="1"/>
  <c r="D1998" i="7"/>
  <c r="E1998" i="7" s="1"/>
  <c r="D2205" i="7"/>
  <c r="E2205" i="7" s="1"/>
  <c r="D2329" i="7"/>
  <c r="E2329" i="7" s="1"/>
  <c r="D1596" i="7"/>
  <c r="E1596" i="7" s="1"/>
  <c r="D1702" i="7"/>
  <c r="E1702" i="7" s="1"/>
  <c r="D1969" i="7"/>
  <c r="E1969" i="7" s="1"/>
  <c r="D725" i="7"/>
  <c r="E725" i="7" s="1"/>
  <c r="D279" i="7"/>
  <c r="E279" i="7" s="1"/>
  <c r="D31" i="7"/>
  <c r="E31" i="7" s="1"/>
  <c r="D861" i="7"/>
  <c r="E861" i="7" s="1"/>
  <c r="D1279" i="7"/>
  <c r="E1279" i="7" s="1"/>
  <c r="D1175" i="7"/>
  <c r="E1175" i="7" s="1"/>
  <c r="D274" i="7"/>
  <c r="E274" i="7" s="1"/>
  <c r="D33" i="7"/>
  <c r="E33" i="7" s="1"/>
  <c r="D86" i="7"/>
  <c r="E86" i="7" s="1"/>
  <c r="D716" i="7"/>
  <c r="E716" i="7" s="1"/>
  <c r="D512" i="7"/>
  <c r="E512" i="7" s="1"/>
  <c r="D385" i="7"/>
  <c r="E385" i="7" s="1"/>
  <c r="D596" i="7"/>
  <c r="E596" i="7" s="1"/>
  <c r="D991" i="7"/>
  <c r="E991" i="7" s="1"/>
  <c r="D505" i="7"/>
  <c r="E505" i="7" s="1"/>
  <c r="E5" i="7"/>
  <c r="L5" i="2" s="1"/>
  <c r="D169" i="7"/>
  <c r="E169" i="7" s="1"/>
  <c r="D4" i="7"/>
  <c r="E4" i="7" s="1"/>
  <c r="L4" i="2" s="1"/>
  <c r="D1079" i="7"/>
  <c r="E1079" i="7" s="1"/>
  <c r="D851" i="7"/>
  <c r="E851" i="7" s="1"/>
  <c r="D35" i="7"/>
  <c r="E35" i="7" s="1"/>
  <c r="L32" i="2" s="1"/>
  <c r="D92" i="7"/>
  <c r="E92" i="7" s="1"/>
  <c r="D173" i="7"/>
  <c r="E173" i="7" s="1"/>
  <c r="D391" i="7"/>
  <c r="E391" i="7" s="1"/>
  <c r="D89" i="7"/>
  <c r="E89" i="7" s="1"/>
  <c r="D604" i="7"/>
  <c r="E604" i="7" s="1"/>
  <c r="D165" i="7"/>
  <c r="E165" i="7" s="1"/>
  <c r="E3" i="7"/>
  <c r="L3" i="2" s="1"/>
  <c r="D1343" i="7"/>
  <c r="E1343" i="7" s="1"/>
  <c r="D1135" i="7"/>
  <c r="E1135" i="7" s="1"/>
  <c r="D1235" i="7"/>
  <c r="E1235" i="7" s="1"/>
  <c r="D939" i="7"/>
  <c r="E939" i="7" s="1"/>
  <c r="D796" i="7"/>
  <c r="E796" i="7" s="1"/>
  <c r="D787" i="7"/>
  <c r="E787" i="7" s="1"/>
  <c r="D929" i="7"/>
  <c r="E929" i="7" s="1"/>
  <c r="D1043" i="7"/>
  <c r="E1043" i="7" s="1"/>
  <c r="J308" i="2"/>
  <c r="D177" i="7"/>
  <c r="E177" i="7" s="1"/>
  <c r="D284" i="7"/>
  <c r="E284" i="7" s="1"/>
  <c r="D6" i="7"/>
  <c r="E6" i="7" s="1"/>
  <c r="L6" i="2" s="1"/>
  <c r="D95" i="7"/>
  <c r="E95" i="7" s="1"/>
  <c r="D397" i="7"/>
  <c r="E397" i="7" s="1"/>
  <c r="D37" i="7"/>
  <c r="E37" i="7" s="1"/>
  <c r="L33" i="2" s="1"/>
  <c r="J220" i="2"/>
  <c r="H231" i="2"/>
  <c r="J231" i="2" s="1"/>
  <c r="H277" i="2"/>
  <c r="J277" i="2" s="1"/>
  <c r="H294" i="2"/>
  <c r="J294" i="2" s="1"/>
  <c r="D1388" i="7"/>
  <c r="E1388" i="7" s="1"/>
  <c r="D1277" i="7"/>
  <c r="E1277" i="7" s="1"/>
  <c r="D1174" i="7"/>
  <c r="E1174" i="7" s="1"/>
  <c r="D5310" i="7"/>
  <c r="E5310" i="7" s="1"/>
  <c r="D4866" i="7"/>
  <c r="E4866" i="7" s="1"/>
  <c r="D5544" i="7"/>
  <c r="E5544" i="7" s="1"/>
  <c r="D4260" i="7"/>
  <c r="E4260" i="7" s="1"/>
  <c r="D4760" i="7"/>
  <c r="E4760" i="7" s="1"/>
  <c r="D4454" i="7"/>
  <c r="E4454" i="7" s="1"/>
  <c r="D3367" i="7"/>
  <c r="E3367" i="7" s="1"/>
  <c r="D5196" i="7"/>
  <c r="E5196" i="7" s="1"/>
  <c r="D5426" i="7"/>
  <c r="E5426" i="7" s="1"/>
  <c r="D4356" i="7"/>
  <c r="E4356" i="7" s="1"/>
  <c r="D4656" i="7"/>
  <c r="E4656" i="7" s="1"/>
  <c r="D4074" i="7"/>
  <c r="E4074" i="7" s="1"/>
  <c r="D4974" i="7"/>
  <c r="E4974" i="7" s="1"/>
  <c r="D5084" i="7"/>
  <c r="E5084" i="7" s="1"/>
  <c r="D4554" i="7"/>
  <c r="E4554" i="7" s="1"/>
  <c r="D3810" i="7"/>
  <c r="E3810" i="7" s="1"/>
  <c r="D3644" i="7"/>
  <c r="E3644" i="7" s="1"/>
  <c r="D4166" i="7"/>
  <c r="E4166" i="7" s="1"/>
  <c r="D3984" i="7"/>
  <c r="E3984" i="7" s="1"/>
  <c r="D3176" i="7"/>
  <c r="E3176" i="7" s="1"/>
  <c r="D3896" i="7"/>
  <c r="E3896" i="7" s="1"/>
  <c r="D3484" i="7"/>
  <c r="E3484" i="7" s="1"/>
  <c r="D3524" i="7"/>
  <c r="E3524" i="7" s="1"/>
  <c r="D3726" i="7"/>
  <c r="E3726" i="7" s="1"/>
  <c r="D3065" i="7"/>
  <c r="E3065" i="7" s="1"/>
  <c r="D2884" i="7"/>
  <c r="E2884" i="7" s="1"/>
  <c r="D3214" i="7"/>
  <c r="E3214" i="7" s="1"/>
  <c r="D2920" i="7"/>
  <c r="E2920" i="7" s="1"/>
  <c r="D3328" i="7"/>
  <c r="E3328" i="7" s="1"/>
  <c r="D3028" i="7"/>
  <c r="E3028" i="7" s="1"/>
  <c r="D5152" i="7"/>
  <c r="E5152" i="7" s="1"/>
  <c r="D5616" i="7"/>
  <c r="E5616" i="7" s="1"/>
  <c r="D4825" i="7"/>
  <c r="E4825" i="7" s="1"/>
  <c r="D4720" i="7"/>
  <c r="E4720" i="7" s="1"/>
  <c r="D5041" i="7"/>
  <c r="E5041" i="7" s="1"/>
  <c r="D4932" i="7"/>
  <c r="E4932" i="7" s="1"/>
  <c r="D5497" i="7"/>
  <c r="E5497" i="7" s="1"/>
  <c r="D5265" i="7"/>
  <c r="E5265" i="7" s="1"/>
  <c r="D5380" i="7"/>
  <c r="E5380" i="7" s="1"/>
  <c r="D4617" i="7"/>
  <c r="E4617" i="7" s="1"/>
  <c r="D4320" i="7"/>
  <c r="E4320" i="7" s="1"/>
  <c r="D4417" i="7"/>
  <c r="E4417" i="7" s="1"/>
  <c r="D4516" i="7"/>
  <c r="E4516" i="7" s="1"/>
  <c r="D98" i="7"/>
  <c r="E98" i="7" s="1"/>
  <c r="D526" i="7"/>
  <c r="E526" i="7" s="1"/>
  <c r="D294" i="7"/>
  <c r="E294" i="7" s="1"/>
  <c r="D409" i="7"/>
  <c r="E409" i="7" s="1"/>
  <c r="D734" i="7"/>
  <c r="E734" i="7" s="1"/>
  <c r="D519" i="7"/>
  <c r="E519" i="7" s="1"/>
  <c r="D871" i="7"/>
  <c r="E871" i="7" s="1"/>
  <c r="D1091" i="7"/>
  <c r="E1091" i="7" s="1"/>
  <c r="D881" i="7"/>
  <c r="E881" i="7" s="1"/>
  <c r="D1002" i="7"/>
  <c r="E1002" i="7" s="1"/>
  <c r="D181" i="7"/>
  <c r="E181" i="7" s="1"/>
  <c r="D104" i="7"/>
  <c r="E104" i="7" s="1"/>
  <c r="D743" i="7"/>
  <c r="E743" i="7" s="1"/>
  <c r="D289" i="7"/>
  <c r="E289" i="7" s="1"/>
  <c r="D620" i="7"/>
  <c r="E620" i="7" s="1"/>
  <c r="D1293" i="7"/>
  <c r="E1293" i="7" s="1"/>
  <c r="D403" i="7"/>
  <c r="E403" i="7" s="1"/>
  <c r="D43" i="7"/>
  <c r="E43" i="7" s="1"/>
  <c r="D7" i="7"/>
  <c r="E7" i="7" s="1"/>
  <c r="L7" i="2" s="1"/>
  <c r="D189" i="7"/>
  <c r="E189" i="7" s="1"/>
  <c r="D41" i="7"/>
  <c r="E41" i="7" s="1"/>
  <c r="D1188" i="7"/>
  <c r="E1188" i="7" s="1"/>
  <c r="D101" i="7"/>
  <c r="E101" i="7" s="1"/>
  <c r="D185" i="7"/>
  <c r="E185" i="7" s="1"/>
  <c r="D612" i="7"/>
  <c r="E612" i="7" s="1"/>
  <c r="D9" i="7"/>
  <c r="E9" i="7" s="1"/>
  <c r="L9" i="2" s="1"/>
  <c r="D39" i="7"/>
  <c r="E39" i="7" s="1"/>
  <c r="D8" i="7"/>
  <c r="E8" i="7" s="1"/>
  <c r="L8" i="2" s="1"/>
  <c r="D1297" i="7"/>
  <c r="E1297" i="7" s="1"/>
  <c r="D1006" i="7"/>
  <c r="E1006" i="7" s="1"/>
  <c r="D624" i="7"/>
  <c r="E624" i="7" s="1"/>
  <c r="D1095" i="7"/>
  <c r="E1095" i="7" s="1"/>
  <c r="D1192" i="7"/>
  <c r="E1192" i="7" s="1"/>
  <c r="D413" i="7"/>
  <c r="E413" i="7" s="1"/>
  <c r="D293" i="7"/>
  <c r="E293" i="7" s="1"/>
  <c r="D875" i="7"/>
  <c r="E875" i="7" s="1"/>
  <c r="D407" i="7"/>
  <c r="E407" i="7" s="1"/>
  <c r="D738" i="7"/>
  <c r="E738" i="7" s="1"/>
  <c r="D616" i="7"/>
  <c r="E616" i="7" s="1"/>
  <c r="D530" i="7"/>
  <c r="E530" i="7" s="1"/>
  <c r="D885" i="7"/>
  <c r="E885" i="7" s="1"/>
  <c r="D298" i="7"/>
  <c r="E298" i="7" s="1"/>
  <c r="D523" i="7"/>
  <c r="E523" i="7" s="1"/>
  <c r="D747" i="7"/>
  <c r="E747" i="7" s="1"/>
  <c r="D5113" i="7"/>
  <c r="E5113" i="7" s="1"/>
  <c r="D5577" i="7"/>
  <c r="E5577" i="7" s="1"/>
  <c r="D5226" i="7"/>
  <c r="E5226" i="7" s="1"/>
  <c r="D5458" i="7"/>
  <c r="E5458" i="7" s="1"/>
  <c r="D4681" i="7"/>
  <c r="E4681" i="7" s="1"/>
  <c r="D4893" i="7"/>
  <c r="E4893" i="7" s="1"/>
  <c r="D5341" i="7"/>
  <c r="E5341" i="7" s="1"/>
  <c r="D5002" i="7"/>
  <c r="E5002" i="7" s="1"/>
  <c r="D4378" i="7"/>
  <c r="E4378" i="7" s="1"/>
  <c r="D4281" i="7"/>
  <c r="E4281" i="7" s="1"/>
  <c r="D4477" i="7"/>
  <c r="E4477" i="7" s="1"/>
  <c r="D3537" i="7"/>
  <c r="E3537" i="7" s="1"/>
  <c r="D4786" i="7"/>
  <c r="E4786" i="7" s="1"/>
  <c r="D3741" i="7"/>
  <c r="E3741" i="7" s="1"/>
  <c r="D2929" i="7"/>
  <c r="E2929" i="7" s="1"/>
  <c r="D3112" i="7"/>
  <c r="E3112" i="7" s="1"/>
  <c r="D3577" i="7"/>
  <c r="E3577" i="7" s="1"/>
  <c r="D3826" i="7"/>
  <c r="E3826" i="7" s="1"/>
  <c r="D3263" i="7"/>
  <c r="E3263" i="7" s="1"/>
  <c r="D4093" i="7"/>
  <c r="E4093" i="7" s="1"/>
  <c r="D4186" i="7"/>
  <c r="E4186" i="7" s="1"/>
  <c r="D4002" i="7"/>
  <c r="E4002" i="7" s="1"/>
  <c r="D3658" i="7"/>
  <c r="E3658" i="7" s="1"/>
  <c r="D4578" i="7"/>
  <c r="E4578" i="7" s="1"/>
  <c r="D3418" i="7"/>
  <c r="E3418" i="7" s="1"/>
  <c r="D3225" i="7"/>
  <c r="E3225" i="7" s="1"/>
  <c r="D3379" i="7"/>
  <c r="E3379" i="7" s="1"/>
  <c r="D2787" i="7"/>
  <c r="E2787" i="7" s="1"/>
  <c r="D2417" i="7"/>
  <c r="E2417" i="7" s="1"/>
  <c r="D2822" i="7"/>
  <c r="E2822" i="7" s="1"/>
  <c r="D3913" i="7"/>
  <c r="E3913" i="7" s="1"/>
  <c r="D2965" i="7"/>
  <c r="E2965" i="7" s="1"/>
  <c r="D1718" i="7"/>
  <c r="E1718" i="7" s="1"/>
  <c r="D2137" i="7"/>
  <c r="E2137" i="7" s="1"/>
  <c r="D1822" i="7"/>
  <c r="E1822" i="7" s="1"/>
  <c r="D1628" i="7"/>
  <c r="E1628" i="7" s="1"/>
  <c r="D1933" i="7"/>
  <c r="E1933" i="7" s="1"/>
  <c r="D1769" i="7"/>
  <c r="E1769" i="7" s="1"/>
  <c r="D2683" i="7"/>
  <c r="E2683" i="7" s="1"/>
  <c r="D2259" i="7"/>
  <c r="E2259" i="7" s="1"/>
  <c r="D2385" i="7"/>
  <c r="E2385" i="7" s="1"/>
  <c r="D2548" i="7"/>
  <c r="E2548" i="7" s="1"/>
  <c r="D2649" i="7"/>
  <c r="E2649" i="7" s="1"/>
  <c r="D2048" i="7"/>
  <c r="E2048" i="7" s="1"/>
  <c r="D3075" i="7"/>
  <c r="E3075" i="7" s="1"/>
  <c r="D1905" i="7"/>
  <c r="E1905" i="7" s="1"/>
  <c r="D2167" i="7"/>
  <c r="E2167" i="7" s="1"/>
  <c r="D1414" i="7"/>
  <c r="E1414" i="7" s="1"/>
  <c r="D1065" i="7"/>
  <c r="E1065" i="7" s="1"/>
  <c r="D1608" i="7"/>
  <c r="E1608" i="7" s="1"/>
  <c r="D1371" i="7"/>
  <c r="E1371" i="7" s="1"/>
  <c r="D969" i="7"/>
  <c r="E969" i="7" s="1"/>
  <c r="D2515" i="7"/>
  <c r="E2515" i="7" s="1"/>
  <c r="D1478" i="7"/>
  <c r="E1478" i="7" s="1"/>
  <c r="D1261" i="7"/>
  <c r="E1261" i="7" s="1"/>
  <c r="D1550" i="7"/>
  <c r="E1550" i="7" s="1"/>
  <c r="D2019" i="7"/>
  <c r="E2019" i="7" s="1"/>
  <c r="D1569" i="7"/>
  <c r="E1569" i="7" s="1"/>
  <c r="D1445" i="7"/>
  <c r="E1445" i="7" s="1"/>
  <c r="D2290" i="7"/>
  <c r="E2290" i="7" s="1"/>
  <c r="D823" i="7"/>
  <c r="E823" i="7" s="1"/>
  <c r="D1513" i="7"/>
  <c r="E1513" i="7" s="1"/>
  <c r="D1159" i="7"/>
  <c r="E1159" i="7" s="1"/>
  <c r="D1671" i="7"/>
  <c r="E1671" i="7" s="1"/>
  <c r="D832" i="7"/>
  <c r="E832" i="7" s="1"/>
  <c r="D1291" i="7"/>
  <c r="E1291" i="7" s="1"/>
  <c r="D1187" i="7"/>
  <c r="E1187" i="7" s="1"/>
  <c r="D5368" i="7"/>
  <c r="E5368" i="7" s="1"/>
  <c r="D5485" i="7"/>
  <c r="E5485" i="7" s="1"/>
  <c r="D5604" i="7"/>
  <c r="E5604" i="7" s="1"/>
  <c r="D4605" i="7"/>
  <c r="E4605" i="7" s="1"/>
  <c r="D5253" i="7"/>
  <c r="E5253" i="7" s="1"/>
  <c r="D4504" i="7"/>
  <c r="E4504" i="7" s="1"/>
  <c r="D4029" i="7"/>
  <c r="E4029" i="7" s="1"/>
  <c r="D3445" i="7"/>
  <c r="E3445" i="7" s="1"/>
  <c r="D4708" i="7"/>
  <c r="E4708" i="7" s="1"/>
  <c r="D5029" i="7"/>
  <c r="E5029" i="7" s="1"/>
  <c r="D4813" i="7"/>
  <c r="E4813" i="7" s="1"/>
  <c r="D5140" i="7"/>
  <c r="E5140" i="7" s="1"/>
  <c r="D4920" i="7"/>
  <c r="E4920" i="7" s="1"/>
  <c r="D4405" i="7"/>
  <c r="E4405" i="7" s="1"/>
  <c r="D3252" i="7"/>
  <c r="E3252" i="7" s="1"/>
  <c r="D2992" i="7"/>
  <c r="E2992" i="7" s="1"/>
  <c r="D3853" i="7"/>
  <c r="E3853" i="7" s="1"/>
  <c r="D3685" i="7"/>
  <c r="E3685" i="7" s="1"/>
  <c r="D3139" i="7"/>
  <c r="E3139" i="7" s="1"/>
  <c r="D3406" i="7"/>
  <c r="E3406" i="7" s="1"/>
  <c r="D4308" i="7"/>
  <c r="E4308" i="7" s="1"/>
  <c r="D4120" i="7"/>
  <c r="E4120" i="7" s="1"/>
  <c r="D4213" i="7"/>
  <c r="E4213" i="7" s="1"/>
  <c r="D3940" i="7"/>
  <c r="E3940" i="7" s="1"/>
  <c r="D3290" i="7"/>
  <c r="E3290" i="7" s="1"/>
  <c r="D3768" i="7"/>
  <c r="E3768" i="7" s="1"/>
  <c r="D3604" i="7"/>
  <c r="E3604" i="7" s="1"/>
  <c r="D3564" i="7"/>
  <c r="E3564" i="7" s="1"/>
  <c r="D3102" i="7"/>
  <c r="E3102" i="7" s="1"/>
  <c r="D2956" i="7"/>
  <c r="E2956" i="7" s="1"/>
  <c r="D5557" i="7"/>
  <c r="E5557" i="7" s="1"/>
  <c r="D5209" i="7"/>
  <c r="E5209" i="7" s="1"/>
  <c r="D5323" i="7"/>
  <c r="E5323" i="7" s="1"/>
  <c r="D4987" i="7"/>
  <c r="E4987" i="7" s="1"/>
  <c r="D5097" i="7"/>
  <c r="E5097" i="7" s="1"/>
  <c r="D4773" i="7"/>
  <c r="E4773" i="7" s="1"/>
  <c r="D5439" i="7"/>
  <c r="E5439" i="7" s="1"/>
  <c r="D4567" i="7"/>
  <c r="E4567" i="7" s="1"/>
  <c r="D4369" i="7"/>
  <c r="E4369" i="7" s="1"/>
  <c r="D4879" i="7"/>
  <c r="E4879" i="7" s="1"/>
  <c r="D4669" i="7"/>
  <c r="E4669" i="7" s="1"/>
  <c r="D4467" i="7"/>
  <c r="E4467" i="7" s="1"/>
  <c r="H135" i="2"/>
  <c r="J135" i="2" s="1"/>
  <c r="H176" i="2"/>
  <c r="J176" i="2" s="1"/>
  <c r="H326" i="2"/>
  <c r="J326" i="2" s="1"/>
  <c r="D1076" i="7"/>
  <c r="E1076" i="7" s="1"/>
  <c r="D989" i="7"/>
  <c r="E989" i="7" s="1"/>
  <c r="D1385" i="7"/>
  <c r="E1385" i="7" s="1"/>
  <c r="D850" i="7"/>
  <c r="E850" i="7" s="1"/>
  <c r="D1171" i="7"/>
  <c r="E1171" i="7" s="1"/>
  <c r="D841" i="7"/>
  <c r="E841" i="7" s="1"/>
  <c r="D979" i="7"/>
  <c r="E979" i="7" s="1"/>
  <c r="D1274" i="7"/>
  <c r="E1274" i="7" s="1"/>
  <c r="D1305" i="7"/>
  <c r="E1305" i="7" s="1"/>
  <c r="D1200" i="7"/>
  <c r="E1200" i="7" s="1"/>
  <c r="D5311" i="7"/>
  <c r="E5311" i="7" s="1"/>
  <c r="D5427" i="7"/>
  <c r="E5427" i="7" s="1"/>
  <c r="D4455" i="7"/>
  <c r="E4455" i="7" s="1"/>
  <c r="D4761" i="7"/>
  <c r="E4761" i="7" s="1"/>
  <c r="D4867" i="7"/>
  <c r="E4867" i="7" s="1"/>
  <c r="D5545" i="7"/>
  <c r="E5545" i="7" s="1"/>
  <c r="D5197" i="7"/>
  <c r="E5197" i="7" s="1"/>
  <c r="D3525" i="7"/>
  <c r="E3525" i="7" s="1"/>
  <c r="D4357" i="7"/>
  <c r="E4357" i="7" s="1"/>
  <c r="D4657" i="7"/>
  <c r="E4657" i="7" s="1"/>
  <c r="D4975" i="7"/>
  <c r="E4975" i="7" s="1"/>
  <c r="D5085" i="7"/>
  <c r="E5085" i="7" s="1"/>
  <c r="D3811" i="7"/>
  <c r="E3811" i="7" s="1"/>
  <c r="D4075" i="7"/>
  <c r="E4075" i="7" s="1"/>
  <c r="D3645" i="7"/>
  <c r="E3645" i="7" s="1"/>
  <c r="D4167" i="7"/>
  <c r="E4167" i="7" s="1"/>
  <c r="D3215" i="7"/>
  <c r="E3215" i="7" s="1"/>
  <c r="D3985" i="7"/>
  <c r="E3985" i="7" s="1"/>
  <c r="D3897" i="7"/>
  <c r="E3897" i="7" s="1"/>
  <c r="D3485" i="7"/>
  <c r="E3485" i="7" s="1"/>
  <c r="D4261" i="7"/>
  <c r="E4261" i="7" s="1"/>
  <c r="D3727" i="7"/>
  <c r="E3727" i="7" s="1"/>
  <c r="D3368" i="7"/>
  <c r="E3368" i="7" s="1"/>
  <c r="D3177" i="7"/>
  <c r="E3177" i="7" s="1"/>
  <c r="D4555" i="7"/>
  <c r="E4555" i="7" s="1"/>
  <c r="D3066" i="7"/>
  <c r="E3066" i="7" s="1"/>
  <c r="D3329" i="7"/>
  <c r="E3329" i="7" s="1"/>
  <c r="D3029" i="7"/>
  <c r="E3029" i="7" s="1"/>
  <c r="D1288" i="7"/>
  <c r="E1288" i="7" s="1"/>
  <c r="D1184" i="7"/>
  <c r="E1184" i="7" s="1"/>
  <c r="D860" i="7"/>
  <c r="E860" i="7" s="1"/>
  <c r="D1000" i="7"/>
  <c r="E1000" i="7" s="1"/>
  <c r="D870" i="7"/>
  <c r="E870" i="7" s="1"/>
  <c r="D1088" i="7"/>
  <c r="E1088" i="7" s="1"/>
  <c r="D5020" i="7"/>
  <c r="E5020" i="7" s="1"/>
  <c r="D4299" i="7"/>
  <c r="E4299" i="7" s="1"/>
  <c r="D5131" i="7"/>
  <c r="E5131" i="7" s="1"/>
  <c r="D5595" i="7"/>
  <c r="E5595" i="7" s="1"/>
  <c r="D5359" i="7"/>
  <c r="E5359" i="7" s="1"/>
  <c r="D5476" i="7"/>
  <c r="E5476" i="7" s="1"/>
  <c r="D4804" i="7"/>
  <c r="E4804" i="7" s="1"/>
  <c r="D4699" i="7"/>
  <c r="E4699" i="7" s="1"/>
  <c r="D5244" i="7"/>
  <c r="E5244" i="7" s="1"/>
  <c r="D4911" i="7"/>
  <c r="E4911" i="7" s="1"/>
  <c r="D4396" i="7"/>
  <c r="E4396" i="7" s="1"/>
  <c r="D4495" i="7"/>
  <c r="E4495" i="7" s="1"/>
  <c r="D3436" i="7"/>
  <c r="E3436" i="7" s="1"/>
  <c r="D3130" i="7"/>
  <c r="E3130" i="7" s="1"/>
  <c r="D4204" i="7"/>
  <c r="E4204" i="7" s="1"/>
  <c r="D3093" i="7"/>
  <c r="E3093" i="7" s="1"/>
  <c r="D3555" i="7"/>
  <c r="E3555" i="7" s="1"/>
  <c r="D3759" i="7"/>
  <c r="E3759" i="7" s="1"/>
  <c r="D3931" i="7"/>
  <c r="E3931" i="7" s="1"/>
  <c r="D3281" i="7"/>
  <c r="E3281" i="7" s="1"/>
  <c r="D4596" i="7"/>
  <c r="E4596" i="7" s="1"/>
  <c r="D3243" i="7"/>
  <c r="E3243" i="7" s="1"/>
  <c r="D3844" i="7"/>
  <c r="E3844" i="7" s="1"/>
  <c r="D2185" i="7"/>
  <c r="E2185" i="7" s="1"/>
  <c r="D3676" i="7"/>
  <c r="E3676" i="7" s="1"/>
  <c r="D2805" i="7"/>
  <c r="E2805" i="7" s="1"/>
  <c r="D3595" i="7"/>
  <c r="E3595" i="7" s="1"/>
  <c r="D2947" i="7"/>
  <c r="E2947" i="7" s="1"/>
  <c r="D2840" i="7"/>
  <c r="E2840" i="7" s="1"/>
  <c r="D4111" i="7"/>
  <c r="E4111" i="7" s="1"/>
  <c r="D3397" i="7"/>
  <c r="E3397" i="7" s="1"/>
  <c r="D4020" i="7"/>
  <c r="E4020" i="7" s="1"/>
  <c r="D1840" i="7"/>
  <c r="E1840" i="7" s="1"/>
  <c r="D2435" i="7"/>
  <c r="E2435" i="7" s="1"/>
  <c r="D2155" i="7"/>
  <c r="E2155" i="7" s="1"/>
  <c r="D2277" i="7"/>
  <c r="E2277" i="7" s="1"/>
  <c r="D2403" i="7"/>
  <c r="E2403" i="7" s="1"/>
  <c r="D2066" i="7"/>
  <c r="E2066" i="7" s="1"/>
  <c r="D2566" i="7"/>
  <c r="E2566" i="7" s="1"/>
  <c r="D2983" i="7"/>
  <c r="E2983" i="7" s="1"/>
  <c r="D2701" i="7"/>
  <c r="E2701" i="7" s="1"/>
  <c r="D2667" i="7"/>
  <c r="E2667" i="7" s="1"/>
  <c r="D2533" i="7"/>
  <c r="E2533" i="7" s="1"/>
  <c r="D1951" i="7"/>
  <c r="E1951" i="7" s="1"/>
  <c r="D2037" i="7"/>
  <c r="E2037" i="7" s="1"/>
  <c r="D2308" i="7"/>
  <c r="E2308" i="7" s="1"/>
  <c r="D1923" i="7"/>
  <c r="E1923" i="7" s="1"/>
  <c r="D103" i="7"/>
  <c r="E103" i="7" s="1"/>
  <c r="D300" i="7"/>
  <c r="E300" i="7" s="1"/>
  <c r="D4519" i="7"/>
  <c r="E4519" i="7" s="1"/>
  <c r="D5391" i="7"/>
  <c r="E5391" i="7" s="1"/>
  <c r="D5509" i="7"/>
  <c r="E5509" i="7" s="1"/>
  <c r="D4831" i="7"/>
  <c r="E4831" i="7" s="1"/>
  <c r="D5049" i="7"/>
  <c r="E5049" i="7" s="1"/>
  <c r="D5161" i="7"/>
  <c r="E5161" i="7" s="1"/>
  <c r="D4419" i="7"/>
  <c r="E4419" i="7" s="1"/>
  <c r="D4621" i="7"/>
  <c r="E4621" i="7" s="1"/>
  <c r="D4939" i="7"/>
  <c r="E4939" i="7" s="1"/>
  <c r="D5275" i="7"/>
  <c r="E5275" i="7" s="1"/>
  <c r="D4321" i="7"/>
  <c r="E4321" i="7" s="1"/>
  <c r="D4225" i="7"/>
  <c r="E4225" i="7" s="1"/>
  <c r="D3489" i="7"/>
  <c r="E3489" i="7" s="1"/>
  <c r="D4039" i="7"/>
  <c r="E4039" i="7" s="1"/>
  <c r="D4725" i="7"/>
  <c r="E4725" i="7" s="1"/>
  <c r="L339" i="2" s="1"/>
  <c r="D2993" i="7"/>
  <c r="E2993" i="7" s="1"/>
  <c r="D2849" i="7"/>
  <c r="E2849" i="7" s="1"/>
  <c r="D3691" i="7"/>
  <c r="E3691" i="7" s="1"/>
  <c r="D4131" i="7"/>
  <c r="E4131" i="7" s="1"/>
  <c r="D3449" i="7"/>
  <c r="E3449" i="7" s="1"/>
  <c r="D3332" i="7"/>
  <c r="E3332" i="7" s="1"/>
  <c r="D3775" i="7"/>
  <c r="E3775" i="7" s="1"/>
  <c r="D3949" i="7"/>
  <c r="E3949" i="7" s="1"/>
  <c r="D3861" i="7"/>
  <c r="E3861" i="7" s="1"/>
  <c r="D2441" i="7"/>
  <c r="E2441" i="7" s="1"/>
  <c r="D2474" i="7"/>
  <c r="E2474" i="7" s="1"/>
  <c r="D3609" i="7"/>
  <c r="E3609" i="7" s="1"/>
  <c r="D3141" i="7"/>
  <c r="E3141" i="7" s="1"/>
  <c r="D2885" i="7"/>
  <c r="E2885" i="7" s="1"/>
  <c r="D2709" i="7"/>
  <c r="E2709" i="7" s="1"/>
  <c r="D2744" i="7"/>
  <c r="E2744" i="7" s="1"/>
  <c r="D3030" i="7"/>
  <c r="E3030" i="7" s="1"/>
  <c r="D1735" i="7"/>
  <c r="E1735" i="7" s="1"/>
  <c r="D1487" i="7"/>
  <c r="E1487" i="7" s="1"/>
  <c r="D3293" i="7"/>
  <c r="E3293" i="7" s="1"/>
  <c r="D1787" i="7"/>
  <c r="E1787" i="7" s="1"/>
  <c r="D1953" i="7"/>
  <c r="E1953" i="7" s="1"/>
  <c r="D2345" i="7"/>
  <c r="E2345" i="7" s="1"/>
  <c r="D3179" i="7"/>
  <c r="E3179" i="7" s="1"/>
  <c r="D2573" i="7"/>
  <c r="E2573" i="7" s="1"/>
  <c r="D2069" i="7"/>
  <c r="E2069" i="7" s="1"/>
  <c r="D1869" i="7"/>
  <c r="E1869" i="7" s="1"/>
  <c r="D2189" i="7"/>
  <c r="E2189" i="7" s="1"/>
  <c r="D2313" i="7"/>
  <c r="E2313" i="7" s="1"/>
  <c r="D2099" i="7"/>
  <c r="E2099" i="7" s="1"/>
  <c r="D197" i="7"/>
  <c r="E197" i="7" s="1"/>
  <c r="D1103" i="7"/>
  <c r="E1103" i="7" s="1"/>
  <c r="L219" i="2" s="1"/>
  <c r="D113" i="7"/>
  <c r="E113" i="7" s="1"/>
  <c r="D47" i="7"/>
  <c r="E47" i="7" s="1"/>
  <c r="D1391" i="7"/>
  <c r="E1391" i="7" s="1"/>
  <c r="D1307" i="7"/>
  <c r="E1307" i="7" s="1"/>
  <c r="D1580" i="7"/>
  <c r="E1580" i="7" s="1"/>
  <c r="D1686" i="7"/>
  <c r="E1686" i="7" s="1"/>
  <c r="D1982" i="7"/>
  <c r="E1982" i="7" s="1"/>
  <c r="D1453" i="7"/>
  <c r="E1453" i="7" s="1"/>
  <c r="D636" i="7"/>
  <c r="E636" i="7" s="1"/>
  <c r="D1523" i="7"/>
  <c r="E1523" i="7" s="1"/>
  <c r="D891" i="7"/>
  <c r="E891" i="7" s="1"/>
  <c r="D1841" i="7"/>
  <c r="E1841" i="7" s="1"/>
  <c r="D2607" i="7"/>
  <c r="E2607" i="7" s="1"/>
  <c r="D1641" i="7"/>
  <c r="E1641" i="7" s="1"/>
  <c r="D628" i="7"/>
  <c r="E628" i="7" s="1"/>
  <c r="D309" i="7"/>
  <c r="E309" i="7" s="1"/>
  <c r="D12" i="7"/>
  <c r="E12" i="7" s="1"/>
  <c r="L12" i="2" s="1"/>
  <c r="D533" i="7"/>
  <c r="E533" i="7" s="1"/>
  <c r="D193" i="7"/>
  <c r="E193" i="7" s="1"/>
  <c r="D1201" i="7"/>
  <c r="E1201" i="7" s="1"/>
  <c r="D304" i="7"/>
  <c r="E304" i="7" s="1"/>
  <c r="D1421" i="7"/>
  <c r="E1421" i="7" s="1"/>
  <c r="D421" i="7"/>
  <c r="E421" i="7" s="1"/>
  <c r="D1013" i="7"/>
  <c r="E1013" i="7" s="1"/>
  <c r="D752" i="7"/>
  <c r="E752" i="7" s="1"/>
  <c r="D1027" i="7"/>
  <c r="E1027" i="7" s="1"/>
  <c r="D543" i="7"/>
  <c r="E543" i="7" s="1"/>
  <c r="D773" i="7"/>
  <c r="E773" i="7" s="1"/>
  <c r="D914" i="7"/>
  <c r="E914" i="7" s="1"/>
  <c r="D1324" i="7"/>
  <c r="E1324" i="7" s="1"/>
  <c r="D1217" i="7"/>
  <c r="E1217" i="7" s="1"/>
  <c r="D2223" i="7"/>
  <c r="E2223" i="7" s="1"/>
  <c r="D904" i="7"/>
  <c r="E904" i="7" s="1"/>
  <c r="D647" i="7"/>
  <c r="E647" i="7" s="1"/>
  <c r="D430" i="7"/>
  <c r="E430" i="7" s="1"/>
  <c r="D764" i="7"/>
  <c r="E764" i="7" s="1"/>
  <c r="D212" i="7"/>
  <c r="E212" i="7" s="1"/>
  <c r="D550" i="7"/>
  <c r="E550" i="7" s="1"/>
  <c r="D322" i="7"/>
  <c r="E322" i="7" s="1"/>
  <c r="D208" i="7"/>
  <c r="E208" i="7" s="1"/>
  <c r="D1118" i="7"/>
  <c r="E1118" i="7" s="1"/>
  <c r="D837" i="7"/>
  <c r="E837" i="7" s="1"/>
  <c r="D1381" i="7"/>
  <c r="E1381" i="7" s="1"/>
  <c r="D593" i="7"/>
  <c r="E593" i="7" s="1"/>
  <c r="D378" i="7"/>
  <c r="E378" i="7" s="1"/>
  <c r="D1072" i="7"/>
  <c r="E1072" i="7" s="1"/>
  <c r="D497" i="7"/>
  <c r="E497" i="7" s="1"/>
  <c r="D846" i="7"/>
  <c r="E846" i="7" s="1"/>
  <c r="D1167" i="7"/>
  <c r="E1167" i="7" s="1"/>
  <c r="D712" i="7"/>
  <c r="E712" i="7" s="1"/>
  <c r="D985" i="7"/>
  <c r="E985" i="7" s="1"/>
  <c r="D975" i="7"/>
  <c r="E975" i="7" s="1"/>
  <c r="D1145" i="7"/>
  <c r="E1145" i="7" s="1"/>
  <c r="D1246" i="7"/>
  <c r="E1246" i="7" s="1"/>
  <c r="D690" i="7"/>
  <c r="E690" i="7" s="1"/>
  <c r="D574" i="7"/>
  <c r="E574" i="7" s="1"/>
  <c r="D581" i="7"/>
  <c r="E581" i="7" s="1"/>
  <c r="D1052" i="7"/>
  <c r="E1052" i="7" s="1"/>
  <c r="D957" i="7"/>
  <c r="E957" i="7" s="1"/>
  <c r="D812" i="7"/>
  <c r="E812" i="7" s="1"/>
  <c r="D1355" i="7"/>
  <c r="E1355" i="7" s="1"/>
  <c r="D682" i="7"/>
  <c r="E682" i="7" s="1"/>
  <c r="D947" i="7"/>
  <c r="E947" i="7" s="1"/>
  <c r="D803" i="7"/>
  <c r="E803" i="7" s="1"/>
  <c r="D880" i="7"/>
  <c r="E880" i="7" s="1"/>
  <c r="D1302" i="7"/>
  <c r="E1302" i="7" s="1"/>
  <c r="D1197" i="7"/>
  <c r="E1197" i="7" s="1"/>
  <c r="D890" i="7"/>
  <c r="E890" i="7" s="1"/>
  <c r="D1100" i="7"/>
  <c r="E1100" i="7" s="1"/>
  <c r="D1011" i="7"/>
  <c r="E1011" i="7" s="1"/>
  <c r="D1360" i="7"/>
  <c r="E1360" i="7" s="1"/>
  <c r="D1251" i="7"/>
  <c r="E1251" i="7" s="1"/>
  <c r="D1150" i="7"/>
  <c r="E1150" i="7" s="1"/>
  <c r="D5289" i="7"/>
  <c r="E5289" i="7" s="1"/>
  <c r="D5405" i="7"/>
  <c r="E5405" i="7" s="1"/>
  <c r="D5523" i="7"/>
  <c r="E5523" i="7" s="1"/>
  <c r="D4845" i="7"/>
  <c r="E4845" i="7" s="1"/>
  <c r="D4739" i="7"/>
  <c r="E4739" i="7" s="1"/>
  <c r="D5175" i="7"/>
  <c r="E5175" i="7" s="1"/>
  <c r="D5063" i="7"/>
  <c r="E5063" i="7" s="1"/>
  <c r="D3463" i="7"/>
  <c r="E3463" i="7" s="1"/>
  <c r="D3875" i="7"/>
  <c r="E3875" i="7" s="1"/>
  <c r="D3623" i="7"/>
  <c r="E3623" i="7" s="1"/>
  <c r="D4635" i="7"/>
  <c r="E4635" i="7" s="1"/>
  <c r="D4433" i="7"/>
  <c r="E4433" i="7" s="1"/>
  <c r="D4335" i="7"/>
  <c r="E4335" i="7" s="1"/>
  <c r="D4145" i="7"/>
  <c r="E4145" i="7" s="1"/>
  <c r="D3503" i="7"/>
  <c r="E3503" i="7" s="1"/>
  <c r="D4953" i="7"/>
  <c r="E4953" i="7" s="1"/>
  <c r="D3044" i="7"/>
  <c r="E3044" i="7" s="1"/>
  <c r="D4239" i="7"/>
  <c r="E4239" i="7" s="1"/>
  <c r="D3963" i="7"/>
  <c r="E3963" i="7" s="1"/>
  <c r="D2863" i="7"/>
  <c r="E2863" i="7" s="1"/>
  <c r="D4533" i="7"/>
  <c r="E4533" i="7" s="1"/>
  <c r="D3193" i="7"/>
  <c r="E3193" i="7" s="1"/>
  <c r="D3705" i="7"/>
  <c r="E3705" i="7" s="1"/>
  <c r="D3155" i="7"/>
  <c r="E3155" i="7" s="1"/>
  <c r="D4053" i="7"/>
  <c r="E4053" i="7" s="1"/>
  <c r="D3789" i="7"/>
  <c r="E3789" i="7" s="1"/>
  <c r="D3346" i="7"/>
  <c r="E3346" i="7" s="1"/>
  <c r="D3307" i="7"/>
  <c r="E3307" i="7" s="1"/>
  <c r="D2621" i="7"/>
  <c r="E2621" i="7" s="1"/>
  <c r="D2758" i="7"/>
  <c r="E2758" i="7" s="1"/>
  <c r="D2327" i="7"/>
  <c r="E2327" i="7" s="1"/>
  <c r="D1594" i="7"/>
  <c r="E1594" i="7" s="1"/>
  <c r="D1435" i="7"/>
  <c r="E1435" i="7" s="1"/>
  <c r="D2455" i="7"/>
  <c r="E2455" i="7" s="1"/>
  <c r="D3007" i="7"/>
  <c r="E3007" i="7" s="1"/>
  <c r="D1967" i="7"/>
  <c r="E1967" i="7" s="1"/>
  <c r="D2359" i="7"/>
  <c r="E2359" i="7" s="1"/>
  <c r="D2587" i="7"/>
  <c r="E2587" i="7" s="1"/>
  <c r="D2899" i="7"/>
  <c r="E2899" i="7" s="1"/>
  <c r="D1801" i="7"/>
  <c r="E1801" i="7" s="1"/>
  <c r="D1855" i="7"/>
  <c r="E1855" i="7" s="1"/>
  <c r="D1996" i="7"/>
  <c r="E1996" i="7" s="1"/>
  <c r="D2083" i="7"/>
  <c r="E2083" i="7" s="1"/>
  <c r="D1883" i="7"/>
  <c r="E1883" i="7" s="1"/>
  <c r="D2203" i="7"/>
  <c r="E2203" i="7" s="1"/>
  <c r="D1501" i="7"/>
  <c r="E1501" i="7" s="1"/>
  <c r="D1655" i="7"/>
  <c r="E1655" i="7" s="1"/>
  <c r="D2488" i="7"/>
  <c r="E2488" i="7" s="1"/>
  <c r="D1405" i="7"/>
  <c r="E1405" i="7" s="1"/>
  <c r="D2723" i="7"/>
  <c r="E2723" i="7" s="1"/>
  <c r="D2113" i="7"/>
  <c r="E2113" i="7" s="1"/>
  <c r="D1467" i="7"/>
  <c r="E1467" i="7" s="1"/>
  <c r="D1700" i="7"/>
  <c r="E1700" i="7" s="1"/>
  <c r="D1537" i="7"/>
  <c r="E1537" i="7" s="1"/>
  <c r="D1749" i="7"/>
  <c r="E1749" i="7" s="1"/>
  <c r="D5076" i="7"/>
  <c r="E5076" i="7" s="1"/>
  <c r="D5536" i="7"/>
  <c r="E5536" i="7" s="1"/>
  <c r="D5188" i="7"/>
  <c r="E5188" i="7" s="1"/>
  <c r="D4348" i="7"/>
  <c r="E4348" i="7" s="1"/>
  <c r="D5418" i="7"/>
  <c r="E5418" i="7" s="1"/>
  <c r="D5302" i="7"/>
  <c r="E5302" i="7" s="1"/>
  <c r="D3976" i="7"/>
  <c r="E3976" i="7" s="1"/>
  <c r="D4546" i="7"/>
  <c r="E4546" i="7" s="1"/>
  <c r="D4858" i="7"/>
  <c r="E4858" i="7" s="1"/>
  <c r="D4752" i="7"/>
  <c r="E4752" i="7" s="1"/>
  <c r="D4966" i="7"/>
  <c r="E4966" i="7" s="1"/>
  <c r="D3516" i="7"/>
  <c r="E3516" i="7" s="1"/>
  <c r="D3359" i="7"/>
  <c r="E3359" i="7" s="1"/>
  <c r="D2912" i="7"/>
  <c r="E2912" i="7" s="1"/>
  <c r="D4648" i="7"/>
  <c r="E4648" i="7" s="1"/>
  <c r="D4446" i="7"/>
  <c r="E4446" i="7" s="1"/>
  <c r="D4066" i="7"/>
  <c r="E4066" i="7" s="1"/>
  <c r="D3802" i="7"/>
  <c r="E3802" i="7" s="1"/>
  <c r="D4158" i="7"/>
  <c r="E4158" i="7" s="1"/>
  <c r="D3636" i="7"/>
  <c r="E3636" i="7" s="1"/>
  <c r="D4252" i="7"/>
  <c r="E4252" i="7" s="1"/>
  <c r="D2736" i="7"/>
  <c r="E2736" i="7" s="1"/>
  <c r="D2372" i="7"/>
  <c r="E2372" i="7" s="1"/>
  <c r="D3020" i="7"/>
  <c r="E3020" i="7" s="1"/>
  <c r="D3168" i="7"/>
  <c r="E3168" i="7" s="1"/>
  <c r="D3057" i="7"/>
  <c r="E3057" i="7" s="1"/>
  <c r="D3476" i="7"/>
  <c r="E3476" i="7" s="1"/>
  <c r="D3888" i="7"/>
  <c r="E3888" i="7" s="1"/>
  <c r="D3718" i="7"/>
  <c r="E3718" i="7" s="1"/>
  <c r="D2096" i="7"/>
  <c r="E2096" i="7" s="1"/>
  <c r="D1896" i="7"/>
  <c r="E1896" i="7" s="1"/>
  <c r="D2876" i="7"/>
  <c r="E2876" i="7" s="1"/>
  <c r="D2600" i="7"/>
  <c r="E2600" i="7" s="1"/>
  <c r="D2216" i="7"/>
  <c r="E2216" i="7" s="1"/>
  <c r="D2501" i="7"/>
  <c r="E2501" i="7" s="1"/>
  <c r="D2009" i="7"/>
  <c r="E2009" i="7" s="1"/>
  <c r="D2340" i="7"/>
  <c r="E2340" i="7" s="1"/>
  <c r="D1868" i="7"/>
  <c r="E1868" i="7" s="1"/>
  <c r="D2126" i="7"/>
  <c r="E2126" i="7" s="1"/>
  <c r="D2771" i="7"/>
  <c r="E2771" i="7" s="1"/>
  <c r="D2468" i="7"/>
  <c r="E2468" i="7" s="1"/>
  <c r="D3320" i="7"/>
  <c r="E3320" i="7" s="1"/>
  <c r="D3206" i="7"/>
  <c r="E3206" i="7" s="1"/>
  <c r="D2634" i="7"/>
  <c r="E2634" i="7" s="1"/>
  <c r="D1980" i="7"/>
  <c r="E1980" i="7" s="1"/>
  <c r="D5039" i="7"/>
  <c r="E5039" i="7" s="1"/>
  <c r="D5263" i="7"/>
  <c r="E5263" i="7" s="1"/>
  <c r="D5614" i="7"/>
  <c r="E5614" i="7" s="1"/>
  <c r="D4823" i="7"/>
  <c r="E4823" i="7" s="1"/>
  <c r="D5150" i="7"/>
  <c r="E5150" i="7" s="1"/>
  <c r="D5495" i="7"/>
  <c r="E5495" i="7" s="1"/>
  <c r="D4615" i="7"/>
  <c r="E4615" i="7" s="1"/>
  <c r="D4415" i="7"/>
  <c r="E4415" i="7" s="1"/>
  <c r="D4318" i="7"/>
  <c r="E4318" i="7" s="1"/>
  <c r="D5378" i="7"/>
  <c r="E5378" i="7" s="1"/>
  <c r="D4930" i="7"/>
  <c r="E4930" i="7" s="1"/>
  <c r="D4718" i="7"/>
  <c r="E4718" i="7" s="1"/>
  <c r="D4130" i="7"/>
  <c r="E4130" i="7" s="1"/>
  <c r="D4514" i="7"/>
  <c r="E4514" i="7" s="1"/>
  <c r="D4223" i="7"/>
  <c r="E4223" i="7" s="1"/>
  <c r="D5447" i="7"/>
  <c r="E5447" i="7" s="1"/>
  <c r="D5331" i="7"/>
  <c r="E5331" i="7" s="1"/>
  <c r="D5217" i="7"/>
  <c r="E5217" i="7" s="1"/>
  <c r="D5565" i="7"/>
  <c r="E5565" i="7" s="1"/>
  <c r="D107" i="7"/>
  <c r="E107" i="7" s="1"/>
  <c r="D201" i="7"/>
  <c r="E201" i="7" s="1"/>
  <c r="D256" i="7"/>
  <c r="E256" i="7" s="1"/>
  <c r="D305" i="7"/>
  <c r="E305" i="7" s="1"/>
  <c r="D417" i="7"/>
  <c r="E417" i="7" s="1"/>
  <c r="D5058" i="7"/>
  <c r="E5058" i="7" s="1"/>
  <c r="D5170" i="7"/>
  <c r="E5170" i="7" s="1"/>
  <c r="D4330" i="7"/>
  <c r="E4330" i="7" s="1"/>
  <c r="D5284" i="7"/>
  <c r="E5284" i="7" s="1"/>
  <c r="D4528" i="7"/>
  <c r="E4528" i="7" s="1"/>
  <c r="D5518" i="7"/>
  <c r="E5518" i="7" s="1"/>
  <c r="D5400" i="7"/>
  <c r="E5400" i="7" s="1"/>
  <c r="D4840" i="7"/>
  <c r="E4840" i="7" s="1"/>
  <c r="D4948" i="7"/>
  <c r="E4948" i="7" s="1"/>
  <c r="D4734" i="7"/>
  <c r="E4734" i="7" s="1"/>
  <c r="D3700" i="7"/>
  <c r="E3700" i="7" s="1"/>
  <c r="D4630" i="7"/>
  <c r="E4630" i="7" s="1"/>
  <c r="D4234" i="7"/>
  <c r="E4234" i="7" s="1"/>
  <c r="D4428" i="7"/>
  <c r="E4428" i="7" s="1"/>
  <c r="D4048" i="7"/>
  <c r="E4048" i="7" s="1"/>
  <c r="D2753" i="7"/>
  <c r="E2753" i="7" s="1"/>
  <c r="D3341" i="7"/>
  <c r="E3341" i="7" s="1"/>
  <c r="D3784" i="7"/>
  <c r="E3784" i="7" s="1"/>
  <c r="D3958" i="7"/>
  <c r="E3958" i="7" s="1"/>
  <c r="D3618" i="7"/>
  <c r="E3618" i="7" s="1"/>
  <c r="D3870" i="7"/>
  <c r="E3870" i="7" s="1"/>
  <c r="D3150" i="7"/>
  <c r="E3150" i="7" s="1"/>
  <c r="D2718" i="7"/>
  <c r="E2718" i="7" s="1"/>
  <c r="D2322" i="7"/>
  <c r="E2322" i="7" s="1"/>
  <c r="D3458" i="7"/>
  <c r="E3458" i="7" s="1"/>
  <c r="D3498" i="7"/>
  <c r="E3498" i="7" s="1"/>
  <c r="D3039" i="7"/>
  <c r="E3039" i="7" s="1"/>
  <c r="D3302" i="7"/>
  <c r="E3302" i="7" s="1"/>
  <c r="D3188" i="7"/>
  <c r="E3188" i="7" s="1"/>
  <c r="D4140" i="7"/>
  <c r="E4140" i="7" s="1"/>
  <c r="D3002" i="7"/>
  <c r="E3002" i="7" s="1"/>
  <c r="D2483" i="7"/>
  <c r="E2483" i="7" s="1"/>
  <c r="D1400" i="7"/>
  <c r="E1400" i="7" s="1"/>
  <c r="D2198" i="7"/>
  <c r="E2198" i="7" s="1"/>
  <c r="D2108" i="7"/>
  <c r="E2108" i="7" s="1"/>
  <c r="D2450" i="7"/>
  <c r="E2450" i="7" s="1"/>
  <c r="D1744" i="7"/>
  <c r="E1744" i="7" s="1"/>
  <c r="D2858" i="7"/>
  <c r="E2858" i="7" s="1"/>
  <c r="D1850" i="7"/>
  <c r="E1850" i="7" s="1"/>
  <c r="D1532" i="7"/>
  <c r="E1532" i="7" s="1"/>
  <c r="D1462" i="7"/>
  <c r="E1462" i="7" s="1"/>
  <c r="D1796" i="7"/>
  <c r="E1796" i="7" s="1"/>
  <c r="D2616" i="7"/>
  <c r="E2616" i="7" s="1"/>
  <c r="D2078" i="7"/>
  <c r="E2078" i="7" s="1"/>
  <c r="D1991" i="7"/>
  <c r="E1991" i="7" s="1"/>
  <c r="D2894" i="7"/>
  <c r="E2894" i="7" s="1"/>
  <c r="D1430" i="7"/>
  <c r="E1430" i="7" s="1"/>
  <c r="D1878" i="7"/>
  <c r="E1878" i="7" s="1"/>
  <c r="D1496" i="7"/>
  <c r="E1496" i="7" s="1"/>
  <c r="D1650" i="7"/>
  <c r="E1650" i="7" s="1"/>
  <c r="D2354" i="7"/>
  <c r="E2354" i="7" s="1"/>
  <c r="D1962" i="7"/>
  <c r="E1962" i="7" s="1"/>
  <c r="D2582" i="7"/>
  <c r="E2582" i="7" s="1"/>
  <c r="D1316" i="7"/>
  <c r="E1316" i="7" s="1"/>
  <c r="D1210" i="7"/>
  <c r="E1210" i="7" s="1"/>
  <c r="D1022" i="7"/>
  <c r="E1022" i="7" s="1"/>
  <c r="D900" i="7"/>
  <c r="E900" i="7" s="1"/>
  <c r="D1589" i="7"/>
  <c r="E1589" i="7" s="1"/>
  <c r="D1695" i="7"/>
  <c r="E1695" i="7" s="1"/>
  <c r="D1112" i="7"/>
  <c r="E1112" i="7" s="1"/>
  <c r="D5095" i="7"/>
  <c r="E5095" i="7" s="1"/>
  <c r="D5555" i="7"/>
  <c r="E5555" i="7" s="1"/>
  <c r="D5207" i="7"/>
  <c r="E5207" i="7" s="1"/>
  <c r="D5321" i="7"/>
  <c r="E5321" i="7" s="1"/>
  <c r="D4565" i="7"/>
  <c r="E4565" i="7" s="1"/>
  <c r="D4985" i="7"/>
  <c r="E4985" i="7" s="1"/>
  <c r="D5437" i="7"/>
  <c r="E5437" i="7" s="1"/>
  <c r="D4667" i="7"/>
  <c r="E4667" i="7" s="1"/>
  <c r="D4271" i="7"/>
  <c r="E4271" i="7" s="1"/>
  <c r="D4771" i="7"/>
  <c r="E4771" i="7" s="1"/>
  <c r="D4877" i="7"/>
  <c r="E4877" i="7" s="1"/>
  <c r="D4465" i="7"/>
  <c r="E4465" i="7" s="1"/>
  <c r="D4367" i="7"/>
  <c r="E4367" i="7" s="1"/>
  <c r="D4177" i="7"/>
  <c r="E4177" i="7" s="1"/>
  <c r="D498" i="7"/>
  <c r="E498" i="7" s="1"/>
  <c r="D1024" i="7"/>
  <c r="E1024" i="7" s="1"/>
  <c r="D2220" i="7"/>
  <c r="E2220" i="7" s="1"/>
  <c r="D15" i="7"/>
  <c r="E15" i="7" s="1"/>
  <c r="L15" i="2" s="1"/>
  <c r="D427" i="7"/>
  <c r="E427" i="7" s="1"/>
  <c r="D14" i="7"/>
  <c r="E14" i="7" s="1"/>
  <c r="L14" i="2" s="1"/>
  <c r="D652" i="7"/>
  <c r="E652" i="7" s="1"/>
  <c r="D1321" i="7"/>
  <c r="E1321" i="7" s="1"/>
  <c r="D1115" i="7"/>
  <c r="E1115" i="7" s="1"/>
  <c r="D1214" i="7"/>
  <c r="E1214" i="7" s="1"/>
  <c r="D911" i="7"/>
  <c r="E911" i="7" s="1"/>
  <c r="D433" i="7"/>
  <c r="E433" i="7" s="1"/>
  <c r="D770" i="7"/>
  <c r="E770" i="7" s="1"/>
  <c r="D51" i="7"/>
  <c r="E51" i="7" s="1"/>
  <c r="L40" i="2" s="1"/>
  <c r="D13" i="7"/>
  <c r="E13" i="7" s="1"/>
  <c r="L13" i="2" s="1"/>
  <c r="D122" i="7"/>
  <c r="E122" i="7" s="1"/>
  <c r="D49" i="7"/>
  <c r="E49" i="7" s="1"/>
  <c r="L39" i="2" s="1"/>
  <c r="D901" i="7"/>
  <c r="E901" i="7" s="1"/>
  <c r="D644" i="7"/>
  <c r="E644" i="7" s="1"/>
  <c r="D761" i="7"/>
  <c r="E761" i="7" s="1"/>
  <c r="D209" i="7"/>
  <c r="E209" i="7" s="1"/>
  <c r="D116" i="7"/>
  <c r="E116" i="7" s="1"/>
  <c r="L67" i="2" s="1"/>
  <c r="D547" i="7"/>
  <c r="E547" i="7" s="1"/>
  <c r="D319" i="7"/>
  <c r="E319" i="7" s="1"/>
  <c r="D327" i="7"/>
  <c r="E327" i="7" s="1"/>
  <c r="D442" i="7"/>
  <c r="E442" i="7" s="1"/>
  <c r="D216" i="7"/>
  <c r="E216" i="7" s="1"/>
  <c r="D4891" i="7"/>
  <c r="E4891" i="7" s="1"/>
  <c r="D5000" i="7"/>
  <c r="E5000" i="7" s="1"/>
  <c r="D4784" i="7"/>
  <c r="E4784" i="7" s="1"/>
  <c r="D5111" i="7"/>
  <c r="E5111" i="7" s="1"/>
  <c r="D5575" i="7"/>
  <c r="E5575" i="7" s="1"/>
  <c r="D5224" i="7"/>
  <c r="E5224" i="7" s="1"/>
  <c r="D5456" i="7"/>
  <c r="E5456" i="7" s="1"/>
  <c r="D5339" i="7"/>
  <c r="E5339" i="7" s="1"/>
  <c r="D3575" i="7"/>
  <c r="E3575" i="7" s="1"/>
  <c r="D3223" i="7"/>
  <c r="E3223" i="7" s="1"/>
  <c r="D3824" i="7"/>
  <c r="E3824" i="7" s="1"/>
  <c r="D3739" i="7"/>
  <c r="E3739" i="7" s="1"/>
  <c r="D3656" i="7"/>
  <c r="E3656" i="7" s="1"/>
  <c r="D4376" i="7"/>
  <c r="E4376" i="7" s="1"/>
  <c r="D4279" i="7"/>
  <c r="E4279" i="7" s="1"/>
  <c r="D4679" i="7"/>
  <c r="E4679" i="7" s="1"/>
  <c r="D4475" i="7"/>
  <c r="E4475" i="7" s="1"/>
  <c r="D4091" i="7"/>
  <c r="E4091" i="7" s="1"/>
  <c r="D3535" i="7"/>
  <c r="E3535" i="7" s="1"/>
  <c r="D4576" i="7"/>
  <c r="E4576" i="7" s="1"/>
  <c r="D3911" i="7"/>
  <c r="E3911" i="7" s="1"/>
  <c r="D2785" i="7"/>
  <c r="E2785" i="7" s="1"/>
  <c r="D3416" i="7"/>
  <c r="E3416" i="7" s="1"/>
  <c r="D3377" i="7"/>
  <c r="E3377" i="7" s="1"/>
  <c r="D3110" i="7"/>
  <c r="E3110" i="7" s="1"/>
  <c r="D2927" i="7"/>
  <c r="E2927" i="7" s="1"/>
  <c r="D3261" i="7"/>
  <c r="E3261" i="7" s="1"/>
  <c r="D4184" i="7"/>
  <c r="E4184" i="7" s="1"/>
  <c r="D4000" i="7"/>
  <c r="E4000" i="7" s="1"/>
  <c r="D2681" i="7"/>
  <c r="E2681" i="7" s="1"/>
  <c r="D1716" i="7"/>
  <c r="E1716" i="7" s="1"/>
  <c r="D2257" i="7"/>
  <c r="E2257" i="7" s="1"/>
  <c r="D2820" i="7"/>
  <c r="E2820" i="7" s="1"/>
  <c r="D2383" i="7"/>
  <c r="E2383" i="7" s="1"/>
  <c r="D2546" i="7"/>
  <c r="E2546" i="7" s="1"/>
  <c r="D2046" i="7"/>
  <c r="E2046" i="7" s="1"/>
  <c r="D2647" i="7"/>
  <c r="E2647" i="7" s="1"/>
  <c r="D1567" i="7"/>
  <c r="E1567" i="7" s="1"/>
  <c r="D1443" i="7"/>
  <c r="E1443" i="7" s="1"/>
  <c r="D3073" i="7"/>
  <c r="E3073" i="7" s="1"/>
  <c r="D1903" i="7"/>
  <c r="E1903" i="7" s="1"/>
  <c r="D2415" i="7"/>
  <c r="E2415" i="7" s="1"/>
  <c r="D1412" i="7"/>
  <c r="E1412" i="7" s="1"/>
  <c r="D2135" i="7"/>
  <c r="E2135" i="7" s="1"/>
  <c r="D1767" i="7"/>
  <c r="E1767" i="7" s="1"/>
  <c r="D1606" i="7"/>
  <c r="E1606" i="7" s="1"/>
  <c r="D1369" i="7"/>
  <c r="E1369" i="7" s="1"/>
  <c r="D2963" i="7"/>
  <c r="E2963" i="7" s="1"/>
  <c r="D2513" i="7"/>
  <c r="E2513" i="7" s="1"/>
  <c r="D1476" i="7"/>
  <c r="E1476" i="7" s="1"/>
  <c r="D1820" i="7"/>
  <c r="E1820" i="7" s="1"/>
  <c r="D1548" i="7"/>
  <c r="E1548" i="7" s="1"/>
  <c r="D1259" i="7"/>
  <c r="E1259" i="7" s="1"/>
  <c r="D1626" i="7"/>
  <c r="E1626" i="7" s="1"/>
  <c r="D2165" i="7"/>
  <c r="E2165" i="7" s="1"/>
  <c r="D2017" i="7"/>
  <c r="E2017" i="7" s="1"/>
  <c r="D1931" i="7"/>
  <c r="E1931" i="7" s="1"/>
  <c r="D2288" i="7"/>
  <c r="E2288" i="7" s="1"/>
  <c r="D1511" i="7"/>
  <c r="E1511" i="7" s="1"/>
  <c r="D698" i="7"/>
  <c r="E698" i="7" s="1"/>
  <c r="D1063" i="7"/>
  <c r="E1063" i="7" s="1"/>
  <c r="D967" i="7"/>
  <c r="E967" i="7" s="1"/>
  <c r="D821" i="7"/>
  <c r="E821" i="7" s="1"/>
  <c r="D1157" i="7"/>
  <c r="E1157" i="7" s="1"/>
  <c r="D588" i="7"/>
  <c r="E588" i="7" s="1"/>
  <c r="D1669" i="7"/>
  <c r="E1669" i="7" s="1"/>
  <c r="D830" i="7"/>
  <c r="E830" i="7" s="1"/>
  <c r="D1223" i="7"/>
  <c r="E1223" i="7" s="1"/>
  <c r="D910" i="7"/>
  <c r="E910" i="7" s="1"/>
  <c r="D2229" i="7"/>
  <c r="E2229" i="7" s="1"/>
  <c r="D1124" i="7"/>
  <c r="E1124" i="7" s="1"/>
  <c r="D920" i="7"/>
  <c r="E920" i="7" s="1"/>
  <c r="D1330" i="7"/>
  <c r="E1330" i="7" s="1"/>
  <c r="D5580" i="7"/>
  <c r="E5580" i="7" s="1"/>
  <c r="D4284" i="7"/>
  <c r="E4284" i="7" s="1"/>
  <c r="D5229" i="7"/>
  <c r="E5229" i="7" s="1"/>
  <c r="D5344" i="7"/>
  <c r="E5344" i="7" s="1"/>
  <c r="D4896" i="7"/>
  <c r="E4896" i="7" s="1"/>
  <c r="D5461" i="7"/>
  <c r="E5461" i="7" s="1"/>
  <c r="D4189" i="7"/>
  <c r="E4189" i="7" s="1"/>
  <c r="D3382" i="7"/>
  <c r="E3382" i="7" s="1"/>
  <c r="D5116" i="7"/>
  <c r="E5116" i="7" s="1"/>
  <c r="D4480" i="7"/>
  <c r="E4480" i="7" s="1"/>
  <c r="D4789" i="7"/>
  <c r="E4789" i="7" s="1"/>
  <c r="D4684" i="7"/>
  <c r="E4684" i="7" s="1"/>
  <c r="D4005" i="7"/>
  <c r="E4005" i="7" s="1"/>
  <c r="D4581" i="7"/>
  <c r="E4581" i="7" s="1"/>
  <c r="D5005" i="7"/>
  <c r="E5005" i="7" s="1"/>
  <c r="D4381" i="7"/>
  <c r="E4381" i="7" s="1"/>
  <c r="D3580" i="7"/>
  <c r="E3580" i="7" s="1"/>
  <c r="D3078" i="7"/>
  <c r="E3078" i="7" s="1"/>
  <c r="D3829" i="7"/>
  <c r="E3829" i="7" s="1"/>
  <c r="D4096" i="7"/>
  <c r="E4096" i="7" s="1"/>
  <c r="D3661" i="7"/>
  <c r="E3661" i="7" s="1"/>
  <c r="D3228" i="7"/>
  <c r="E3228" i="7" s="1"/>
  <c r="D2932" i="7"/>
  <c r="E2932" i="7" s="1"/>
  <c r="D2790" i="7"/>
  <c r="E2790" i="7" s="1"/>
  <c r="D3115" i="7"/>
  <c r="E3115" i="7" s="1"/>
  <c r="D3540" i="7"/>
  <c r="E3540" i="7" s="1"/>
  <c r="D3744" i="7"/>
  <c r="E3744" i="7" s="1"/>
  <c r="D2968" i="7"/>
  <c r="E2968" i="7" s="1"/>
  <c r="D3916" i="7"/>
  <c r="E3916" i="7" s="1"/>
  <c r="D3266" i="7"/>
  <c r="E3266" i="7" s="1"/>
  <c r="D1264" i="7"/>
  <c r="E1264" i="7" s="1"/>
  <c r="D1162" i="7"/>
  <c r="E1162" i="7" s="1"/>
  <c r="D1611" i="7"/>
  <c r="E1611" i="7" s="1"/>
  <c r="D2686" i="7"/>
  <c r="E2686" i="7" s="1"/>
  <c r="D2262" i="7"/>
  <c r="E2262" i="7" s="1"/>
  <c r="D1417" i="7"/>
  <c r="E1417" i="7" s="1"/>
  <c r="D2388" i="7"/>
  <c r="E2388" i="7" s="1"/>
  <c r="D2551" i="7"/>
  <c r="E2551" i="7" s="1"/>
  <c r="D2652" i="7"/>
  <c r="E2652" i="7" s="1"/>
  <c r="D2825" i="7"/>
  <c r="E2825" i="7" s="1"/>
  <c r="D1516" i="7"/>
  <c r="E1516" i="7" s="1"/>
  <c r="D1481" i="7"/>
  <c r="E1481" i="7" s="1"/>
  <c r="D1674" i="7"/>
  <c r="E1674" i="7" s="1"/>
  <c r="D2170" i="7"/>
  <c r="E2170" i="7" s="1"/>
  <c r="D3421" i="7"/>
  <c r="E3421" i="7" s="1"/>
  <c r="D2518" i="7"/>
  <c r="E2518" i="7" s="1"/>
  <c r="D2293" i="7"/>
  <c r="E2293" i="7" s="1"/>
  <c r="D1936" i="7"/>
  <c r="E1936" i="7" s="1"/>
  <c r="D2420" i="7"/>
  <c r="E2420" i="7" s="1"/>
  <c r="D2140" i="7"/>
  <c r="E2140" i="7" s="1"/>
  <c r="D1772" i="7"/>
  <c r="E1772" i="7" s="1"/>
  <c r="D1553" i="7"/>
  <c r="E1553" i="7" s="1"/>
  <c r="D1825" i="7"/>
  <c r="E1825" i="7" s="1"/>
  <c r="D1631" i="7"/>
  <c r="E1631" i="7" s="1"/>
  <c r="D2022" i="7"/>
  <c r="E2022" i="7" s="1"/>
  <c r="D1572" i="7"/>
  <c r="E1572" i="7" s="1"/>
  <c r="D1908" i="7"/>
  <c r="E1908" i="7" s="1"/>
  <c r="D1448" i="7"/>
  <c r="E1448" i="7" s="1"/>
  <c r="D2051" i="7"/>
  <c r="E2051" i="7" s="1"/>
  <c r="D1374" i="7"/>
  <c r="E1374" i="7" s="1"/>
  <c r="D1721" i="7"/>
  <c r="E1721" i="7" s="1"/>
  <c r="D5470" i="7"/>
  <c r="E5470" i="7" s="1"/>
  <c r="D5014" i="7"/>
  <c r="E5014" i="7" s="1"/>
  <c r="D5589" i="7"/>
  <c r="E5589" i="7" s="1"/>
  <c r="D4489" i="7"/>
  <c r="E4489" i="7" s="1"/>
  <c r="D5238" i="7"/>
  <c r="E5238" i="7" s="1"/>
  <c r="D5353" i="7"/>
  <c r="E5353" i="7" s="1"/>
  <c r="D4905" i="7"/>
  <c r="E4905" i="7" s="1"/>
  <c r="D4798" i="7"/>
  <c r="E4798" i="7" s="1"/>
  <c r="D3430" i="7"/>
  <c r="E3430" i="7" s="1"/>
  <c r="D3925" i="7"/>
  <c r="E3925" i="7" s="1"/>
  <c r="D3589" i="7"/>
  <c r="E3589" i="7" s="1"/>
  <c r="D4590" i="7"/>
  <c r="E4590" i="7" s="1"/>
  <c r="D4293" i="7"/>
  <c r="E4293" i="7" s="1"/>
  <c r="D4390" i="7"/>
  <c r="E4390" i="7" s="1"/>
  <c r="D4198" i="7"/>
  <c r="E4198" i="7" s="1"/>
  <c r="D4693" i="7"/>
  <c r="E4693" i="7" s="1"/>
  <c r="D3670" i="7"/>
  <c r="E3670" i="7" s="1"/>
  <c r="D2977" i="7"/>
  <c r="E2977" i="7" s="1"/>
  <c r="D5125" i="7"/>
  <c r="E5125" i="7" s="1"/>
  <c r="D2799" i="7"/>
  <c r="E2799" i="7" s="1"/>
  <c r="D4014" i="7"/>
  <c r="E4014" i="7" s="1"/>
  <c r="D3753" i="7"/>
  <c r="E3753" i="7" s="1"/>
  <c r="D3549" i="7"/>
  <c r="E3549" i="7" s="1"/>
  <c r="D3087" i="7"/>
  <c r="E3087" i="7" s="1"/>
  <c r="D2560" i="7"/>
  <c r="E2560" i="7" s="1"/>
  <c r="D3838" i="7"/>
  <c r="E3838" i="7" s="1"/>
  <c r="D3275" i="7"/>
  <c r="E3275" i="7" s="1"/>
  <c r="D2941" i="7"/>
  <c r="E2941" i="7" s="1"/>
  <c r="D4105" i="7"/>
  <c r="E4105" i="7" s="1"/>
  <c r="D2179" i="7"/>
  <c r="E2179" i="7" s="1"/>
  <c r="D2302" i="7"/>
  <c r="E2302" i="7" s="1"/>
  <c r="D2834" i="7"/>
  <c r="E2834" i="7" s="1"/>
  <c r="D2527" i="7"/>
  <c r="E2527" i="7" s="1"/>
  <c r="D2429" i="7"/>
  <c r="E2429" i="7" s="1"/>
  <c r="D1834" i="7"/>
  <c r="E1834" i="7" s="1"/>
  <c r="D1781" i="7"/>
  <c r="E1781" i="7" s="1"/>
  <c r="D1640" i="7"/>
  <c r="E1640" i="7" s="1"/>
  <c r="D2149" i="7"/>
  <c r="E2149" i="7" s="1"/>
  <c r="D1945" i="7"/>
  <c r="E1945" i="7" s="1"/>
  <c r="D3237" i="7"/>
  <c r="E3237" i="7" s="1"/>
  <c r="D3391" i="7"/>
  <c r="E3391" i="7" s="1"/>
  <c r="D2695" i="7"/>
  <c r="E2695" i="7" s="1"/>
  <c r="D2661" i="7"/>
  <c r="E2661" i="7" s="1"/>
  <c r="D2271" i="7"/>
  <c r="E2271" i="7" s="1"/>
  <c r="D3124" i="7"/>
  <c r="E3124" i="7" s="1"/>
  <c r="D1917" i="7"/>
  <c r="E1917" i="7" s="1"/>
  <c r="D2031" i="7"/>
  <c r="E2031" i="7" s="1"/>
  <c r="D2397" i="7"/>
  <c r="E2397" i="7" s="1"/>
  <c r="D1683" i="7"/>
  <c r="E1683" i="7" s="1"/>
  <c r="D1730" i="7"/>
  <c r="E1730" i="7" s="1"/>
  <c r="D2060" i="7"/>
  <c r="E2060" i="7" s="1"/>
  <c r="D5021" i="7"/>
  <c r="E5021" i="7" s="1"/>
  <c r="D5132" i="7"/>
  <c r="E5132" i="7" s="1"/>
  <c r="D5596" i="7"/>
  <c r="E5596" i="7" s="1"/>
  <c r="D5477" i="7"/>
  <c r="E5477" i="7" s="1"/>
  <c r="D4700" i="7"/>
  <c r="E4700" i="7" s="1"/>
  <c r="D5360" i="7"/>
  <c r="E5360" i="7" s="1"/>
  <c r="D5245" i="7"/>
  <c r="E5245" i="7" s="1"/>
  <c r="D4912" i="7"/>
  <c r="E4912" i="7" s="1"/>
  <c r="D4397" i="7"/>
  <c r="E4397" i="7" s="1"/>
  <c r="D3398" i="7"/>
  <c r="E3398" i="7" s="1"/>
  <c r="D4300" i="7"/>
  <c r="E4300" i="7" s="1"/>
  <c r="D4496" i="7"/>
  <c r="E4496" i="7" s="1"/>
  <c r="D4021" i="7"/>
  <c r="E4021" i="7" s="1"/>
  <c r="D4805" i="7"/>
  <c r="E4805" i="7" s="1"/>
  <c r="D4597" i="7"/>
  <c r="E4597" i="7" s="1"/>
  <c r="D4205" i="7"/>
  <c r="E4205" i="7" s="1"/>
  <c r="D3094" i="7"/>
  <c r="E3094" i="7" s="1"/>
  <c r="D3556" i="7"/>
  <c r="E3556" i="7" s="1"/>
  <c r="D3760" i="7"/>
  <c r="E3760" i="7" s="1"/>
  <c r="D3932" i="7"/>
  <c r="E3932" i="7" s="1"/>
  <c r="D3596" i="7"/>
  <c r="E3596" i="7" s="1"/>
  <c r="D3244" i="7"/>
  <c r="E3244" i="7" s="1"/>
  <c r="D3845" i="7"/>
  <c r="E3845" i="7" s="1"/>
  <c r="D4112" i="7"/>
  <c r="E4112" i="7" s="1"/>
  <c r="D3282" i="7"/>
  <c r="E3282" i="7" s="1"/>
  <c r="D3677" i="7"/>
  <c r="E3677" i="7" s="1"/>
  <c r="D2948" i="7"/>
  <c r="E2948" i="7" s="1"/>
  <c r="D2841" i="7"/>
  <c r="E2841" i="7" s="1"/>
  <c r="D3437" i="7"/>
  <c r="E3437" i="7" s="1"/>
  <c r="D2436" i="7"/>
  <c r="E2436" i="7" s="1"/>
  <c r="D2156" i="7"/>
  <c r="E2156" i="7" s="1"/>
  <c r="D1952" i="7"/>
  <c r="E1952" i="7" s="1"/>
  <c r="D2278" i="7"/>
  <c r="E2278" i="7" s="1"/>
  <c r="D2404" i="7"/>
  <c r="E2404" i="7" s="1"/>
  <c r="D2567" i="7"/>
  <c r="E2567" i="7" s="1"/>
  <c r="D2067" i="7"/>
  <c r="E2067" i="7" s="1"/>
  <c r="D1924" i="7"/>
  <c r="E1924" i="7" s="1"/>
  <c r="D2984" i="7"/>
  <c r="E2984" i="7" s="1"/>
  <c r="D2702" i="7"/>
  <c r="E2702" i="7" s="1"/>
  <c r="D2668" i="7"/>
  <c r="E2668" i="7" s="1"/>
  <c r="D3131" i="7"/>
  <c r="E3131" i="7" s="1"/>
  <c r="D2806" i="7"/>
  <c r="E2806" i="7" s="1"/>
  <c r="D2534" i="7"/>
  <c r="E2534" i="7" s="1"/>
  <c r="D2038" i="7"/>
  <c r="E2038" i="7" s="1"/>
  <c r="D2186" i="7"/>
  <c r="E2186" i="7" s="1"/>
  <c r="D2309" i="7"/>
  <c r="E2309" i="7" s="1"/>
  <c r="D5151" i="7"/>
  <c r="E5151" i="7" s="1"/>
  <c r="D5615" i="7"/>
  <c r="E5615" i="7" s="1"/>
  <c r="D4824" i="7"/>
  <c r="E4824" i="7" s="1"/>
  <c r="D5040" i="7"/>
  <c r="E5040" i="7" s="1"/>
  <c r="D5496" i="7"/>
  <c r="E5496" i="7" s="1"/>
  <c r="D4616" i="7"/>
  <c r="E4616" i="7" s="1"/>
  <c r="D5264" i="7"/>
  <c r="E5264" i="7" s="1"/>
  <c r="D4224" i="7"/>
  <c r="E4224" i="7" s="1"/>
  <c r="D4416" i="7"/>
  <c r="E4416" i="7" s="1"/>
  <c r="D5379" i="7"/>
  <c r="E5379" i="7" s="1"/>
  <c r="D4931" i="7"/>
  <c r="E4931" i="7" s="1"/>
  <c r="D4515" i="7"/>
  <c r="E4515" i="7" s="1"/>
  <c r="D4719" i="7"/>
  <c r="E4719" i="7" s="1"/>
  <c r="D4319" i="7"/>
  <c r="E4319" i="7" s="1"/>
  <c r="D5625" i="7"/>
  <c r="E5625" i="7" s="1"/>
  <c r="D5389" i="7"/>
  <c r="E5389" i="7" s="1"/>
  <c r="D5506" i="7"/>
  <c r="E5506" i="7" s="1"/>
  <c r="D5274" i="7"/>
  <c r="E5274" i="7" s="1"/>
  <c r="D73" i="7"/>
  <c r="E73" i="7" s="1"/>
  <c r="L51" i="2" s="1"/>
  <c r="D108" i="7"/>
  <c r="E108" i="7" s="1"/>
  <c r="D146" i="7"/>
  <c r="E146" i="7" s="1"/>
  <c r="L77" i="2" s="1"/>
  <c r="D257" i="7"/>
  <c r="E257" i="7" s="1"/>
  <c r="D499" i="7"/>
  <c r="E499" i="7" s="1"/>
  <c r="D1383" i="7"/>
  <c r="E1383" i="7" s="1"/>
  <c r="D987" i="7"/>
  <c r="E987" i="7" s="1"/>
  <c r="D1074" i="7"/>
  <c r="E1074" i="7" s="1"/>
  <c r="D848" i="7"/>
  <c r="E848" i="7" s="1"/>
  <c r="D1169" i="7"/>
  <c r="E1169" i="7" s="1"/>
  <c r="D714" i="7"/>
  <c r="E714" i="7" s="1"/>
  <c r="D595" i="7"/>
  <c r="E595" i="7" s="1"/>
  <c r="D839" i="7"/>
  <c r="E839" i="7" s="1"/>
  <c r="D706" i="7"/>
  <c r="E706" i="7" s="1"/>
  <c r="D977" i="7"/>
  <c r="E977" i="7" s="1"/>
  <c r="D1272" i="7"/>
  <c r="E1272" i="7" s="1"/>
  <c r="D5412" i="7"/>
  <c r="E5412" i="7" s="1"/>
  <c r="D4642" i="7"/>
  <c r="E4642" i="7" s="1"/>
  <c r="D5070" i="7"/>
  <c r="E5070" i="7" s="1"/>
  <c r="D5530" i="7"/>
  <c r="E5530" i="7" s="1"/>
  <c r="D5182" i="7"/>
  <c r="E5182" i="7" s="1"/>
  <c r="D4960" i="7"/>
  <c r="E4960" i="7" s="1"/>
  <c r="D4152" i="7"/>
  <c r="E4152" i="7" s="1"/>
  <c r="D4440" i="7"/>
  <c r="E4440" i="7" s="1"/>
  <c r="D3510" i="7"/>
  <c r="E3510" i="7" s="1"/>
  <c r="D4852" i="7"/>
  <c r="E4852" i="7" s="1"/>
  <c r="D4540" i="7"/>
  <c r="E4540" i="7" s="1"/>
  <c r="D3970" i="7"/>
  <c r="E3970" i="7" s="1"/>
  <c r="D4746" i="7"/>
  <c r="E4746" i="7" s="1"/>
  <c r="D5296" i="7"/>
  <c r="E5296" i="7" s="1"/>
  <c r="D4246" i="7"/>
  <c r="E4246" i="7" s="1"/>
  <c r="D3200" i="7"/>
  <c r="E3200" i="7" s="1"/>
  <c r="D3882" i="7"/>
  <c r="E3882" i="7" s="1"/>
  <c r="D4342" i="7"/>
  <c r="E4342" i="7" s="1"/>
  <c r="D3712" i="7"/>
  <c r="E3712" i="7" s="1"/>
  <c r="D3470" i="7"/>
  <c r="E3470" i="7" s="1"/>
  <c r="D3353" i="7"/>
  <c r="E3353" i="7" s="1"/>
  <c r="D3314" i="7"/>
  <c r="E3314" i="7" s="1"/>
  <c r="D4060" i="7"/>
  <c r="E4060" i="7" s="1"/>
  <c r="D3796" i="7"/>
  <c r="E3796" i="7" s="1"/>
  <c r="D2870" i="7"/>
  <c r="E2870" i="7" s="1"/>
  <c r="D2628" i="7"/>
  <c r="E2628" i="7" s="1"/>
  <c r="D2594" i="7"/>
  <c r="E2594" i="7" s="1"/>
  <c r="D2906" i="7"/>
  <c r="E2906" i="7" s="1"/>
  <c r="D3014" i="7"/>
  <c r="E3014" i="7" s="1"/>
  <c r="D2765" i="7"/>
  <c r="E2765" i="7" s="1"/>
  <c r="D3162" i="7"/>
  <c r="E3162" i="7" s="1"/>
  <c r="D3630" i="7"/>
  <c r="E3630" i="7" s="1"/>
  <c r="D1974" i="7"/>
  <c r="E1974" i="7" s="1"/>
  <c r="D1662" i="7"/>
  <c r="E1662" i="7" s="1"/>
  <c r="D2366" i="7"/>
  <c r="E2366" i="7" s="1"/>
  <c r="D2495" i="7"/>
  <c r="E2495" i="7" s="1"/>
  <c r="D2210" i="7"/>
  <c r="E2210" i="7" s="1"/>
  <c r="D2334" i="7"/>
  <c r="E2334" i="7" s="1"/>
  <c r="D2730" i="7"/>
  <c r="E2730" i="7" s="1"/>
  <c r="D3051" i="7"/>
  <c r="E3051" i="7" s="1"/>
  <c r="D1890" i="7"/>
  <c r="E1890" i="7" s="1"/>
  <c r="D2090" i="7"/>
  <c r="E2090" i="7" s="1"/>
  <c r="D1707" i="7"/>
  <c r="E1707" i="7" s="1"/>
  <c r="D2120" i="7"/>
  <c r="E2120" i="7" s="1"/>
  <c r="D1756" i="7"/>
  <c r="E1756" i="7" s="1"/>
  <c r="D2462" i="7"/>
  <c r="E2462" i="7" s="1"/>
  <c r="D1808" i="7"/>
  <c r="E1808" i="7" s="1"/>
  <c r="D2003" i="7"/>
  <c r="E2003" i="7" s="1"/>
  <c r="D1862" i="7"/>
  <c r="E1862" i="7" s="1"/>
  <c r="D5448" i="7"/>
  <c r="E5448" i="7" s="1"/>
  <c r="D5566" i="7"/>
  <c r="E5566" i="7" s="1"/>
  <c r="D5332" i="7"/>
  <c r="E5332" i="7" s="1"/>
  <c r="D148" i="7"/>
  <c r="E148" i="7" s="1"/>
  <c r="D372" i="7"/>
  <c r="E372" i="7" s="1"/>
  <c r="D654" i="7"/>
  <c r="E654" i="7" s="1"/>
  <c r="D5537" i="7"/>
  <c r="E5537" i="7" s="1"/>
  <c r="D5189" i="7"/>
  <c r="E5189" i="7" s="1"/>
  <c r="D4349" i="7"/>
  <c r="E4349" i="7" s="1"/>
  <c r="D5419" i="7"/>
  <c r="E5419" i="7" s="1"/>
  <c r="D4547" i="7"/>
  <c r="E4547" i="7" s="1"/>
  <c r="D4967" i="7"/>
  <c r="E4967" i="7" s="1"/>
  <c r="D5077" i="7"/>
  <c r="E5077" i="7" s="1"/>
  <c r="D4753" i="7"/>
  <c r="E4753" i="7" s="1"/>
  <c r="D5303" i="7"/>
  <c r="E5303" i="7" s="1"/>
  <c r="D3207" i="7"/>
  <c r="E3207" i="7" s="1"/>
  <c r="D3977" i="7"/>
  <c r="E3977" i="7" s="1"/>
  <c r="D3477" i="7"/>
  <c r="E3477" i="7" s="1"/>
  <c r="D4859" i="7"/>
  <c r="E4859" i="7" s="1"/>
  <c r="D4253" i="7"/>
  <c r="E4253" i="7" s="1"/>
  <c r="D3360" i="7"/>
  <c r="E3360" i="7" s="1"/>
  <c r="D2913" i="7"/>
  <c r="E2913" i="7" s="1"/>
  <c r="D2737" i="7"/>
  <c r="E2737" i="7" s="1"/>
  <c r="D4649" i="7"/>
  <c r="E4649" i="7" s="1"/>
  <c r="D4447" i="7"/>
  <c r="E4447" i="7" s="1"/>
  <c r="D4067" i="7"/>
  <c r="E4067" i="7" s="1"/>
  <c r="D3803" i="7"/>
  <c r="E3803" i="7" s="1"/>
  <c r="D4159" i="7"/>
  <c r="E4159" i="7" s="1"/>
  <c r="D3637" i="7"/>
  <c r="E3637" i="7" s="1"/>
  <c r="D2373" i="7"/>
  <c r="E2373" i="7" s="1"/>
  <c r="D3021" i="7"/>
  <c r="E3021" i="7" s="1"/>
  <c r="D2772" i="7"/>
  <c r="E2772" i="7" s="1"/>
  <c r="D3169" i="7"/>
  <c r="E3169" i="7" s="1"/>
  <c r="D3058" i="7"/>
  <c r="E3058" i="7" s="1"/>
  <c r="D3889" i="7"/>
  <c r="E3889" i="7" s="1"/>
  <c r="D3719" i="7"/>
  <c r="E3719" i="7" s="1"/>
  <c r="D3517" i="7"/>
  <c r="E3517" i="7" s="1"/>
  <c r="D3321" i="7"/>
  <c r="E3321" i="7" s="1"/>
  <c r="D2877" i="7"/>
  <c r="E2877" i="7" s="1"/>
  <c r="D2601" i="7"/>
  <c r="E2601" i="7" s="1"/>
  <c r="D2217" i="7"/>
  <c r="E2217" i="7" s="1"/>
  <c r="D2502" i="7"/>
  <c r="E2502" i="7" s="1"/>
  <c r="D2341" i="7"/>
  <c r="E2341" i="7" s="1"/>
  <c r="D2127" i="7"/>
  <c r="E2127" i="7" s="1"/>
  <c r="D2469" i="7"/>
  <c r="E2469" i="7" s="1"/>
  <c r="D2635" i="7"/>
  <c r="E2635" i="7" s="1"/>
  <c r="D1981" i="7"/>
  <c r="E1981" i="7" s="1"/>
  <c r="D2010" i="7"/>
  <c r="E2010" i="7" s="1"/>
  <c r="D2097" i="7"/>
  <c r="E2097" i="7" s="1"/>
  <c r="D5556" i="7"/>
  <c r="E5556" i="7" s="1"/>
  <c r="D5208" i="7"/>
  <c r="E5208" i="7" s="1"/>
  <c r="D5322" i="7"/>
  <c r="E5322" i="7" s="1"/>
  <c r="D5438" i="7"/>
  <c r="E5438" i="7" s="1"/>
  <c r="D4566" i="7"/>
  <c r="E4566" i="7" s="1"/>
  <c r="D4986" i="7"/>
  <c r="E4986" i="7" s="1"/>
  <c r="D5096" i="7"/>
  <c r="E5096" i="7" s="1"/>
  <c r="D4668" i="7"/>
  <c r="E4668" i="7" s="1"/>
  <c r="D4272" i="7"/>
  <c r="E4272" i="7" s="1"/>
  <c r="D4772" i="7"/>
  <c r="E4772" i="7" s="1"/>
  <c r="D4878" i="7"/>
  <c r="E4878" i="7" s="1"/>
  <c r="D4466" i="7"/>
  <c r="E4466" i="7" s="1"/>
  <c r="D4368" i="7"/>
  <c r="E4368" i="7" s="1"/>
  <c r="D5626" i="7"/>
  <c r="E5626" i="7" s="1"/>
  <c r="D5390" i="7"/>
  <c r="E5390" i="7" s="1"/>
  <c r="D5507" i="7"/>
  <c r="E5507" i="7" s="1"/>
  <c r="D203" i="7"/>
  <c r="E203" i="7" s="1"/>
  <c r="D1281" i="7"/>
  <c r="E1281" i="7" s="1"/>
  <c r="D393" i="7"/>
  <c r="E393" i="7" s="1"/>
  <c r="D1177" i="7"/>
  <c r="E1177" i="7" s="1"/>
  <c r="D718" i="7"/>
  <c r="E718" i="7" s="1"/>
  <c r="D853" i="7"/>
  <c r="E853" i="7" s="1"/>
  <c r="D88" i="7"/>
  <c r="E88" i="7" s="1"/>
  <c r="D514" i="7"/>
  <c r="E514" i="7" s="1"/>
  <c r="D387" i="7"/>
  <c r="E387" i="7" s="1"/>
  <c r="D598" i="7"/>
  <c r="E598" i="7" s="1"/>
  <c r="D175" i="7"/>
  <c r="E175" i="7" s="1"/>
  <c r="D993" i="7"/>
  <c r="E993" i="7" s="1"/>
  <c r="D507" i="7"/>
  <c r="E507" i="7" s="1"/>
  <c r="D171" i="7"/>
  <c r="E171" i="7" s="1"/>
  <c r="D1081" i="7"/>
  <c r="E1081" i="7" s="1"/>
  <c r="D863" i="7"/>
  <c r="E863" i="7" s="1"/>
  <c r="D94" i="7"/>
  <c r="E94" i="7" s="1"/>
  <c r="D1195" i="7"/>
  <c r="E1195" i="7" s="1"/>
  <c r="D741" i="7"/>
  <c r="E741" i="7" s="1"/>
  <c r="D878" i="7"/>
  <c r="E878" i="7" s="1"/>
  <c r="D619" i="7"/>
  <c r="E619" i="7" s="1"/>
  <c r="D1300" i="7"/>
  <c r="E1300" i="7" s="1"/>
  <c r="D750" i="7"/>
  <c r="E750" i="7" s="1"/>
  <c r="D888" i="7"/>
  <c r="E888" i="7" s="1"/>
  <c r="D627" i="7"/>
  <c r="E627" i="7" s="1"/>
  <c r="D1098" i="7"/>
  <c r="E1098" i="7" s="1"/>
  <c r="D149" i="7"/>
  <c r="E149" i="7" s="1"/>
  <c r="L78" i="2" s="1"/>
  <c r="D259" i="7"/>
  <c r="E259" i="7" s="1"/>
  <c r="D316" i="7"/>
  <c r="E316" i="7" s="1"/>
  <c r="D373" i="7"/>
  <c r="E373" i="7" s="1"/>
  <c r="D435" i="7"/>
  <c r="E435" i="7" s="1"/>
  <c r="D582" i="7"/>
  <c r="E582" i="7" s="1"/>
  <c r="L163" i="2" s="1"/>
  <c r="D655" i="7"/>
  <c r="E655" i="7" s="1"/>
  <c r="D913" i="7"/>
  <c r="E913" i="7" s="1"/>
  <c r="D1298" i="7"/>
  <c r="E1298" i="7" s="1"/>
  <c r="D1007" i="7"/>
  <c r="E1007" i="7" s="1"/>
  <c r="D625" i="7"/>
  <c r="E625" i="7" s="1"/>
  <c r="D1096" i="7"/>
  <c r="E1096" i="7" s="1"/>
  <c r="D1193" i="7"/>
  <c r="E1193" i="7" s="1"/>
  <c r="D876" i="7"/>
  <c r="E876" i="7" s="1"/>
  <c r="D408" i="7"/>
  <c r="E408" i="7" s="1"/>
  <c r="D739" i="7"/>
  <c r="E739" i="7" s="1"/>
  <c r="D617" i="7"/>
  <c r="E617" i="7" s="1"/>
  <c r="D531" i="7"/>
  <c r="E531" i="7" s="1"/>
  <c r="D524" i="7"/>
  <c r="E524" i="7" s="1"/>
  <c r="D886" i="7"/>
  <c r="E886" i="7" s="1"/>
  <c r="D4946" i="7"/>
  <c r="E4946" i="7" s="1"/>
  <c r="D5516" i="7"/>
  <c r="E5516" i="7" s="1"/>
  <c r="D5056" i="7"/>
  <c r="E5056" i="7" s="1"/>
  <c r="D5282" i="7"/>
  <c r="E5282" i="7" s="1"/>
  <c r="D5398" i="7"/>
  <c r="E5398" i="7" s="1"/>
  <c r="D4838" i="7"/>
  <c r="E4838" i="7" s="1"/>
  <c r="D4046" i="7"/>
  <c r="E4046" i="7" s="1"/>
  <c r="D4526" i="7"/>
  <c r="E4526" i="7" s="1"/>
  <c r="D5168" i="7"/>
  <c r="E5168" i="7" s="1"/>
  <c r="D4732" i="7"/>
  <c r="E4732" i="7" s="1"/>
  <c r="D3698" i="7"/>
  <c r="E3698" i="7" s="1"/>
  <c r="D4328" i="7"/>
  <c r="E4328" i="7" s="1"/>
  <c r="D3496" i="7"/>
  <c r="E3496" i="7" s="1"/>
  <c r="D4138" i="7"/>
  <c r="E4138" i="7" s="1"/>
  <c r="D3782" i="7"/>
  <c r="E3782" i="7" s="1"/>
  <c r="D4628" i="7"/>
  <c r="E4628" i="7" s="1"/>
  <c r="D4232" i="7"/>
  <c r="E4232" i="7" s="1"/>
  <c r="D3956" i="7"/>
  <c r="E3956" i="7" s="1"/>
  <c r="D3616" i="7"/>
  <c r="E3616" i="7" s="1"/>
  <c r="D3868" i="7"/>
  <c r="E3868" i="7" s="1"/>
  <c r="D4426" i="7"/>
  <c r="E4426" i="7" s="1"/>
  <c r="D3000" i="7"/>
  <c r="E3000" i="7" s="1"/>
  <c r="D3148" i="7"/>
  <c r="E3148" i="7" s="1"/>
  <c r="D2716" i="7"/>
  <c r="E2716" i="7" s="1"/>
  <c r="D3456" i="7"/>
  <c r="E3456" i="7" s="1"/>
  <c r="D2751" i="7"/>
  <c r="E2751" i="7" s="1"/>
  <c r="D3339" i="7"/>
  <c r="E3339" i="7" s="1"/>
  <c r="D3037" i="7"/>
  <c r="E3037" i="7" s="1"/>
  <c r="D3300" i="7"/>
  <c r="E3300" i="7" s="1"/>
  <c r="D3186" i="7"/>
  <c r="E3186" i="7" s="1"/>
  <c r="D2076" i="7"/>
  <c r="E2076" i="7" s="1"/>
  <c r="D1876" i="7"/>
  <c r="E1876" i="7" s="1"/>
  <c r="D2892" i="7"/>
  <c r="E2892" i="7" s="1"/>
  <c r="D1314" i="7"/>
  <c r="E1314" i="7" s="1"/>
  <c r="D1110" i="7"/>
  <c r="E1110" i="7" s="1"/>
  <c r="D2580" i="7"/>
  <c r="E2580" i="7" s="1"/>
  <c r="D2481" i="7"/>
  <c r="E2481" i="7" s="1"/>
  <c r="D2196" i="7"/>
  <c r="E2196" i="7" s="1"/>
  <c r="D2320" i="7"/>
  <c r="E2320" i="7" s="1"/>
  <c r="D2448" i="7"/>
  <c r="E2448" i="7" s="1"/>
  <c r="D2106" i="7"/>
  <c r="E2106" i="7" s="1"/>
  <c r="D2856" i="7"/>
  <c r="E2856" i="7" s="1"/>
  <c r="D2614" i="7"/>
  <c r="E2614" i="7" s="1"/>
  <c r="D643" i="7"/>
  <c r="E643" i="7" s="1"/>
  <c r="D898" i="7"/>
  <c r="E898" i="7" s="1"/>
  <c r="D1742" i="7"/>
  <c r="E1742" i="7" s="1"/>
  <c r="D1530" i="7"/>
  <c r="E1530" i="7" s="1"/>
  <c r="D1794" i="7"/>
  <c r="E1794" i="7" s="1"/>
  <c r="D1989" i="7"/>
  <c r="E1989" i="7" s="1"/>
  <c r="D1848" i="7"/>
  <c r="E1848" i="7" s="1"/>
  <c r="D1428" i="7"/>
  <c r="E1428" i="7" s="1"/>
  <c r="D635" i="7"/>
  <c r="E635" i="7" s="1"/>
  <c r="D1494" i="7"/>
  <c r="E1494" i="7" s="1"/>
  <c r="D1648" i="7"/>
  <c r="E1648" i="7" s="1"/>
  <c r="D2352" i="7"/>
  <c r="E2352" i="7" s="1"/>
  <c r="D1960" i="7"/>
  <c r="E1960" i="7" s="1"/>
  <c r="D1460" i="7"/>
  <c r="E1460" i="7" s="1"/>
  <c r="D1208" i="7"/>
  <c r="E1208" i="7" s="1"/>
  <c r="D1020" i="7"/>
  <c r="E1020" i="7" s="1"/>
  <c r="D1587" i="7"/>
  <c r="E1587" i="7" s="1"/>
  <c r="D759" i="7"/>
  <c r="E759" i="7" s="1"/>
  <c r="D1693" i="7"/>
  <c r="E1693" i="7" s="1"/>
  <c r="D1398" i="7"/>
  <c r="E1398" i="7" s="1"/>
  <c r="D4906" i="7"/>
  <c r="E4906" i="7" s="1"/>
  <c r="D5471" i="7"/>
  <c r="E5471" i="7" s="1"/>
  <c r="D5590" i="7"/>
  <c r="E5590" i="7" s="1"/>
  <c r="D4294" i="7"/>
  <c r="E4294" i="7" s="1"/>
  <c r="D4490" i="7"/>
  <c r="E4490" i="7" s="1"/>
  <c r="D5126" i="7"/>
  <c r="E5126" i="7" s="1"/>
  <c r="D5239" i="7"/>
  <c r="E5239" i="7" s="1"/>
  <c r="D5354" i="7"/>
  <c r="E5354" i="7" s="1"/>
  <c r="D3431" i="7"/>
  <c r="E3431" i="7" s="1"/>
  <c r="D3926" i="7"/>
  <c r="E3926" i="7" s="1"/>
  <c r="D3590" i="7"/>
  <c r="E3590" i="7" s="1"/>
  <c r="D3671" i="7"/>
  <c r="E3671" i="7" s="1"/>
  <c r="D4591" i="7"/>
  <c r="E4591" i="7" s="1"/>
  <c r="D4391" i="7"/>
  <c r="E4391" i="7" s="1"/>
  <c r="D4199" i="7"/>
  <c r="E4199" i="7" s="1"/>
  <c r="D4106" i="7"/>
  <c r="E4106" i="7" s="1"/>
  <c r="D5015" i="7"/>
  <c r="E5015" i="7" s="1"/>
  <c r="D4694" i="7"/>
  <c r="E4694" i="7" s="1"/>
  <c r="D4015" i="7"/>
  <c r="E4015" i="7" s="1"/>
  <c r="D3754" i="7"/>
  <c r="E3754" i="7" s="1"/>
  <c r="D3550" i="7"/>
  <c r="E3550" i="7" s="1"/>
  <c r="D4799" i="7"/>
  <c r="E4799" i="7" s="1"/>
  <c r="D2561" i="7"/>
  <c r="E2561" i="7" s="1"/>
  <c r="D2978" i="7"/>
  <c r="E2978" i="7" s="1"/>
  <c r="D2662" i="7"/>
  <c r="E2662" i="7" s="1"/>
  <c r="D3839" i="7"/>
  <c r="E3839" i="7" s="1"/>
  <c r="D3276" i="7"/>
  <c r="E3276" i="7" s="1"/>
  <c r="D3088" i="7"/>
  <c r="E3088" i="7" s="1"/>
  <c r="D2942" i="7"/>
  <c r="E2942" i="7" s="1"/>
  <c r="D2800" i="7"/>
  <c r="E2800" i="7" s="1"/>
  <c r="D3238" i="7"/>
  <c r="E3238" i="7" s="1"/>
  <c r="D3392" i="7"/>
  <c r="E3392" i="7" s="1"/>
  <c r="D2180" i="7"/>
  <c r="E2180" i="7" s="1"/>
  <c r="D2303" i="7"/>
  <c r="E2303" i="7" s="1"/>
  <c r="D2835" i="7"/>
  <c r="E2835" i="7" s="1"/>
  <c r="D2528" i="7"/>
  <c r="E2528" i="7" s="1"/>
  <c r="D2032" i="7"/>
  <c r="E2032" i="7" s="1"/>
  <c r="D2430" i="7"/>
  <c r="E2430" i="7" s="1"/>
  <c r="D2150" i="7"/>
  <c r="E2150" i="7" s="1"/>
  <c r="D1946" i="7"/>
  <c r="E1946" i="7" s="1"/>
  <c r="D2272" i="7"/>
  <c r="E2272" i="7" s="1"/>
  <c r="D2696" i="7"/>
  <c r="E2696" i="7" s="1"/>
  <c r="D3125" i="7"/>
  <c r="E3125" i="7" s="1"/>
  <c r="D1918" i="7"/>
  <c r="E1918" i="7" s="1"/>
  <c r="D2398" i="7"/>
  <c r="E2398" i="7" s="1"/>
  <c r="D1684" i="7"/>
  <c r="E1684" i="7" s="1"/>
  <c r="D1731" i="7"/>
  <c r="E1731" i="7" s="1"/>
  <c r="D2061" i="7"/>
  <c r="E2061" i="7" s="1"/>
  <c r="D1782" i="7"/>
  <c r="E1782" i="7" s="1"/>
  <c r="D1835" i="7"/>
  <c r="E1835" i="7" s="1"/>
  <c r="D5428" i="7"/>
  <c r="E5428" i="7" s="1"/>
  <c r="D4868" i="7"/>
  <c r="E4868" i="7" s="1"/>
  <c r="D4762" i="7"/>
  <c r="E4762" i="7" s="1"/>
  <c r="D5312" i="7"/>
  <c r="E5312" i="7" s="1"/>
  <c r="D5546" i="7"/>
  <c r="E5546" i="7" s="1"/>
  <c r="D5198" i="7"/>
  <c r="E5198" i="7" s="1"/>
  <c r="D3526" i="7"/>
  <c r="E3526" i="7" s="1"/>
  <c r="D4358" i="7"/>
  <c r="E4358" i="7" s="1"/>
  <c r="D4262" i="7"/>
  <c r="E4262" i="7" s="1"/>
  <c r="D4658" i="7"/>
  <c r="E4658" i="7" s="1"/>
  <c r="D4456" i="7"/>
  <c r="E4456" i="7" s="1"/>
  <c r="D4976" i="7"/>
  <c r="E4976" i="7" s="1"/>
  <c r="D5086" i="7"/>
  <c r="E5086" i="7" s="1"/>
  <c r="D4076" i="7"/>
  <c r="E4076" i="7" s="1"/>
  <c r="D3646" i="7"/>
  <c r="E3646" i="7" s="1"/>
  <c r="D4168" i="7"/>
  <c r="E4168" i="7" s="1"/>
  <c r="D3216" i="7"/>
  <c r="E3216" i="7" s="1"/>
  <c r="D3986" i="7"/>
  <c r="E3986" i="7" s="1"/>
  <c r="D3486" i="7"/>
  <c r="E3486" i="7" s="1"/>
  <c r="D3898" i="7"/>
  <c r="E3898" i="7" s="1"/>
  <c r="D3728" i="7"/>
  <c r="E3728" i="7" s="1"/>
  <c r="D3369" i="7"/>
  <c r="E3369" i="7" s="1"/>
  <c r="D3330" i="7"/>
  <c r="E3330" i="7" s="1"/>
  <c r="D4556" i="7"/>
  <c r="E4556" i="7" s="1"/>
  <c r="D3812" i="7"/>
  <c r="E3812" i="7" s="1"/>
  <c r="D3178" i="7"/>
  <c r="E3178" i="7" s="1"/>
  <c r="D44" i="7"/>
  <c r="E44" i="7" s="1"/>
  <c r="D110" i="7"/>
  <c r="E110" i="7" s="1"/>
  <c r="L65" i="2" s="1"/>
  <c r="D204" i="7"/>
  <c r="E204" i="7" s="1"/>
  <c r="D97" i="7"/>
  <c r="E97" i="7" s="1"/>
  <c r="D179" i="7"/>
  <c r="E179" i="7" s="1"/>
  <c r="D286" i="7"/>
  <c r="E286" i="7" s="1"/>
  <c r="D399" i="7"/>
  <c r="E399" i="7" s="1"/>
  <c r="D1352" i="7"/>
  <c r="E1352" i="7" s="1"/>
  <c r="D809" i="7"/>
  <c r="E809" i="7" s="1"/>
  <c r="D1142" i="7"/>
  <c r="E1142" i="7" s="1"/>
  <c r="D1243" i="7"/>
  <c r="E1243" i="7" s="1"/>
  <c r="D944" i="7"/>
  <c r="E944" i="7" s="1"/>
  <c r="D800" i="7"/>
  <c r="E800" i="7" s="1"/>
  <c r="D236" i="7"/>
  <c r="E236" i="7" s="1"/>
  <c r="D472" i="7"/>
  <c r="E472" i="7" s="1"/>
  <c r="D578" i="7"/>
  <c r="E578" i="7" s="1"/>
  <c r="D347" i="7"/>
  <c r="E347" i="7" s="1"/>
  <c r="D571" i="7"/>
  <c r="E571" i="7" s="1"/>
  <c r="D687" i="7"/>
  <c r="E687" i="7" s="1"/>
  <c r="D466" i="7"/>
  <c r="E466" i="7" s="1"/>
  <c r="D1049" i="7"/>
  <c r="E1049" i="7" s="1"/>
  <c r="D244" i="7"/>
  <c r="E244" i="7" s="1"/>
  <c r="D954" i="7"/>
  <c r="E954" i="7" s="1"/>
  <c r="D4643" i="7"/>
  <c r="E4643" i="7" s="1"/>
  <c r="D4853" i="7"/>
  <c r="E4853" i="7" s="1"/>
  <c r="D5531" i="7"/>
  <c r="E5531" i="7" s="1"/>
  <c r="D5183" i="7"/>
  <c r="E5183" i="7" s="1"/>
  <c r="D5297" i="7"/>
  <c r="E5297" i="7" s="1"/>
  <c r="D5413" i="7"/>
  <c r="E5413" i="7" s="1"/>
  <c r="D4153" i="7"/>
  <c r="E4153" i="7" s="1"/>
  <c r="D4441" i="7"/>
  <c r="E4441" i="7" s="1"/>
  <c r="D3511" i="7"/>
  <c r="E3511" i="7" s="1"/>
  <c r="D3971" i="7"/>
  <c r="E3971" i="7" s="1"/>
  <c r="D4541" i="7"/>
  <c r="E4541" i="7" s="1"/>
  <c r="D3631" i="7"/>
  <c r="E3631" i="7" s="1"/>
  <c r="D4747" i="7"/>
  <c r="E4747" i="7" s="1"/>
  <c r="D5071" i="7"/>
  <c r="E5071" i="7" s="1"/>
  <c r="D4961" i="7"/>
  <c r="E4961" i="7" s="1"/>
  <c r="D4247" i="7"/>
  <c r="E4247" i="7" s="1"/>
  <c r="D4343" i="7"/>
  <c r="E4343" i="7" s="1"/>
  <c r="D3713" i="7"/>
  <c r="E3713" i="7" s="1"/>
  <c r="D3163" i="7"/>
  <c r="E3163" i="7" s="1"/>
  <c r="D2907" i="7"/>
  <c r="E2907" i="7" s="1"/>
  <c r="D3315" i="7"/>
  <c r="E3315" i="7" s="1"/>
  <c r="D4061" i="7"/>
  <c r="E4061" i="7" s="1"/>
  <c r="D3797" i="7"/>
  <c r="E3797" i="7" s="1"/>
  <c r="D2871" i="7"/>
  <c r="E2871" i="7" s="1"/>
  <c r="D2629" i="7"/>
  <c r="E2629" i="7" s="1"/>
  <c r="D2595" i="7"/>
  <c r="E2595" i="7" s="1"/>
  <c r="D3201" i="7"/>
  <c r="E3201" i="7" s="1"/>
  <c r="D2731" i="7"/>
  <c r="E2731" i="7" s="1"/>
  <c r="D3015" i="7"/>
  <c r="E3015" i="7" s="1"/>
  <c r="D2766" i="7"/>
  <c r="E2766" i="7" s="1"/>
  <c r="D3471" i="7"/>
  <c r="E3471" i="7" s="1"/>
  <c r="D3883" i="7"/>
  <c r="E3883" i="7" s="1"/>
  <c r="D1975" i="7"/>
  <c r="E1975" i="7" s="1"/>
  <c r="D2367" i="7"/>
  <c r="E2367" i="7" s="1"/>
  <c r="D2496" i="7"/>
  <c r="E2496" i="7" s="1"/>
  <c r="D2211" i="7"/>
  <c r="E2211" i="7" s="1"/>
  <c r="D1708" i="7"/>
  <c r="E1708" i="7" s="1"/>
  <c r="D2335" i="7"/>
  <c r="E2335" i="7" s="1"/>
  <c r="D2004" i="7"/>
  <c r="E2004" i="7" s="1"/>
  <c r="D3354" i="7"/>
  <c r="E3354" i="7" s="1"/>
  <c r="D3052" i="7"/>
  <c r="E3052" i="7" s="1"/>
  <c r="D2463" i="7"/>
  <c r="E2463" i="7" s="1"/>
  <c r="D2091" i="7"/>
  <c r="E2091" i="7" s="1"/>
  <c r="D2121" i="7"/>
  <c r="E2121" i="7" s="1"/>
  <c r="D1757" i="7"/>
  <c r="E1757" i="7" s="1"/>
  <c r="D1863" i="7"/>
  <c r="E1863" i="7" s="1"/>
  <c r="D1891" i="7"/>
  <c r="E1891" i="7" s="1"/>
  <c r="D1809" i="7"/>
  <c r="E1809" i="7" s="1"/>
  <c r="D5370" i="7"/>
  <c r="E5370" i="7" s="1"/>
  <c r="D4607" i="7"/>
  <c r="E4607" i="7" s="1"/>
  <c r="D4922" i="7"/>
  <c r="E4922" i="7" s="1"/>
  <c r="D5487" i="7"/>
  <c r="E5487" i="7" s="1"/>
  <c r="D5142" i="7"/>
  <c r="E5142" i="7" s="1"/>
  <c r="D5606" i="7"/>
  <c r="E5606" i="7" s="1"/>
  <c r="D4815" i="7"/>
  <c r="E4815" i="7" s="1"/>
  <c r="D3447" i="7"/>
  <c r="E3447" i="7" s="1"/>
  <c r="D3606" i="7"/>
  <c r="E3606" i="7" s="1"/>
  <c r="D3942" i="7"/>
  <c r="E3942" i="7" s="1"/>
  <c r="D4710" i="7"/>
  <c r="E4710" i="7" s="1"/>
  <c r="D5031" i="7"/>
  <c r="E5031" i="7" s="1"/>
  <c r="D5255" i="7"/>
  <c r="E5255" i="7" s="1"/>
  <c r="D4310" i="7"/>
  <c r="E4310" i="7" s="1"/>
  <c r="D4215" i="7"/>
  <c r="E4215" i="7" s="1"/>
  <c r="D3855" i="7"/>
  <c r="E3855" i="7" s="1"/>
  <c r="D3687" i="7"/>
  <c r="E3687" i="7" s="1"/>
  <c r="D3408" i="7"/>
  <c r="E3408" i="7" s="1"/>
  <c r="D4122" i="7"/>
  <c r="E4122" i="7" s="1"/>
  <c r="D4506" i="7"/>
  <c r="E4506" i="7" s="1"/>
  <c r="D3566" i="7"/>
  <c r="E3566" i="7" s="1"/>
  <c r="D4031" i="7"/>
  <c r="E4031" i="7" s="1"/>
  <c r="D4407" i="7"/>
  <c r="E4407" i="7" s="1"/>
  <c r="D3770" i="7"/>
  <c r="E3770" i="7" s="1"/>
  <c r="D3254" i="7"/>
  <c r="E3254" i="7" s="1"/>
  <c r="D3292" i="7"/>
  <c r="E3292" i="7" s="1"/>
  <c r="D260" i="7"/>
  <c r="E260" i="7" s="1"/>
  <c r="D317" i="7"/>
  <c r="E317" i="7" s="1"/>
  <c r="D436" i="7"/>
  <c r="E436" i="7" s="1"/>
  <c r="D656" i="7"/>
  <c r="E656" i="7" s="1"/>
  <c r="D4573" i="7"/>
  <c r="E4573" i="7" s="1"/>
  <c r="D5453" i="7"/>
  <c r="E5453" i="7" s="1"/>
  <c r="D4888" i="7"/>
  <c r="E4888" i="7" s="1"/>
  <c r="D5572" i="7"/>
  <c r="E5572" i="7" s="1"/>
  <c r="D5221" i="7"/>
  <c r="E5221" i="7" s="1"/>
  <c r="D4781" i="7"/>
  <c r="E4781" i="7" s="1"/>
  <c r="D4472" i="7"/>
  <c r="E4472" i="7" s="1"/>
  <c r="D4997" i="7"/>
  <c r="E4997" i="7" s="1"/>
  <c r="D3908" i="7"/>
  <c r="E3908" i="7" s="1"/>
  <c r="D3413" i="7"/>
  <c r="E3413" i="7" s="1"/>
  <c r="D5108" i="7"/>
  <c r="E5108" i="7" s="1"/>
  <c r="D4276" i="7"/>
  <c r="E4276" i="7" s="1"/>
  <c r="D4373" i="7"/>
  <c r="E4373" i="7" s="1"/>
  <c r="D4181" i="7"/>
  <c r="E4181" i="7" s="1"/>
  <c r="D4676" i="7"/>
  <c r="E4676" i="7" s="1"/>
  <c r="D5336" i="7"/>
  <c r="E5336" i="7" s="1"/>
  <c r="D4088" i="7"/>
  <c r="E4088" i="7" s="1"/>
  <c r="D2817" i="7"/>
  <c r="E2817" i="7" s="1"/>
  <c r="D2960" i="7"/>
  <c r="E2960" i="7" s="1"/>
  <c r="D3736" i="7"/>
  <c r="E3736" i="7" s="1"/>
  <c r="D3532" i="7"/>
  <c r="E3532" i="7" s="1"/>
  <c r="D3572" i="7"/>
  <c r="E3572" i="7" s="1"/>
  <c r="D3070" i="7"/>
  <c r="E3070" i="7" s="1"/>
  <c r="D3821" i="7"/>
  <c r="E3821" i="7" s="1"/>
  <c r="D3997" i="7"/>
  <c r="E3997" i="7" s="1"/>
  <c r="D3258" i="7"/>
  <c r="E3258" i="7" s="1"/>
  <c r="D2543" i="7"/>
  <c r="E2543" i="7" s="1"/>
  <c r="D2644" i="7"/>
  <c r="E2644" i="7" s="1"/>
  <c r="D3374" i="7"/>
  <c r="E3374" i="7" s="1"/>
  <c r="D3220" i="7"/>
  <c r="E3220" i="7" s="1"/>
  <c r="D2924" i="7"/>
  <c r="E2924" i="7" s="1"/>
  <c r="D2782" i="7"/>
  <c r="E2782" i="7" s="1"/>
  <c r="D3653" i="7"/>
  <c r="E3653" i="7" s="1"/>
  <c r="D3107" i="7"/>
  <c r="E3107" i="7" s="1"/>
  <c r="D1366" i="7"/>
  <c r="E1366" i="7" s="1"/>
  <c r="D2412" i="7"/>
  <c r="E2412" i="7" s="1"/>
  <c r="D2014" i="7"/>
  <c r="E2014" i="7" s="1"/>
  <c r="D2678" i="7"/>
  <c r="E2678" i="7" s="1"/>
  <c r="D1603" i="7"/>
  <c r="E1603" i="7" s="1"/>
  <c r="D2380" i="7"/>
  <c r="E2380" i="7" s="1"/>
  <c r="D2254" i="7"/>
  <c r="E2254" i="7" s="1"/>
  <c r="D1409" i="7"/>
  <c r="E1409" i="7" s="1"/>
  <c r="D362" i="7"/>
  <c r="E362" i="7" s="1"/>
  <c r="D1508" i="7"/>
  <c r="E1508" i="7" s="1"/>
  <c r="D827" i="7"/>
  <c r="E827" i="7" s="1"/>
  <c r="D1713" i="7"/>
  <c r="E1713" i="7" s="1"/>
  <c r="D2132" i="7"/>
  <c r="E2132" i="7" s="1"/>
  <c r="D2510" i="7"/>
  <c r="E2510" i="7" s="1"/>
  <c r="D1764" i="7"/>
  <c r="E1764" i="7" s="1"/>
  <c r="D964" i="7"/>
  <c r="E964" i="7" s="1"/>
  <c r="D1473" i="7"/>
  <c r="E1473" i="7" s="1"/>
  <c r="D1817" i="7"/>
  <c r="E1817" i="7" s="1"/>
  <c r="D1154" i="7"/>
  <c r="E1154" i="7" s="1"/>
  <c r="D818" i="7"/>
  <c r="E818" i="7" s="1"/>
  <c r="D585" i="7"/>
  <c r="E585" i="7" s="1"/>
  <c r="D1545" i="7"/>
  <c r="E1545" i="7" s="1"/>
  <c r="D1256" i="7"/>
  <c r="E1256" i="7" s="1"/>
  <c r="D1623" i="7"/>
  <c r="E1623" i="7" s="1"/>
  <c r="D1900" i="7"/>
  <c r="E1900" i="7" s="1"/>
  <c r="D2162" i="7"/>
  <c r="E2162" i="7" s="1"/>
  <c r="D1928" i="7"/>
  <c r="E1928" i="7" s="1"/>
  <c r="D2043" i="7"/>
  <c r="E2043" i="7" s="1"/>
  <c r="D2285" i="7"/>
  <c r="E2285" i="7" s="1"/>
  <c r="D695" i="7"/>
  <c r="E695" i="7" s="1"/>
  <c r="D1060" i="7"/>
  <c r="E1060" i="7" s="1"/>
  <c r="D367" i="7"/>
  <c r="E367" i="7" s="1"/>
  <c r="D252" i="7"/>
  <c r="E252" i="7" s="1"/>
  <c r="D490" i="7"/>
  <c r="E490" i="7" s="1"/>
  <c r="D1440" i="7"/>
  <c r="E1440" i="7" s="1"/>
  <c r="D248" i="7"/>
  <c r="E248" i="7" s="1"/>
  <c r="D484" i="7"/>
  <c r="E484" i="7" s="1"/>
  <c r="D1564" i="7"/>
  <c r="E1564" i="7" s="1"/>
  <c r="D1666" i="7"/>
  <c r="E1666" i="7" s="1"/>
  <c r="D775" i="7"/>
  <c r="E775" i="7" s="1"/>
  <c r="D916" i="7"/>
  <c r="E916" i="7" s="1"/>
  <c r="D657" i="7"/>
  <c r="E657" i="7" s="1"/>
  <c r="D1326" i="7"/>
  <c r="E1326" i="7" s="1"/>
  <c r="D1219" i="7"/>
  <c r="E1219" i="7" s="1"/>
  <c r="D552" i="7"/>
  <c r="E552" i="7" s="1"/>
  <c r="D766" i="7"/>
  <c r="E766" i="7" s="1"/>
  <c r="D2225" i="7"/>
  <c r="E2225" i="7" s="1"/>
  <c r="D649" i="7"/>
  <c r="E649" i="7" s="1"/>
  <c r="D432" i="7"/>
  <c r="E432" i="7" s="1"/>
  <c r="D906" i="7"/>
  <c r="E906" i="7" s="1"/>
  <c r="D1029" i="7"/>
  <c r="E1029" i="7" s="1"/>
  <c r="D1120" i="7"/>
  <c r="E1120" i="7" s="1"/>
  <c r="D5429" i="7"/>
  <c r="E5429" i="7" s="1"/>
  <c r="D4869" i="7"/>
  <c r="E4869" i="7" s="1"/>
  <c r="D4659" i="7"/>
  <c r="E4659" i="7" s="1"/>
  <c r="D5313" i="7"/>
  <c r="E5313" i="7" s="1"/>
  <c r="D5547" i="7"/>
  <c r="E5547" i="7" s="1"/>
  <c r="D3527" i="7"/>
  <c r="E3527" i="7" s="1"/>
  <c r="D4359" i="7"/>
  <c r="E4359" i="7" s="1"/>
  <c r="D4263" i="7"/>
  <c r="E4263" i="7" s="1"/>
  <c r="D4169" i="7"/>
  <c r="E4169" i="7" s="1"/>
  <c r="D4763" i="7"/>
  <c r="E4763" i="7" s="1"/>
  <c r="D4457" i="7"/>
  <c r="E4457" i="7" s="1"/>
  <c r="D4977" i="7"/>
  <c r="E4977" i="7" s="1"/>
  <c r="D5087" i="7"/>
  <c r="E5087" i="7" s="1"/>
  <c r="D3987" i="7"/>
  <c r="E3987" i="7" s="1"/>
  <c r="D3647" i="7"/>
  <c r="E3647" i="7" s="1"/>
  <c r="D5199" i="7"/>
  <c r="E5199" i="7" s="1"/>
  <c r="D3487" i="7"/>
  <c r="E3487" i="7" s="1"/>
  <c r="D3899" i="7"/>
  <c r="E3899" i="7" s="1"/>
  <c r="D3729" i="7"/>
  <c r="E3729" i="7" s="1"/>
  <c r="D3370" i="7"/>
  <c r="E3370" i="7" s="1"/>
  <c r="D3331" i="7"/>
  <c r="E3331" i="7" s="1"/>
  <c r="D4557" i="7"/>
  <c r="E4557" i="7" s="1"/>
  <c r="D3813" i="7"/>
  <c r="E3813" i="7" s="1"/>
  <c r="D4077" i="7"/>
  <c r="E4077" i="7" s="1"/>
  <c r="D10" i="7"/>
  <c r="E10" i="7" s="1"/>
  <c r="L10" i="2" s="1"/>
  <c r="D45" i="7"/>
  <c r="E45" i="7" s="1"/>
  <c r="L37" i="2" s="1"/>
  <c r="D111" i="7"/>
  <c r="E111" i="7" s="1"/>
  <c r="D205" i="7"/>
  <c r="E205" i="7" s="1"/>
  <c r="D437" i="7"/>
  <c r="E437" i="7" s="1"/>
  <c r="D1093" i="7"/>
  <c r="E1093" i="7" s="1"/>
  <c r="D296" i="7"/>
  <c r="E296" i="7" s="1"/>
  <c r="D411" i="7"/>
  <c r="E411" i="7" s="1"/>
  <c r="D873" i="7"/>
  <c r="E873" i="7" s="1"/>
  <c r="D1295" i="7"/>
  <c r="E1295" i="7" s="1"/>
  <c r="D106" i="7"/>
  <c r="E106" i="7" s="1"/>
  <c r="D745" i="7"/>
  <c r="E745" i="7" s="1"/>
  <c r="D291" i="7"/>
  <c r="E291" i="7" s="1"/>
  <c r="D622" i="7"/>
  <c r="E622" i="7" s="1"/>
  <c r="D405" i="7"/>
  <c r="E405" i="7" s="1"/>
  <c r="D191" i="7"/>
  <c r="E191" i="7" s="1"/>
  <c r="D736" i="7"/>
  <c r="E736" i="7" s="1"/>
  <c r="D614" i="7"/>
  <c r="E614" i="7" s="1"/>
  <c r="D528" i="7"/>
  <c r="E528" i="7" s="1"/>
  <c r="D1190" i="7"/>
  <c r="E1190" i="7" s="1"/>
  <c r="D187" i="7"/>
  <c r="E187" i="7" s="1"/>
  <c r="D1004" i="7"/>
  <c r="E1004" i="7" s="1"/>
  <c r="D845" i="7"/>
  <c r="E845" i="7" s="1"/>
  <c r="D592" i="7"/>
  <c r="E592" i="7" s="1"/>
  <c r="D377" i="7"/>
  <c r="E377" i="7" s="1"/>
  <c r="D836" i="7"/>
  <c r="E836" i="7" s="1"/>
  <c r="D1380" i="7"/>
  <c r="E1380" i="7" s="1"/>
  <c r="D1269" i="7"/>
  <c r="E1269" i="7" s="1"/>
  <c r="D496" i="7"/>
  <c r="E496" i="7" s="1"/>
  <c r="D1166" i="7"/>
  <c r="E1166" i="7" s="1"/>
  <c r="D711" i="7"/>
  <c r="E711" i="7" s="1"/>
  <c r="D984" i="7"/>
  <c r="E984" i="7" s="1"/>
  <c r="D264" i="7"/>
  <c r="E264" i="7" s="1"/>
  <c r="D1071" i="7"/>
  <c r="E1071" i="7" s="1"/>
  <c r="D5348" i="7"/>
  <c r="E5348" i="7" s="1"/>
  <c r="D5465" i="7"/>
  <c r="E5465" i="7" s="1"/>
  <c r="D5584" i="7"/>
  <c r="E5584" i="7" s="1"/>
  <c r="D4585" i="7"/>
  <c r="E4585" i="7" s="1"/>
  <c r="D4793" i="7"/>
  <c r="E4793" i="7" s="1"/>
  <c r="D5009" i="7"/>
  <c r="E5009" i="7" s="1"/>
  <c r="D5120" i="7"/>
  <c r="E5120" i="7" s="1"/>
  <c r="D4484" i="7"/>
  <c r="E4484" i="7" s="1"/>
  <c r="D4688" i="7"/>
  <c r="E4688" i="7" s="1"/>
  <c r="D4900" i="7"/>
  <c r="E4900" i="7" s="1"/>
  <c r="D3425" i="7"/>
  <c r="E3425" i="7" s="1"/>
  <c r="D3920" i="7"/>
  <c r="E3920" i="7" s="1"/>
  <c r="D3584" i="7"/>
  <c r="E3584" i="7" s="1"/>
  <c r="D5233" i="7"/>
  <c r="E5233" i="7" s="1"/>
  <c r="D3833" i="7"/>
  <c r="E3833" i="7" s="1"/>
  <c r="D3665" i="7"/>
  <c r="E3665" i="7" s="1"/>
  <c r="D3270" i="7"/>
  <c r="E3270" i="7" s="1"/>
  <c r="D4100" i="7"/>
  <c r="E4100" i="7" s="1"/>
  <c r="D4385" i="7"/>
  <c r="E4385" i="7" s="1"/>
  <c r="D4009" i="7"/>
  <c r="E4009" i="7" s="1"/>
  <c r="D4193" i="7"/>
  <c r="E4193" i="7" s="1"/>
  <c r="D3748" i="7"/>
  <c r="E3748" i="7" s="1"/>
  <c r="D3386" i="7"/>
  <c r="E3386" i="7" s="1"/>
  <c r="D2424" i="7"/>
  <c r="E2424" i="7" s="1"/>
  <c r="D3119" i="7"/>
  <c r="E3119" i="7" s="1"/>
  <c r="D2829" i="7"/>
  <c r="E2829" i="7" s="1"/>
  <c r="D2972" i="7"/>
  <c r="E2972" i="7" s="1"/>
  <c r="D3544" i="7"/>
  <c r="E3544" i="7" s="1"/>
  <c r="D4288" i="7"/>
  <c r="E4288" i="7" s="1"/>
  <c r="D2656" i="7"/>
  <c r="E2656" i="7" s="1"/>
  <c r="D2690" i="7"/>
  <c r="E2690" i="7" s="1"/>
  <c r="D2555" i="7"/>
  <c r="E2555" i="7" s="1"/>
  <c r="D2392" i="7"/>
  <c r="E2392" i="7" s="1"/>
  <c r="D1576" i="7"/>
  <c r="E1576" i="7" s="1"/>
  <c r="D1452" i="7"/>
  <c r="E1452" i="7" s="1"/>
  <c r="D2055" i="7"/>
  <c r="E2055" i="7" s="1"/>
  <c r="D1557" i="7"/>
  <c r="E1557" i="7" s="1"/>
  <c r="D2794" i="7"/>
  <c r="E2794" i="7" s="1"/>
  <c r="D1912" i="7"/>
  <c r="E1912" i="7" s="1"/>
  <c r="D1520" i="7"/>
  <c r="E1520" i="7" s="1"/>
  <c r="D1485" i="7"/>
  <c r="E1485" i="7" s="1"/>
  <c r="D2174" i="7"/>
  <c r="E2174" i="7" s="1"/>
  <c r="D3082" i="7"/>
  <c r="E3082" i="7" s="1"/>
  <c r="D2936" i="7"/>
  <c r="E2936" i="7" s="1"/>
  <c r="D2522" i="7"/>
  <c r="E2522" i="7" s="1"/>
  <c r="D2297" i="7"/>
  <c r="E2297" i="7" s="1"/>
  <c r="D2026" i="7"/>
  <c r="E2026" i="7" s="1"/>
  <c r="D3232" i="7"/>
  <c r="E3232" i="7" s="1"/>
  <c r="D1829" i="7"/>
  <c r="E1829" i="7" s="1"/>
  <c r="D1635" i="7"/>
  <c r="E1635" i="7" s="1"/>
  <c r="D2266" i="7"/>
  <c r="E2266" i="7" s="1"/>
  <c r="D1678" i="7"/>
  <c r="E1678" i="7" s="1"/>
  <c r="D1940" i="7"/>
  <c r="E1940" i="7" s="1"/>
  <c r="D1725" i="7"/>
  <c r="E1725" i="7" s="1"/>
  <c r="D2144" i="7"/>
  <c r="E2144" i="7" s="1"/>
  <c r="D1776" i="7"/>
  <c r="E1776" i="7" s="1"/>
  <c r="D1615" i="7"/>
  <c r="E1615" i="7" s="1"/>
  <c r="D161" i="7"/>
  <c r="E161" i="7" s="1"/>
  <c r="D503" i="7"/>
  <c r="E503" i="7" s="1"/>
  <c r="D753" i="7"/>
  <c r="E753" i="7" s="1"/>
  <c r="D5511" i="7"/>
  <c r="E5511" i="7" s="1"/>
  <c r="D4833" i="7"/>
  <c r="E4833" i="7" s="1"/>
  <c r="D5163" i="7"/>
  <c r="E5163" i="7" s="1"/>
  <c r="D5393" i="7"/>
  <c r="E5393" i="7" s="1"/>
  <c r="D4623" i="7"/>
  <c r="E4623" i="7" s="1"/>
  <c r="D5051" i="7"/>
  <c r="E5051" i="7" s="1"/>
  <c r="D4941" i="7"/>
  <c r="E4941" i="7" s="1"/>
  <c r="D5277" i="7"/>
  <c r="E5277" i="7" s="1"/>
  <c r="D4227" i="7"/>
  <c r="E4227" i="7" s="1"/>
  <c r="D4421" i="7"/>
  <c r="E4421" i="7" s="1"/>
  <c r="D3143" i="7"/>
  <c r="E3143" i="7" s="1"/>
  <c r="D3334" i="7"/>
  <c r="E3334" i="7" s="1"/>
  <c r="D4133" i="7"/>
  <c r="E4133" i="7" s="1"/>
  <c r="D4521" i="7"/>
  <c r="E4521" i="7" s="1"/>
  <c r="D4727" i="7"/>
  <c r="E4727" i="7" s="1"/>
  <c r="D3693" i="7"/>
  <c r="E3693" i="7" s="1"/>
  <c r="D3181" i="7"/>
  <c r="E3181" i="7" s="1"/>
  <c r="D3491" i="7"/>
  <c r="E3491" i="7" s="1"/>
  <c r="D4041" i="7"/>
  <c r="E4041" i="7" s="1"/>
  <c r="D4323" i="7"/>
  <c r="E4323" i="7" s="1"/>
  <c r="D3777" i="7"/>
  <c r="E3777" i="7" s="1"/>
  <c r="D3951" i="7"/>
  <c r="E3951" i="7" s="1"/>
  <c r="D3611" i="7"/>
  <c r="E3611" i="7" s="1"/>
  <c r="D3863" i="7"/>
  <c r="E3863" i="7" s="1"/>
  <c r="D2851" i="7"/>
  <c r="E2851" i="7" s="1"/>
  <c r="D2575" i="7"/>
  <c r="E2575" i="7" s="1"/>
  <c r="D2887" i="7"/>
  <c r="E2887" i="7" s="1"/>
  <c r="D3451" i="7"/>
  <c r="E3451" i="7" s="1"/>
  <c r="D2995" i="7"/>
  <c r="E2995" i="7" s="1"/>
  <c r="D2711" i="7"/>
  <c r="E2711" i="7" s="1"/>
  <c r="D2746" i="7"/>
  <c r="E2746" i="7" s="1"/>
  <c r="D3295" i="7"/>
  <c r="E3295" i="7" s="1"/>
  <c r="D2347" i="7"/>
  <c r="E2347" i="7" s="1"/>
  <c r="D1955" i="7"/>
  <c r="E1955" i="7" s="1"/>
  <c r="D2071" i="7"/>
  <c r="E2071" i="7" s="1"/>
  <c r="D2476" i="7"/>
  <c r="E2476" i="7" s="1"/>
  <c r="D2191" i="7"/>
  <c r="E2191" i="7" s="1"/>
  <c r="D2315" i="7"/>
  <c r="E2315" i="7" s="1"/>
  <c r="D1984" i="7"/>
  <c r="E1984" i="7" s="1"/>
  <c r="D2609" i="7"/>
  <c r="E2609" i="7" s="1"/>
  <c r="D1309" i="7"/>
  <c r="E1309" i="7" s="1"/>
  <c r="D1582" i="7"/>
  <c r="E1582" i="7" s="1"/>
  <c r="D1203" i="7"/>
  <c r="E1203" i="7" s="1"/>
  <c r="D1688" i="7"/>
  <c r="E1688" i="7" s="1"/>
  <c r="D195" i="7"/>
  <c r="E195" i="7" s="1"/>
  <c r="D3032" i="7"/>
  <c r="E3032" i="7" s="1"/>
  <c r="D1455" i="7"/>
  <c r="E1455" i="7" s="1"/>
  <c r="D1737" i="7"/>
  <c r="E1737" i="7" s="1"/>
  <c r="D1525" i="7"/>
  <c r="E1525" i="7" s="1"/>
  <c r="D1789" i="7"/>
  <c r="E1789" i="7" s="1"/>
  <c r="D1843" i="7"/>
  <c r="E1843" i="7" s="1"/>
  <c r="D1871" i="7"/>
  <c r="E1871" i="7" s="1"/>
  <c r="D1423" i="7"/>
  <c r="E1423" i="7" s="1"/>
  <c r="D2443" i="7"/>
  <c r="E2443" i="7" s="1"/>
  <c r="D2101" i="7"/>
  <c r="E2101" i="7" s="1"/>
  <c r="D1393" i="7"/>
  <c r="E1393" i="7" s="1"/>
  <c r="D311" i="7"/>
  <c r="E311" i="7" s="1"/>
  <c r="D199" i="7"/>
  <c r="E199" i="7" s="1"/>
  <c r="D535" i="7"/>
  <c r="E535" i="7" s="1"/>
  <c r="D306" i="7"/>
  <c r="E306" i="7" s="1"/>
  <c r="D423" i="7"/>
  <c r="E423" i="7" s="1"/>
  <c r="D638" i="7"/>
  <c r="E638" i="7" s="1"/>
  <c r="D1015" i="7"/>
  <c r="E1015" i="7" s="1"/>
  <c r="D893" i="7"/>
  <c r="E893" i="7" s="1"/>
  <c r="D115" i="7"/>
  <c r="E115" i="7" s="1"/>
  <c r="D1489" i="7"/>
  <c r="E1489" i="7" s="1"/>
  <c r="D301" i="7"/>
  <c r="E301" i="7" s="1"/>
  <c r="D112" i="7"/>
  <c r="E112" i="7" s="1"/>
  <c r="D1105" i="7"/>
  <c r="E1105" i="7" s="1"/>
  <c r="D1643" i="7"/>
  <c r="E1643" i="7" s="1"/>
  <c r="D1042" i="7"/>
  <c r="E1042" i="7" s="1"/>
  <c r="D675" i="7"/>
  <c r="E675" i="7" s="1"/>
  <c r="D1342" i="7"/>
  <c r="E1342" i="7" s="1"/>
  <c r="D928" i="7"/>
  <c r="E928" i="7" s="1"/>
  <c r="D1134" i="7"/>
  <c r="E1134" i="7" s="1"/>
  <c r="D1234" i="7"/>
  <c r="E1234" i="7" s="1"/>
  <c r="D938" i="7"/>
  <c r="E938" i="7" s="1"/>
  <c r="D795" i="7"/>
  <c r="E795" i="7" s="1"/>
  <c r="D667" i="7"/>
  <c r="E667" i="7" s="1"/>
  <c r="D786" i="7"/>
  <c r="E786" i="7" s="1"/>
  <c r="D990" i="7"/>
  <c r="E990" i="7" s="1"/>
  <c r="D1386" i="7"/>
  <c r="E1386" i="7" s="1"/>
  <c r="D1077" i="7"/>
  <c r="E1077" i="7" s="1"/>
  <c r="D980" i="7"/>
  <c r="E980" i="7" s="1"/>
  <c r="D1172" i="7"/>
  <c r="E1172" i="7" s="1"/>
  <c r="D1275" i="7"/>
  <c r="E1275" i="7" s="1"/>
  <c r="D5287" i="7"/>
  <c r="E5287" i="7" s="1"/>
  <c r="D5403" i="7"/>
  <c r="E5403" i="7" s="1"/>
  <c r="D5521" i="7"/>
  <c r="E5521" i="7" s="1"/>
  <c r="D4951" i="7"/>
  <c r="E4951" i="7" s="1"/>
  <c r="D3961" i="7"/>
  <c r="E3961" i="7" s="1"/>
  <c r="D3191" i="7"/>
  <c r="E3191" i="7" s="1"/>
  <c r="D4737" i="7"/>
  <c r="E4737" i="7" s="1"/>
  <c r="D3461" i="7"/>
  <c r="E3461" i="7" s="1"/>
  <c r="D5173" i="7"/>
  <c r="E5173" i="7" s="1"/>
  <c r="D4633" i="7"/>
  <c r="E4633" i="7" s="1"/>
  <c r="D4237" i="7"/>
  <c r="E4237" i="7" s="1"/>
  <c r="D4431" i="7"/>
  <c r="E4431" i="7" s="1"/>
  <c r="D4333" i="7"/>
  <c r="E4333" i="7" s="1"/>
  <c r="D4843" i="7"/>
  <c r="E4843" i="7" s="1"/>
  <c r="D5061" i="7"/>
  <c r="E5061" i="7" s="1"/>
  <c r="D3787" i="7"/>
  <c r="E3787" i="7" s="1"/>
  <c r="D2897" i="7"/>
  <c r="E2897" i="7" s="1"/>
  <c r="D2721" i="7"/>
  <c r="E2721" i="7" s="1"/>
  <c r="D3305" i="7"/>
  <c r="E3305" i="7" s="1"/>
  <c r="D3621" i="7"/>
  <c r="E3621" i="7" s="1"/>
  <c r="D3042" i="7"/>
  <c r="E3042" i="7" s="1"/>
  <c r="D4531" i="7"/>
  <c r="E4531" i="7" s="1"/>
  <c r="D3873" i="7"/>
  <c r="E3873" i="7" s="1"/>
  <c r="D3703" i="7"/>
  <c r="E3703" i="7" s="1"/>
  <c r="D4143" i="7"/>
  <c r="E4143" i="7" s="1"/>
  <c r="D4051" i="7"/>
  <c r="E4051" i="7" s="1"/>
  <c r="D2756" i="7"/>
  <c r="E2756" i="7" s="1"/>
  <c r="D3501" i="7"/>
  <c r="E3501" i="7" s="1"/>
  <c r="D2081" i="7"/>
  <c r="E2081" i="7" s="1"/>
  <c r="D3344" i="7"/>
  <c r="E3344" i="7" s="1"/>
  <c r="D2861" i="7"/>
  <c r="E2861" i="7" s="1"/>
  <c r="D1213" i="7"/>
  <c r="E1213" i="7" s="1"/>
  <c r="D1994" i="7"/>
  <c r="E1994" i="7" s="1"/>
  <c r="D1698" i="7"/>
  <c r="E1698" i="7" s="1"/>
  <c r="D2325" i="7"/>
  <c r="E2325" i="7" s="1"/>
  <c r="D1592" i="7"/>
  <c r="E1592" i="7" s="1"/>
  <c r="D2111" i="7"/>
  <c r="E2111" i="7" s="1"/>
  <c r="D2453" i="7"/>
  <c r="E2453" i="7" s="1"/>
  <c r="D3005" i="7"/>
  <c r="E3005" i="7" s="1"/>
  <c r="D1799" i="7"/>
  <c r="E1799" i="7" s="1"/>
  <c r="D2619" i="7"/>
  <c r="E2619" i="7" s="1"/>
  <c r="D3153" i="7"/>
  <c r="E3153" i="7" s="1"/>
  <c r="D1965" i="7"/>
  <c r="E1965" i="7" s="1"/>
  <c r="D2585" i="7"/>
  <c r="E2585" i="7" s="1"/>
  <c r="D1433" i="7"/>
  <c r="E1433" i="7" s="1"/>
  <c r="D1853" i="7"/>
  <c r="E1853" i="7" s="1"/>
  <c r="D2201" i="7"/>
  <c r="E2201" i="7" s="1"/>
  <c r="D1881" i="7"/>
  <c r="E1881" i="7" s="1"/>
  <c r="D1499" i="7"/>
  <c r="E1499" i="7" s="1"/>
  <c r="D1653" i="7"/>
  <c r="E1653" i="7" s="1"/>
  <c r="D2486" i="7"/>
  <c r="E2486" i="7" s="1"/>
  <c r="D1403" i="7"/>
  <c r="E1403" i="7" s="1"/>
  <c r="D1319" i="7"/>
  <c r="E1319" i="7" s="1"/>
  <c r="D2357" i="7"/>
  <c r="E2357" i="7" s="1"/>
  <c r="D1747" i="7"/>
  <c r="E1747" i="7" s="1"/>
  <c r="D1535" i="7"/>
  <c r="E1535" i="7" s="1"/>
  <c r="D1465" i="7"/>
  <c r="E1465" i="7" s="1"/>
  <c r="D5190" i="7"/>
  <c r="E5190" i="7" s="1"/>
  <c r="D4350" i="7"/>
  <c r="E4350" i="7" s="1"/>
  <c r="D5304" i="7"/>
  <c r="E5304" i="7" s="1"/>
  <c r="D5538" i="7"/>
  <c r="E5538" i="7" s="1"/>
  <c r="D5420" i="7"/>
  <c r="E5420" i="7" s="1"/>
  <c r="D4548" i="7"/>
  <c r="E4548" i="7" s="1"/>
  <c r="D4968" i="7"/>
  <c r="E4968" i="7" s="1"/>
  <c r="D5078" i="7"/>
  <c r="E5078" i="7" s="1"/>
  <c r="D4754" i="7"/>
  <c r="E4754" i="7" s="1"/>
  <c r="D4860" i="7"/>
  <c r="E4860" i="7" s="1"/>
  <c r="D3978" i="7"/>
  <c r="E3978" i="7" s="1"/>
  <c r="D3478" i="7"/>
  <c r="E3478" i="7" s="1"/>
  <c r="D3638" i="7"/>
  <c r="E3638" i="7" s="1"/>
  <c r="D4254" i="7"/>
  <c r="E4254" i="7" s="1"/>
  <c r="D4650" i="7"/>
  <c r="E4650" i="7" s="1"/>
  <c r="D3322" i="7"/>
  <c r="E3322" i="7" s="1"/>
  <c r="D3059" i="7"/>
  <c r="E3059" i="7" s="1"/>
  <c r="D4448" i="7"/>
  <c r="E4448" i="7" s="1"/>
  <c r="D4068" i="7"/>
  <c r="E4068" i="7" s="1"/>
  <c r="D3804" i="7"/>
  <c r="E3804" i="7" s="1"/>
  <c r="D4160" i="7"/>
  <c r="E4160" i="7" s="1"/>
  <c r="D2738" i="7"/>
  <c r="E2738" i="7" s="1"/>
  <c r="D3022" i="7"/>
  <c r="E3022" i="7" s="1"/>
  <c r="D2773" i="7"/>
  <c r="E2773" i="7" s="1"/>
  <c r="D3170" i="7"/>
  <c r="E3170" i="7" s="1"/>
  <c r="D2878" i="7"/>
  <c r="E2878" i="7" s="1"/>
  <c r="D3890" i="7"/>
  <c r="E3890" i="7" s="1"/>
  <c r="D3720" i="7"/>
  <c r="E3720" i="7" s="1"/>
  <c r="D3361" i="7"/>
  <c r="E3361" i="7" s="1"/>
  <c r="D3518" i="7"/>
  <c r="E3518" i="7" s="1"/>
  <c r="D2602" i="7"/>
  <c r="E2602" i="7" s="1"/>
  <c r="D2218" i="7"/>
  <c r="E2218" i="7" s="1"/>
  <c r="D2503" i="7"/>
  <c r="E2503" i="7" s="1"/>
  <c r="D2342" i="7"/>
  <c r="E2342" i="7" s="1"/>
  <c r="D2128" i="7"/>
  <c r="E2128" i="7" s="1"/>
  <c r="D2470" i="7"/>
  <c r="E2470" i="7" s="1"/>
  <c r="D2914" i="7"/>
  <c r="E2914" i="7" s="1"/>
  <c r="D2636" i="7"/>
  <c r="E2636" i="7" s="1"/>
  <c r="D3208" i="7"/>
  <c r="E3208" i="7" s="1"/>
  <c r="D2374" i="7"/>
  <c r="E2374" i="7" s="1"/>
  <c r="D2098" i="7"/>
  <c r="E2098" i="7" s="1"/>
  <c r="D4608" i="7"/>
  <c r="E4608" i="7" s="1"/>
  <c r="D5371" i="7"/>
  <c r="E5371" i="7" s="1"/>
  <c r="D5143" i="7"/>
  <c r="E5143" i="7" s="1"/>
  <c r="D5607" i="7"/>
  <c r="E5607" i="7" s="1"/>
  <c r="D4123" i="7"/>
  <c r="E4123" i="7" s="1"/>
  <c r="D4816" i="7"/>
  <c r="E4816" i="7" s="1"/>
  <c r="D5488" i="7"/>
  <c r="E5488" i="7" s="1"/>
  <c r="D3607" i="7"/>
  <c r="E3607" i="7" s="1"/>
  <c r="D3943" i="7"/>
  <c r="E3943" i="7" s="1"/>
  <c r="D4711" i="7"/>
  <c r="E4711" i="7" s="1"/>
  <c r="D5032" i="7"/>
  <c r="E5032" i="7" s="1"/>
  <c r="D5256" i="7"/>
  <c r="E5256" i="7" s="1"/>
  <c r="D3409" i="7"/>
  <c r="E3409" i="7" s="1"/>
  <c r="D4311" i="7"/>
  <c r="E4311" i="7" s="1"/>
  <c r="D3567" i="7"/>
  <c r="E3567" i="7" s="1"/>
  <c r="D4216" i="7"/>
  <c r="E4216" i="7" s="1"/>
  <c r="D4408" i="7"/>
  <c r="E4408" i="7" s="1"/>
  <c r="D4923" i="7"/>
  <c r="E4923" i="7" s="1"/>
  <c r="D4507" i="7"/>
  <c r="E4507" i="7" s="1"/>
  <c r="D3856" i="7"/>
  <c r="E3856" i="7" s="1"/>
  <c r="D3688" i="7"/>
  <c r="E3688" i="7" s="1"/>
  <c r="D3448" i="7"/>
  <c r="E3448" i="7" s="1"/>
  <c r="D4032" i="7"/>
  <c r="E4032" i="7" s="1"/>
  <c r="D3771" i="7"/>
  <c r="E3771" i="7" s="1"/>
  <c r="D5153" i="7"/>
  <c r="E5153" i="7" s="1"/>
  <c r="D5617" i="7"/>
  <c r="E5617" i="7" s="1"/>
  <c r="D5381" i="7"/>
  <c r="E5381" i="7" s="1"/>
  <c r="D4721" i="7"/>
  <c r="E4721" i="7" s="1"/>
  <c r="D4418" i="7"/>
  <c r="E4418" i="7" s="1"/>
  <c r="D5042" i="7"/>
  <c r="E5042" i="7" s="1"/>
  <c r="D4933" i="7"/>
  <c r="E4933" i="7" s="1"/>
  <c r="D5498" i="7"/>
  <c r="E5498" i="7" s="1"/>
  <c r="D5266" i="7"/>
  <c r="E5266" i="7" s="1"/>
  <c r="D4826" i="7"/>
  <c r="E4826" i="7" s="1"/>
  <c r="D4517" i="7"/>
  <c r="E4517" i="7" s="1"/>
  <c r="D4618" i="7"/>
  <c r="E4618" i="7" s="1"/>
  <c r="D11" i="7"/>
  <c r="E11" i="7" s="1"/>
  <c r="L11" i="2" s="1"/>
  <c r="D83" i="7"/>
  <c r="E83" i="7" s="1"/>
  <c r="L56" i="2" s="1"/>
  <c r="D268" i="7"/>
  <c r="E268" i="7" s="1"/>
  <c r="D438" i="7"/>
  <c r="E438" i="7" s="1"/>
  <c r="D754" i="7"/>
  <c r="E754" i="7" s="1"/>
  <c r="D974" i="7"/>
  <c r="E974" i="7" s="1"/>
  <c r="D2222" i="7"/>
  <c r="E2222" i="7" s="1"/>
  <c r="D1026" i="7"/>
  <c r="E1026" i="7" s="1"/>
  <c r="D542" i="7"/>
  <c r="E542" i="7" s="1"/>
  <c r="D1323" i="7"/>
  <c r="E1323" i="7" s="1"/>
  <c r="D1117" i="7"/>
  <c r="E1117" i="7" s="1"/>
  <c r="D1216" i="7"/>
  <c r="E1216" i="7" s="1"/>
  <c r="D124" i="7"/>
  <c r="E124" i="7" s="1"/>
  <c r="D903" i="7"/>
  <c r="E903" i="7" s="1"/>
  <c r="D646" i="7"/>
  <c r="E646" i="7" s="1"/>
  <c r="D429" i="7"/>
  <c r="E429" i="7" s="1"/>
  <c r="D763" i="7"/>
  <c r="E763" i="7" s="1"/>
  <c r="D211" i="7"/>
  <c r="E211" i="7" s="1"/>
  <c r="D549" i="7"/>
  <c r="E549" i="7" s="1"/>
  <c r="D321" i="7"/>
  <c r="E321" i="7" s="1"/>
  <c r="D207" i="7"/>
  <c r="E207" i="7" s="1"/>
  <c r="D772" i="7"/>
  <c r="E772" i="7" s="1"/>
  <c r="D2232" i="7"/>
  <c r="E2232" i="7" s="1"/>
  <c r="D1226" i="7"/>
  <c r="E1226" i="7" s="1"/>
  <c r="D1333" i="7"/>
  <c r="E1333" i="7" s="1"/>
  <c r="D5210" i="7"/>
  <c r="E5210" i="7" s="1"/>
  <c r="D5324" i="7"/>
  <c r="E5324" i="7" s="1"/>
  <c r="D5558" i="7"/>
  <c r="E5558" i="7" s="1"/>
  <c r="D4988" i="7"/>
  <c r="E4988" i="7" s="1"/>
  <c r="D5098" i="7"/>
  <c r="E5098" i="7" s="1"/>
  <c r="D4774" i="7"/>
  <c r="E4774" i="7" s="1"/>
  <c r="D5440" i="7"/>
  <c r="E5440" i="7" s="1"/>
  <c r="D4568" i="7"/>
  <c r="E4568" i="7" s="1"/>
  <c r="D4880" i="7"/>
  <c r="E4880" i="7" s="1"/>
  <c r="D4670" i="7"/>
  <c r="E4670" i="7" s="1"/>
  <c r="D4468" i="7"/>
  <c r="E4468" i="7" s="1"/>
  <c r="D275" i="7"/>
  <c r="E275" i="7" s="1"/>
  <c r="D379" i="7"/>
  <c r="E379" i="7" s="1"/>
  <c r="D5450" i="7"/>
  <c r="E5450" i="7" s="1"/>
  <c r="D5569" i="7"/>
  <c r="E5569" i="7" s="1"/>
  <c r="D5105" i="7"/>
  <c r="E5105" i="7" s="1"/>
  <c r="D5218" i="7"/>
  <c r="E5218" i="7" s="1"/>
  <c r="D4994" i="7"/>
  <c r="E4994" i="7" s="1"/>
  <c r="D3255" i="7"/>
  <c r="E3255" i="7" s="1"/>
  <c r="D3994" i="7"/>
  <c r="E3994" i="7" s="1"/>
  <c r="D4570" i="7"/>
  <c r="E4570" i="7" s="1"/>
  <c r="D3733" i="7"/>
  <c r="E3733" i="7" s="1"/>
  <c r="D3569" i="7"/>
  <c r="E3569" i="7" s="1"/>
  <c r="D4273" i="7"/>
  <c r="E4273" i="7" s="1"/>
  <c r="D4370" i="7"/>
  <c r="E4370" i="7" s="1"/>
  <c r="D4885" i="7"/>
  <c r="E4885" i="7" s="1"/>
  <c r="D4778" i="7"/>
  <c r="E4778" i="7" s="1"/>
  <c r="D5333" i="7"/>
  <c r="E5333" i="7" s="1"/>
  <c r="L350" i="2" s="1"/>
  <c r="D4673" i="7"/>
  <c r="E4673" i="7" s="1"/>
  <c r="L338" i="2" s="1"/>
  <c r="D3217" i="7"/>
  <c r="E3217" i="7" s="1"/>
  <c r="D3905" i="7"/>
  <c r="E3905" i="7" s="1"/>
  <c r="D3410" i="7"/>
  <c r="E3410" i="7" s="1"/>
  <c r="D3529" i="7"/>
  <c r="E3529" i="7" s="1"/>
  <c r="D3371" i="7"/>
  <c r="E3371" i="7" s="1"/>
  <c r="D3104" i="7"/>
  <c r="E3104" i="7" s="1"/>
  <c r="D2921" i="7"/>
  <c r="E2921" i="7" s="1"/>
  <c r="D4085" i="7"/>
  <c r="E4085" i="7" s="1"/>
  <c r="D4178" i="7"/>
  <c r="E4178" i="7" s="1"/>
  <c r="D3650" i="7"/>
  <c r="E3650" i="7" s="1"/>
  <c r="D4469" i="7"/>
  <c r="E4469" i="7" s="1"/>
  <c r="D2507" i="7"/>
  <c r="E2507" i="7" s="1"/>
  <c r="D3067" i="7"/>
  <c r="E3067" i="7" s="1"/>
  <c r="D2675" i="7"/>
  <c r="E2675" i="7" s="1"/>
  <c r="D3818" i="7"/>
  <c r="E3818" i="7" s="1"/>
  <c r="D2957" i="7"/>
  <c r="E2957" i="7" s="1"/>
  <c r="D1505" i="7"/>
  <c r="E1505" i="7" s="1"/>
  <c r="D1470" i="7"/>
  <c r="E1470" i="7" s="1"/>
  <c r="D1663" i="7"/>
  <c r="E1663" i="7" s="1"/>
  <c r="D2282" i="7"/>
  <c r="E2282" i="7" s="1"/>
  <c r="D2011" i="7"/>
  <c r="E2011" i="7" s="1"/>
  <c r="D2409" i="7"/>
  <c r="E2409" i="7" s="1"/>
  <c r="D2779" i="7"/>
  <c r="E2779" i="7" s="1"/>
  <c r="D2129" i="7"/>
  <c r="E2129" i="7" s="1"/>
  <c r="D1710" i="7"/>
  <c r="E1710" i="7" s="1"/>
  <c r="D1925" i="7"/>
  <c r="E1925" i="7" s="1"/>
  <c r="D1761" i="7"/>
  <c r="E1761" i="7" s="1"/>
  <c r="D1620" i="7"/>
  <c r="E1620" i="7" s="1"/>
  <c r="D2814" i="7"/>
  <c r="E2814" i="7" s="1"/>
  <c r="D2251" i="7"/>
  <c r="E2251" i="7" s="1"/>
  <c r="D1814" i="7"/>
  <c r="E1814" i="7" s="1"/>
  <c r="L262" i="2" s="1"/>
  <c r="D2540" i="7"/>
  <c r="E2540" i="7" s="1"/>
  <c r="L286" i="2" s="1"/>
  <c r="D2641" i="7"/>
  <c r="E2641" i="7" s="1"/>
  <c r="D2377" i="7"/>
  <c r="E2377" i="7" s="1"/>
  <c r="D2040" i="7"/>
  <c r="E2040" i="7" s="1"/>
  <c r="D1437" i="7"/>
  <c r="E1437" i="7" s="1"/>
  <c r="D692" i="7"/>
  <c r="E692" i="7" s="1"/>
  <c r="D475" i="7"/>
  <c r="E475" i="7" s="1"/>
  <c r="D1600" i="7"/>
  <c r="E1600" i="7" s="1"/>
  <c r="D1363" i="7"/>
  <c r="E1363" i="7" s="1"/>
  <c r="D1406" i="7"/>
  <c r="E1406" i="7" s="1"/>
  <c r="D2159" i="7"/>
  <c r="E2159" i="7" s="1"/>
  <c r="D1897" i="7"/>
  <c r="E1897" i="7" s="1"/>
  <c r="D1561" i="7"/>
  <c r="E1561" i="7" s="1"/>
  <c r="D824" i="7"/>
  <c r="E824" i="7" s="1"/>
  <c r="D1253" i="7"/>
  <c r="E1253" i="7" s="1"/>
  <c r="D253" i="7"/>
  <c r="E253" i="7" s="1"/>
  <c r="D1057" i="7"/>
  <c r="E1057" i="7" s="1"/>
  <c r="D961" i="7"/>
  <c r="E961" i="7" s="1"/>
  <c r="D815" i="7"/>
  <c r="E815" i="7" s="1"/>
  <c r="D364" i="7"/>
  <c r="E364" i="7" s="1"/>
  <c r="D249" i="7"/>
  <c r="E249" i="7" s="1"/>
  <c r="D487" i="7"/>
  <c r="E487" i="7" s="1"/>
  <c r="D25" i="7"/>
  <c r="E25" i="7" s="1"/>
  <c r="L25" i="2" s="1"/>
  <c r="D24" i="7"/>
  <c r="E24" i="7" s="1"/>
  <c r="L24" i="2" s="1"/>
  <c r="D359" i="7"/>
  <c r="E359" i="7" s="1"/>
  <c r="D245" i="7"/>
  <c r="E245" i="7" s="1"/>
  <c r="D1151" i="7"/>
  <c r="E1151" i="7" s="1"/>
  <c r="D23" i="7"/>
  <c r="E23" i="7" s="1"/>
  <c r="L23" i="2" s="1"/>
  <c r="D215" i="7"/>
  <c r="E215" i="7" s="1"/>
  <c r="D326" i="7"/>
  <c r="E326" i="7" s="1"/>
  <c r="D441" i="7"/>
  <c r="E441" i="7" s="1"/>
  <c r="D1179" i="7"/>
  <c r="E1179" i="7" s="1"/>
  <c r="D395" i="7"/>
  <c r="E395" i="7" s="1"/>
  <c r="D608" i="7"/>
  <c r="E608" i="7" s="1"/>
  <c r="D509" i="7"/>
  <c r="E509" i="7" s="1"/>
  <c r="D1083" i="7"/>
  <c r="E1083" i="7" s="1"/>
  <c r="D855" i="7"/>
  <c r="E855" i="7" s="1"/>
  <c r="D720" i="7"/>
  <c r="E720" i="7" s="1"/>
  <c r="D516" i="7"/>
  <c r="E516" i="7" s="1"/>
  <c r="D389" i="7"/>
  <c r="E389" i="7" s="1"/>
  <c r="D600" i="7"/>
  <c r="E600" i="7" s="1"/>
  <c r="D995" i="7"/>
  <c r="E995" i="7" s="1"/>
  <c r="D865" i="7"/>
  <c r="E865" i="7" s="1"/>
  <c r="D283" i="7"/>
  <c r="E283" i="7" s="1"/>
  <c r="D1283" i="7"/>
  <c r="E1283" i="7" s="1"/>
  <c r="D559" i="7"/>
  <c r="E559" i="7" s="1"/>
  <c r="D673" i="7"/>
  <c r="E673" i="7" s="1"/>
  <c r="D784" i="7"/>
  <c r="E784" i="7" s="1"/>
  <c r="D1340" i="7"/>
  <c r="E1340" i="7" s="1"/>
  <c r="D926" i="7"/>
  <c r="E926" i="7" s="1"/>
  <c r="D1132" i="7"/>
  <c r="E1132" i="7" s="1"/>
  <c r="D936" i="7"/>
  <c r="E936" i="7" s="1"/>
  <c r="D450" i="7"/>
  <c r="E450" i="7" s="1"/>
  <c r="D793" i="7"/>
  <c r="E793" i="7" s="1"/>
  <c r="D665" i="7"/>
  <c r="E665" i="7" s="1"/>
  <c r="D1232" i="7"/>
  <c r="E1232" i="7" s="1"/>
  <c r="D1040" i="7"/>
  <c r="E1040" i="7" s="1"/>
  <c r="D1247" i="7"/>
  <c r="E1247" i="7" s="1"/>
  <c r="D1146" i="7"/>
  <c r="E1146" i="7" s="1"/>
  <c r="D691" i="7"/>
  <c r="E691" i="7" s="1"/>
  <c r="D1053" i="7"/>
  <c r="E1053" i="7" s="1"/>
  <c r="D958" i="7"/>
  <c r="E958" i="7" s="1"/>
  <c r="D813" i="7"/>
  <c r="E813" i="7" s="1"/>
  <c r="D1356" i="7"/>
  <c r="E1356" i="7" s="1"/>
  <c r="D683" i="7"/>
  <c r="E683" i="7" s="1"/>
  <c r="D948" i="7"/>
  <c r="E948" i="7" s="1"/>
  <c r="D804" i="7"/>
  <c r="E804" i="7" s="1"/>
  <c r="D1185" i="7"/>
  <c r="E1185" i="7" s="1"/>
  <c r="D1001" i="7"/>
  <c r="E1001" i="7" s="1"/>
  <c r="D1089" i="7"/>
  <c r="E1089" i="7" s="1"/>
  <c r="D1289" i="7"/>
  <c r="E1289" i="7" s="1"/>
  <c r="D5134" i="7"/>
  <c r="E5134" i="7" s="1"/>
  <c r="D5598" i="7"/>
  <c r="E5598" i="7" s="1"/>
  <c r="D5362" i="7"/>
  <c r="E5362" i="7" s="1"/>
  <c r="D4702" i="7"/>
  <c r="E4702" i="7" s="1"/>
  <c r="D5023" i="7"/>
  <c r="E5023" i="7" s="1"/>
  <c r="D5247" i="7"/>
  <c r="E5247" i="7" s="1"/>
  <c r="D5479" i="7"/>
  <c r="E5479" i="7" s="1"/>
  <c r="D4399" i="7"/>
  <c r="E4399" i="7" s="1"/>
  <c r="D4302" i="7"/>
  <c r="E4302" i="7" s="1"/>
  <c r="D4207" i="7"/>
  <c r="E4207" i="7" s="1"/>
  <c r="D3558" i="7"/>
  <c r="E3558" i="7" s="1"/>
  <c r="D4498" i="7"/>
  <c r="E4498" i="7" s="1"/>
  <c r="D3598" i="7"/>
  <c r="E3598" i="7" s="1"/>
  <c r="D4807" i="7"/>
  <c r="E4807" i="7" s="1"/>
  <c r="D4914" i="7"/>
  <c r="E4914" i="7" s="1"/>
  <c r="D3096" i="7"/>
  <c r="E3096" i="7" s="1"/>
  <c r="D3762" i="7"/>
  <c r="E3762" i="7" s="1"/>
  <c r="D3934" i="7"/>
  <c r="E3934" i="7" s="1"/>
  <c r="D3246" i="7"/>
  <c r="E3246" i="7" s="1"/>
  <c r="D3847" i="7"/>
  <c r="E3847" i="7" s="1"/>
  <c r="D4599" i="7"/>
  <c r="E4599" i="7" s="1"/>
  <c r="D2986" i="7"/>
  <c r="E2986" i="7" s="1"/>
  <c r="D3679" i="7"/>
  <c r="E3679" i="7" s="1"/>
  <c r="D4114" i="7"/>
  <c r="E4114" i="7" s="1"/>
  <c r="D4023" i="7"/>
  <c r="E4023" i="7" s="1"/>
  <c r="D3284" i="7"/>
  <c r="E3284" i="7" s="1"/>
  <c r="D2406" i="7"/>
  <c r="E2406" i="7" s="1"/>
  <c r="D2950" i="7"/>
  <c r="E2950" i="7" s="1"/>
  <c r="D2843" i="7"/>
  <c r="E2843" i="7" s="1"/>
  <c r="D3439" i="7"/>
  <c r="E3439" i="7" s="1"/>
  <c r="D3400" i="7"/>
  <c r="E3400" i="7" s="1"/>
  <c r="D3133" i="7"/>
  <c r="E3133" i="7" s="1"/>
  <c r="D2670" i="7"/>
  <c r="E2670" i="7" s="1"/>
  <c r="D2158" i="7"/>
  <c r="E2158" i="7" s="1"/>
  <c r="D2280" i="7"/>
  <c r="E2280" i="7" s="1"/>
  <c r="D2569" i="7"/>
  <c r="E2569" i="7" s="1"/>
  <c r="D2704" i="7"/>
  <c r="E2704" i="7" s="1"/>
  <c r="D2188" i="7"/>
  <c r="E2188" i="7" s="1"/>
  <c r="D2808" i="7"/>
  <c r="E2808" i="7" s="1"/>
  <c r="D2536" i="7"/>
  <c r="E2536" i="7" s="1"/>
  <c r="D2438" i="7"/>
  <c r="E2438" i="7" s="1"/>
  <c r="D2311" i="7"/>
  <c r="E2311" i="7" s="1"/>
  <c r="D4660" i="7"/>
  <c r="E4660" i="7" s="1"/>
  <c r="D5430" i="7"/>
  <c r="E5430" i="7" s="1"/>
  <c r="D4870" i="7"/>
  <c r="E4870" i="7" s="1"/>
  <c r="D5548" i="7"/>
  <c r="E5548" i="7" s="1"/>
  <c r="D4360" i="7"/>
  <c r="E4360" i="7" s="1"/>
  <c r="D4264" i="7"/>
  <c r="E4264" i="7" s="1"/>
  <c r="D4170" i="7"/>
  <c r="E4170" i="7" s="1"/>
  <c r="D4764" i="7"/>
  <c r="E4764" i="7" s="1"/>
  <c r="D4458" i="7"/>
  <c r="E4458" i="7" s="1"/>
  <c r="D4978" i="7"/>
  <c r="E4978" i="7" s="1"/>
  <c r="D3988" i="7"/>
  <c r="E3988" i="7" s="1"/>
  <c r="D5088" i="7"/>
  <c r="E5088" i="7" s="1"/>
  <c r="D3730" i="7"/>
  <c r="E3730" i="7" s="1"/>
  <c r="D4558" i="7"/>
  <c r="E4558" i="7" s="1"/>
  <c r="D5314" i="7"/>
  <c r="E5314" i="7" s="1"/>
  <c r="D5200" i="7"/>
  <c r="E5200" i="7" s="1"/>
  <c r="D3900" i="7"/>
  <c r="E3900" i="7" s="1"/>
  <c r="D3528" i="7"/>
  <c r="E3528" i="7" s="1"/>
  <c r="D4078" i="7"/>
  <c r="E4078" i="7" s="1"/>
  <c r="D3488" i="7"/>
  <c r="E3488" i="7" s="1"/>
  <c r="D3814" i="7"/>
  <c r="E3814" i="7" s="1"/>
  <c r="D3648" i="7"/>
  <c r="E3648" i="7" s="1"/>
  <c r="D4518" i="7"/>
  <c r="E4518" i="7" s="1"/>
  <c r="D5267" i="7"/>
  <c r="E5267" i="7" s="1"/>
  <c r="D5618" i="7"/>
  <c r="E5618" i="7" s="1"/>
  <c r="D5382" i="7"/>
  <c r="E5382" i="7" s="1"/>
  <c r="D5499" i="7"/>
  <c r="E5499" i="7" s="1"/>
  <c r="D4722" i="7"/>
  <c r="E4722" i="7" s="1"/>
  <c r="D5043" i="7"/>
  <c r="E5043" i="7" s="1"/>
  <c r="D4934" i="7"/>
  <c r="E4934" i="7" s="1"/>
  <c r="D5154" i="7"/>
  <c r="E5154" i="7" s="1"/>
  <c r="D4827" i="7"/>
  <c r="E4827" i="7" s="1"/>
  <c r="D4619" i="7"/>
  <c r="E4619" i="7" s="1"/>
  <c r="D119" i="7"/>
  <c r="E119" i="7" s="1"/>
  <c r="D333" i="7"/>
  <c r="E333" i="7" s="1"/>
  <c r="D520" i="7"/>
  <c r="E520" i="7" s="1"/>
  <c r="D679" i="7"/>
  <c r="E679" i="7" s="1"/>
  <c r="D81" i="7"/>
  <c r="E81" i="7" s="1"/>
  <c r="L55" i="2" s="1"/>
  <c r="D971" i="7"/>
  <c r="E971" i="7" s="1"/>
  <c r="D708" i="7"/>
  <c r="E708" i="7" s="1"/>
  <c r="D493" i="7"/>
  <c r="E493" i="7" s="1"/>
  <c r="D1266" i="7"/>
  <c r="E1266" i="7" s="1"/>
  <c r="D261" i="7"/>
  <c r="E261" i="7" s="1"/>
  <c r="D1163" i="7"/>
  <c r="E1163" i="7" s="1"/>
  <c r="D981" i="7"/>
  <c r="E981" i="7" s="1"/>
  <c r="D369" i="7"/>
  <c r="E369" i="7" s="1"/>
  <c r="D1377" i="7"/>
  <c r="E1377" i="7" s="1"/>
  <c r="L240" i="2" s="1"/>
  <c r="D158" i="7"/>
  <c r="E158" i="7" s="1"/>
  <c r="L81" i="2" s="1"/>
  <c r="D842" i="7"/>
  <c r="E842" i="7" s="1"/>
  <c r="D155" i="7"/>
  <c r="E155" i="7" s="1"/>
  <c r="D79" i="7"/>
  <c r="E79" i="7" s="1"/>
  <c r="L54" i="2" s="1"/>
  <c r="D152" i="7"/>
  <c r="E152" i="7" s="1"/>
  <c r="D265" i="7"/>
  <c r="E265" i="7" s="1"/>
  <c r="D589" i="7"/>
  <c r="E589" i="7" s="1"/>
  <c r="D77" i="7"/>
  <c r="E77" i="7" s="1"/>
  <c r="L53" i="2" s="1"/>
  <c r="D833" i="7"/>
  <c r="E833" i="7" s="1"/>
  <c r="D1229" i="7"/>
  <c r="E1229" i="7" s="1"/>
  <c r="D130" i="7"/>
  <c r="E130" i="7" s="1"/>
  <c r="D933" i="7"/>
  <c r="E933" i="7" s="1"/>
  <c r="D790" i="7"/>
  <c r="E790" i="7" s="1"/>
  <c r="D1037" i="7"/>
  <c r="E1037" i="7" s="1"/>
  <c r="D453" i="7"/>
  <c r="E453" i="7" s="1"/>
  <c r="D331" i="7"/>
  <c r="E331" i="7" s="1"/>
  <c r="D556" i="7"/>
  <c r="E556" i="7" s="1"/>
  <c r="D670" i="7"/>
  <c r="E670" i="7" s="1"/>
  <c r="D1129" i="7"/>
  <c r="E1129" i="7" s="1"/>
  <c r="D447" i="7"/>
  <c r="E447" i="7" s="1"/>
  <c r="D227" i="7"/>
  <c r="E227" i="7" s="1"/>
  <c r="D923" i="7"/>
  <c r="E923" i="7" s="1"/>
  <c r="D781" i="7"/>
  <c r="E781" i="7" s="1"/>
  <c r="D662" i="7"/>
  <c r="E662" i="7" s="1"/>
  <c r="D133" i="7"/>
  <c r="E133" i="7" s="1"/>
  <c r="D1337" i="7"/>
  <c r="E1337" i="7" s="1"/>
  <c r="D5349" i="7"/>
  <c r="E5349" i="7" s="1"/>
  <c r="D5466" i="7"/>
  <c r="E5466" i="7" s="1"/>
  <c r="D5010" i="7"/>
  <c r="E5010" i="7" s="1"/>
  <c r="D5585" i="7"/>
  <c r="E5585" i="7" s="1"/>
  <c r="D4794" i="7"/>
  <c r="E4794" i="7" s="1"/>
  <c r="D5121" i="7"/>
  <c r="E5121" i="7" s="1"/>
  <c r="D3271" i="7"/>
  <c r="E3271" i="7" s="1"/>
  <c r="D4689" i="7"/>
  <c r="E4689" i="7" s="1"/>
  <c r="D4901" i="7"/>
  <c r="E4901" i="7" s="1"/>
  <c r="D3585" i="7"/>
  <c r="E3585" i="7" s="1"/>
  <c r="D5234" i="7"/>
  <c r="E5234" i="7" s="1"/>
  <c r="D4586" i="7"/>
  <c r="E4586" i="7" s="1"/>
  <c r="D3666" i="7"/>
  <c r="E3666" i="7" s="1"/>
  <c r="D3834" i="7"/>
  <c r="E3834" i="7" s="1"/>
  <c r="D2657" i="7"/>
  <c r="E2657" i="7" s="1"/>
  <c r="D3233" i="7"/>
  <c r="E3233" i="7" s="1"/>
  <c r="D4101" i="7"/>
  <c r="E4101" i="7" s="1"/>
  <c r="D4386" i="7"/>
  <c r="E4386" i="7" s="1"/>
  <c r="D4010" i="7"/>
  <c r="E4010" i="7" s="1"/>
  <c r="D4194" i="7"/>
  <c r="E4194" i="7" s="1"/>
  <c r="D3426" i="7"/>
  <c r="E3426" i="7" s="1"/>
  <c r="D2937" i="7"/>
  <c r="E2937" i="7" s="1"/>
  <c r="D3387" i="7"/>
  <c r="E3387" i="7" s="1"/>
  <c r="D3749" i="7"/>
  <c r="E3749" i="7" s="1"/>
  <c r="D4485" i="7"/>
  <c r="E4485" i="7" s="1"/>
  <c r="D4289" i="7"/>
  <c r="E4289" i="7" s="1"/>
  <c r="D3120" i="7"/>
  <c r="E3120" i="7" s="1"/>
  <c r="D2830" i="7"/>
  <c r="E2830" i="7" s="1"/>
  <c r="D2973" i="7"/>
  <c r="E2973" i="7" s="1"/>
  <c r="D3545" i="7"/>
  <c r="E3545" i="7" s="1"/>
  <c r="D3921" i="7"/>
  <c r="E3921" i="7" s="1"/>
  <c r="D2691" i="7"/>
  <c r="E2691" i="7" s="1"/>
  <c r="D3083" i="7"/>
  <c r="E3083" i="7" s="1"/>
  <c r="D2056" i="7"/>
  <c r="E2056" i="7" s="1"/>
  <c r="D2795" i="7"/>
  <c r="E2795" i="7" s="1"/>
  <c r="D1558" i="7"/>
  <c r="E1558" i="7" s="1"/>
  <c r="D1521" i="7"/>
  <c r="E1521" i="7" s="1"/>
  <c r="D1486" i="7"/>
  <c r="E1486" i="7" s="1"/>
  <c r="D1913" i="7"/>
  <c r="E1913" i="7" s="1"/>
  <c r="D1679" i="7"/>
  <c r="E1679" i="7" s="1"/>
  <c r="D2175" i="7"/>
  <c r="E2175" i="7" s="1"/>
  <c r="D2523" i="7"/>
  <c r="E2523" i="7" s="1"/>
  <c r="D2298" i="7"/>
  <c r="E2298" i="7" s="1"/>
  <c r="D2027" i="7"/>
  <c r="E2027" i="7" s="1"/>
  <c r="D1726" i="7"/>
  <c r="E1726" i="7" s="1"/>
  <c r="D2425" i="7"/>
  <c r="E2425" i="7" s="1"/>
  <c r="D2556" i="7"/>
  <c r="E2556" i="7" s="1"/>
  <c r="D1636" i="7"/>
  <c r="E1636" i="7" s="1"/>
  <c r="D2267" i="7"/>
  <c r="E2267" i="7" s="1"/>
  <c r="D1577" i="7"/>
  <c r="E1577" i="7" s="1"/>
  <c r="D1941" i="7"/>
  <c r="E1941" i="7" s="1"/>
  <c r="D2393" i="7"/>
  <c r="E2393" i="7" s="1"/>
  <c r="D1777" i="7"/>
  <c r="E1777" i="7" s="1"/>
  <c r="D2145" i="7"/>
  <c r="E2145" i="7" s="1"/>
  <c r="D1616" i="7"/>
  <c r="E1616" i="7" s="1"/>
  <c r="D1830" i="7"/>
  <c r="E1830" i="7" s="1"/>
  <c r="D5421" i="7"/>
  <c r="E5421" i="7" s="1"/>
  <c r="D5191" i="7"/>
  <c r="E5191" i="7" s="1"/>
  <c r="D5079" i="7"/>
  <c r="E5079" i="7" s="1"/>
  <c r="D4969" i="7"/>
  <c r="E4969" i="7" s="1"/>
  <c r="D4861" i="7"/>
  <c r="E4861" i="7" s="1"/>
  <c r="D5305" i="7"/>
  <c r="E5305" i="7" s="1"/>
  <c r="D5539" i="7"/>
  <c r="E5539" i="7" s="1"/>
  <c r="D3979" i="7"/>
  <c r="E3979" i="7" s="1"/>
  <c r="D3479" i="7"/>
  <c r="E3479" i="7" s="1"/>
  <c r="D3639" i="7"/>
  <c r="E3639" i="7" s="1"/>
  <c r="D4549" i="7"/>
  <c r="E4549" i="7" s="1"/>
  <c r="D3891" i="7"/>
  <c r="E3891" i="7" s="1"/>
  <c r="D3721" i="7"/>
  <c r="E3721" i="7" s="1"/>
  <c r="D4755" i="7"/>
  <c r="E4755" i="7" s="1"/>
  <c r="D4255" i="7"/>
  <c r="E4255" i="7" s="1"/>
  <c r="D3519" i="7"/>
  <c r="E3519" i="7" s="1"/>
  <c r="D4351" i="7"/>
  <c r="E4351" i="7" s="1"/>
  <c r="D4449" i="7"/>
  <c r="E4449" i="7" s="1"/>
  <c r="D4161" i="7"/>
  <c r="E4161" i="7" s="1"/>
  <c r="D4651" i="7"/>
  <c r="E4651" i="7" s="1"/>
  <c r="D3323" i="7"/>
  <c r="E3323" i="7" s="1"/>
  <c r="D3060" i="7"/>
  <c r="E3060" i="7" s="1"/>
  <c r="D2879" i="7"/>
  <c r="E2879" i="7" s="1"/>
  <c r="D4069" i="7"/>
  <c r="E4069" i="7" s="1"/>
  <c r="D3805" i="7"/>
  <c r="E3805" i="7" s="1"/>
  <c r="D3209" i="7"/>
  <c r="E3209" i="7" s="1"/>
  <c r="D3023" i="7"/>
  <c r="E3023" i="7" s="1"/>
  <c r="D2774" i="7"/>
  <c r="E2774" i="7" s="1"/>
  <c r="D2219" i="7"/>
  <c r="E2219" i="7" s="1"/>
  <c r="D3171" i="7"/>
  <c r="E3171" i="7" s="1"/>
  <c r="D3362" i="7"/>
  <c r="E3362" i="7" s="1"/>
  <c r="D2915" i="7"/>
  <c r="E2915" i="7" s="1"/>
  <c r="D2603" i="7"/>
  <c r="E2603" i="7" s="1"/>
  <c r="D2504" i="7"/>
  <c r="E2504" i="7" s="1"/>
  <c r="D2343" i="7"/>
  <c r="E2343" i="7" s="1"/>
  <c r="D2739" i="7"/>
  <c r="E2739" i="7" s="1"/>
  <c r="D2471" i="7"/>
  <c r="E2471" i="7" s="1"/>
  <c r="D2637" i="7"/>
  <c r="E2637" i="7" s="1"/>
  <c r="D2375" i="7"/>
  <c r="E2375" i="7" s="1"/>
  <c r="D53" i="7"/>
  <c r="E53" i="7" s="1"/>
  <c r="L41" i="2" s="1"/>
  <c r="D276" i="7"/>
  <c r="E276" i="7" s="1"/>
  <c r="D1009" i="7"/>
  <c r="E1009" i="7" s="1"/>
  <c r="D162" i="7"/>
  <c r="E162" i="7" s="1"/>
  <c r="D30" i="7"/>
  <c r="E30" i="7" s="1"/>
  <c r="D270" i="7"/>
  <c r="E270" i="7" s="1"/>
  <c r="D380" i="7"/>
  <c r="E380" i="7" s="1"/>
  <c r="D459" i="7"/>
  <c r="E459" i="7" s="1"/>
  <c r="D139" i="7"/>
  <c r="E139" i="7" s="1"/>
  <c r="D341" i="7"/>
  <c r="E341" i="7" s="1"/>
  <c r="D288" i="7"/>
  <c r="E288" i="7" s="1"/>
  <c r="D401" i="7"/>
  <c r="E401" i="7" s="1"/>
  <c r="D5001" i="7"/>
  <c r="E5001" i="7" s="1"/>
  <c r="D5112" i="7"/>
  <c r="E5112" i="7" s="1"/>
  <c r="D5576" i="7"/>
  <c r="E5576" i="7" s="1"/>
  <c r="D4680" i="7"/>
  <c r="E4680" i="7" s="1"/>
  <c r="D5457" i="7"/>
  <c r="E5457" i="7" s="1"/>
  <c r="D5340" i="7"/>
  <c r="E5340" i="7" s="1"/>
  <c r="D3825" i="7"/>
  <c r="E3825" i="7" s="1"/>
  <c r="D3740" i="7"/>
  <c r="E3740" i="7" s="1"/>
  <c r="D3657" i="7"/>
  <c r="E3657" i="7" s="1"/>
  <c r="D4377" i="7"/>
  <c r="E4377" i="7" s="1"/>
  <c r="D4280" i="7"/>
  <c r="E4280" i="7" s="1"/>
  <c r="D4476" i="7"/>
  <c r="E4476" i="7" s="1"/>
  <c r="D4092" i="7"/>
  <c r="E4092" i="7" s="1"/>
  <c r="D4892" i="7"/>
  <c r="E4892" i="7" s="1"/>
  <c r="D3536" i="7"/>
  <c r="E3536" i="7" s="1"/>
  <c r="D4785" i="7"/>
  <c r="E4785" i="7" s="1"/>
  <c r="D5225" i="7"/>
  <c r="E5225" i="7" s="1"/>
  <c r="D3417" i="7"/>
  <c r="E3417" i="7" s="1"/>
  <c r="D3378" i="7"/>
  <c r="E3378" i="7" s="1"/>
  <c r="D3111" i="7"/>
  <c r="E3111" i="7" s="1"/>
  <c r="D2928" i="7"/>
  <c r="E2928" i="7" s="1"/>
  <c r="D3576" i="7"/>
  <c r="E3576" i="7" s="1"/>
  <c r="D3262" i="7"/>
  <c r="E3262" i="7" s="1"/>
  <c r="D4185" i="7"/>
  <c r="E4185" i="7" s="1"/>
  <c r="D4001" i="7"/>
  <c r="E4001" i="7" s="1"/>
  <c r="D4577" i="7"/>
  <c r="E4577" i="7" s="1"/>
  <c r="D2682" i="7"/>
  <c r="E2682" i="7" s="1"/>
  <c r="D3224" i="7"/>
  <c r="E3224" i="7" s="1"/>
  <c r="D2786" i="7"/>
  <c r="E2786" i="7" s="1"/>
  <c r="D3912" i="7"/>
  <c r="E3912" i="7" s="1"/>
  <c r="D3074" i="7"/>
  <c r="E3074" i="7" s="1"/>
  <c r="D1717" i="7"/>
  <c r="E1717" i="7" s="1"/>
  <c r="D2136" i="7"/>
  <c r="E2136" i="7" s="1"/>
  <c r="D1821" i="7"/>
  <c r="E1821" i="7" s="1"/>
  <c r="D1627" i="7"/>
  <c r="E1627" i="7" s="1"/>
  <c r="D1932" i="7"/>
  <c r="E1932" i="7" s="1"/>
  <c r="D1768" i="7"/>
  <c r="E1768" i="7" s="1"/>
  <c r="D2384" i="7"/>
  <c r="E2384" i="7" s="1"/>
  <c r="D2258" i="7"/>
  <c r="E2258" i="7" s="1"/>
  <c r="D2821" i="7"/>
  <c r="E2821" i="7" s="1"/>
  <c r="D2547" i="7"/>
  <c r="E2547" i="7" s="1"/>
  <c r="D2648" i="7"/>
  <c r="E2648" i="7" s="1"/>
  <c r="D2047" i="7"/>
  <c r="E2047" i="7" s="1"/>
  <c r="D1568" i="7"/>
  <c r="E1568" i="7" s="1"/>
  <c r="D1904" i="7"/>
  <c r="E1904" i="7" s="1"/>
  <c r="D1549" i="7"/>
  <c r="E1549" i="7" s="1"/>
  <c r="D2166" i="7"/>
  <c r="E2166" i="7" s="1"/>
  <c r="D2964" i="7"/>
  <c r="E2964" i="7" s="1"/>
  <c r="D1413" i="7"/>
  <c r="E1413" i="7" s="1"/>
  <c r="D1064" i="7"/>
  <c r="E1064" i="7" s="1"/>
  <c r="D2416" i="7"/>
  <c r="E2416" i="7" s="1"/>
  <c r="D1607" i="7"/>
  <c r="E1607" i="7" s="1"/>
  <c r="D1370" i="7"/>
  <c r="E1370" i="7" s="1"/>
  <c r="D2514" i="7"/>
  <c r="E2514" i="7" s="1"/>
  <c r="D1477" i="7"/>
  <c r="E1477" i="7" s="1"/>
  <c r="D1260" i="7"/>
  <c r="E1260" i="7" s="1"/>
  <c r="D2018" i="7"/>
  <c r="E2018" i="7" s="1"/>
  <c r="D2289" i="7"/>
  <c r="E2289" i="7" s="1"/>
  <c r="D1444" i="7"/>
  <c r="E1444" i="7" s="1"/>
  <c r="D968" i="7"/>
  <c r="E968" i="7" s="1"/>
  <c r="D822" i="7"/>
  <c r="E822" i="7" s="1"/>
  <c r="D1512" i="7"/>
  <c r="E1512" i="7" s="1"/>
  <c r="D1158" i="7"/>
  <c r="E1158" i="7" s="1"/>
  <c r="D1670" i="7"/>
  <c r="E1670" i="7" s="1"/>
  <c r="D831" i="7"/>
  <c r="E831" i="7" s="1"/>
  <c r="D699" i="7"/>
  <c r="E699" i="7" s="1"/>
  <c r="D1303" i="7"/>
  <c r="E1303" i="7" s="1"/>
  <c r="D1198" i="7"/>
  <c r="E1198" i="7" s="1"/>
  <c r="D1012" i="7"/>
  <c r="E1012" i="7" s="1"/>
  <c r="D5372" i="7"/>
  <c r="E5372" i="7" s="1"/>
  <c r="D4712" i="7"/>
  <c r="E4712" i="7" s="1"/>
  <c r="D5489" i="7"/>
  <c r="E5489" i="7" s="1"/>
  <c r="D5608" i="7"/>
  <c r="E5608" i="7" s="1"/>
  <c r="D4312" i="7"/>
  <c r="E4312" i="7" s="1"/>
  <c r="D4508" i="7"/>
  <c r="E4508" i="7" s="1"/>
  <c r="D3944" i="7"/>
  <c r="E3944" i="7" s="1"/>
  <c r="D3689" i="7"/>
  <c r="E3689" i="7" s="1"/>
  <c r="D5033" i="7"/>
  <c r="E5033" i="7" s="1"/>
  <c r="D5257" i="7"/>
  <c r="E5257" i="7" s="1"/>
  <c r="D4817" i="7"/>
  <c r="E4817" i="7" s="1"/>
  <c r="D3568" i="7"/>
  <c r="E3568" i="7" s="1"/>
  <c r="D4609" i="7"/>
  <c r="E4609" i="7" s="1"/>
  <c r="D4217" i="7"/>
  <c r="E4217" i="7" s="1"/>
  <c r="D4409" i="7"/>
  <c r="E4409" i="7" s="1"/>
  <c r="D5144" i="7"/>
  <c r="E5144" i="7" s="1"/>
  <c r="D4924" i="7"/>
  <c r="E4924" i="7" s="1"/>
  <c r="D3857" i="7"/>
  <c r="E3857" i="7" s="1"/>
  <c r="D4124" i="7"/>
  <c r="E4124" i="7" s="1"/>
  <c r="D4033" i="7"/>
  <c r="E4033" i="7" s="1"/>
  <c r="D3772" i="7"/>
  <c r="E3772" i="7" s="1"/>
  <c r="D3608" i="7"/>
  <c r="E3608" i="7" s="1"/>
  <c r="D5211" i="7"/>
  <c r="E5211" i="7" s="1"/>
  <c r="D5325" i="7"/>
  <c r="E5325" i="7" s="1"/>
  <c r="D5099" i="7"/>
  <c r="E5099" i="7" s="1"/>
  <c r="D5441" i="7"/>
  <c r="E5441" i="7" s="1"/>
  <c r="D5559" i="7"/>
  <c r="E5559" i="7" s="1"/>
  <c r="D4989" i="7"/>
  <c r="E4989" i="7" s="1"/>
  <c r="D4569" i="7"/>
  <c r="E4569" i="7" s="1"/>
  <c r="D4881" i="7"/>
  <c r="E4881" i="7" s="1"/>
  <c r="D4775" i="7"/>
  <c r="E4775" i="7" s="1"/>
  <c r="D4671" i="7"/>
  <c r="E4671" i="7" s="1"/>
  <c r="D455" i="7"/>
  <c r="E455" i="7" s="1"/>
  <c r="D521" i="7"/>
  <c r="E521" i="7" s="1"/>
  <c r="D1033" i="7"/>
  <c r="E1033" i="7" s="1"/>
  <c r="D1280" i="7"/>
  <c r="E1280" i="7" s="1"/>
  <c r="D862" i="7"/>
  <c r="E862" i="7" s="1"/>
  <c r="D1176" i="7"/>
  <c r="E1176" i="7" s="1"/>
  <c r="D717" i="7"/>
  <c r="E717" i="7" s="1"/>
  <c r="D34" i="7"/>
  <c r="E34" i="7" s="1"/>
  <c r="D87" i="7"/>
  <c r="E87" i="7" s="1"/>
  <c r="D32" i="7"/>
  <c r="E32" i="7" s="1"/>
  <c r="D513" i="7"/>
  <c r="E513" i="7" s="1"/>
  <c r="D386" i="7"/>
  <c r="E386" i="7" s="1"/>
  <c r="D597" i="7"/>
  <c r="E597" i="7" s="1"/>
  <c r="D174" i="7"/>
  <c r="E174" i="7" s="1"/>
  <c r="D992" i="7"/>
  <c r="E992" i="7" s="1"/>
  <c r="D506" i="7"/>
  <c r="E506" i="7" s="1"/>
  <c r="D170" i="7"/>
  <c r="E170" i="7" s="1"/>
  <c r="D1080" i="7"/>
  <c r="E1080" i="7" s="1"/>
  <c r="D726" i="7"/>
  <c r="E726" i="7" s="1"/>
  <c r="D5171" i="7"/>
  <c r="E5171" i="7" s="1"/>
  <c r="D4529" i="7"/>
  <c r="E4529" i="7" s="1"/>
  <c r="D5285" i="7"/>
  <c r="E5285" i="7" s="1"/>
  <c r="D5519" i="7"/>
  <c r="E5519" i="7" s="1"/>
  <c r="D5401" i="7"/>
  <c r="E5401" i="7" s="1"/>
  <c r="D5059" i="7"/>
  <c r="E5059" i="7" s="1"/>
  <c r="D3303" i="7"/>
  <c r="E3303" i="7" s="1"/>
  <c r="D4949" i="7"/>
  <c r="E4949" i="7" s="1"/>
  <c r="D3959" i="7"/>
  <c r="E3959" i="7" s="1"/>
  <c r="D4735" i="7"/>
  <c r="E4735" i="7" s="1"/>
  <c r="D4631" i="7"/>
  <c r="E4631" i="7" s="1"/>
  <c r="D4331" i="7"/>
  <c r="E4331" i="7" s="1"/>
  <c r="D4235" i="7"/>
  <c r="E4235" i="7" s="1"/>
  <c r="D4429" i="7"/>
  <c r="E4429" i="7" s="1"/>
  <c r="D4841" i="7"/>
  <c r="E4841" i="7" s="1"/>
  <c r="D3342" i="7"/>
  <c r="E3342" i="7" s="1"/>
  <c r="D3785" i="7"/>
  <c r="E3785" i="7" s="1"/>
  <c r="D2895" i="7"/>
  <c r="E2895" i="7" s="1"/>
  <c r="D3619" i="7"/>
  <c r="E3619" i="7" s="1"/>
  <c r="D3871" i="7"/>
  <c r="E3871" i="7" s="1"/>
  <c r="D3459" i="7"/>
  <c r="E3459" i="7" s="1"/>
  <c r="D2355" i="7"/>
  <c r="E2355" i="7" s="1"/>
  <c r="D2754" i="7"/>
  <c r="E2754" i="7" s="1"/>
  <c r="D3499" i="7"/>
  <c r="E3499" i="7" s="1"/>
  <c r="D3040" i="7"/>
  <c r="E3040" i="7" s="1"/>
  <c r="D3189" i="7"/>
  <c r="E3189" i="7" s="1"/>
  <c r="D4141" i="7"/>
  <c r="E4141" i="7" s="1"/>
  <c r="D2859" i="7"/>
  <c r="E2859" i="7" s="1"/>
  <c r="D4049" i="7"/>
  <c r="E4049" i="7" s="1"/>
  <c r="D3701" i="7"/>
  <c r="E3701" i="7" s="1"/>
  <c r="D2484" i="7"/>
  <c r="E2484" i="7" s="1"/>
  <c r="D1401" i="7"/>
  <c r="E1401" i="7" s="1"/>
  <c r="D2719" i="7"/>
  <c r="E2719" i="7" s="1"/>
  <c r="D2199" i="7"/>
  <c r="E2199" i="7" s="1"/>
  <c r="D2323" i="7"/>
  <c r="E2323" i="7" s="1"/>
  <c r="D2109" i="7"/>
  <c r="E2109" i="7" s="1"/>
  <c r="D2451" i="7"/>
  <c r="E2451" i="7" s="1"/>
  <c r="D1745" i="7"/>
  <c r="E1745" i="7" s="1"/>
  <c r="D1851" i="7"/>
  <c r="E1851" i="7" s="1"/>
  <c r="D3003" i="7"/>
  <c r="E3003" i="7" s="1"/>
  <c r="D1797" i="7"/>
  <c r="E1797" i="7" s="1"/>
  <c r="D1497" i="7"/>
  <c r="E1497" i="7" s="1"/>
  <c r="D2617" i="7"/>
  <c r="E2617" i="7" s="1"/>
  <c r="D3151" i="7"/>
  <c r="E3151" i="7" s="1"/>
  <c r="D1963" i="7"/>
  <c r="E1963" i="7" s="1"/>
  <c r="D2583" i="7"/>
  <c r="E2583" i="7" s="1"/>
  <c r="D1992" i="7"/>
  <c r="E1992" i="7" s="1"/>
  <c r="D1023" i="7"/>
  <c r="E1023" i="7" s="1"/>
  <c r="D1431" i="7"/>
  <c r="E1431" i="7" s="1"/>
  <c r="D2079" i="7"/>
  <c r="E2079" i="7" s="1"/>
  <c r="D1879" i="7"/>
  <c r="E1879" i="7" s="1"/>
  <c r="D1651" i="7"/>
  <c r="E1651" i="7" s="1"/>
  <c r="D1113" i="7"/>
  <c r="E1113" i="7" s="1"/>
  <c r="D1317" i="7"/>
  <c r="E1317" i="7" s="1"/>
  <c r="D1211" i="7"/>
  <c r="E1211" i="7" s="1"/>
  <c r="D1533" i="7"/>
  <c r="E1533" i="7" s="1"/>
  <c r="D1590" i="7"/>
  <c r="E1590" i="7" s="1"/>
  <c r="D1696" i="7"/>
  <c r="E1696" i="7" s="1"/>
  <c r="D1361" i="7"/>
  <c r="E1361" i="7" s="1"/>
  <c r="D1252" i="7"/>
  <c r="E1252" i="7" s="1"/>
  <c r="D5408" i="7"/>
  <c r="E5408" i="7" s="1"/>
  <c r="D4742" i="7"/>
  <c r="E4742" i="7" s="1"/>
  <c r="D5526" i="7"/>
  <c r="E5526" i="7" s="1"/>
  <c r="D4956" i="7"/>
  <c r="E4956" i="7" s="1"/>
  <c r="D5292" i="7"/>
  <c r="E5292" i="7" s="1"/>
  <c r="D4436" i="7"/>
  <c r="E4436" i="7" s="1"/>
  <c r="D5178" i="7"/>
  <c r="E5178" i="7" s="1"/>
  <c r="D5066" i="7"/>
  <c r="E5066" i="7" s="1"/>
  <c r="D4242" i="7"/>
  <c r="E4242" i="7" s="1"/>
  <c r="D4638" i="7"/>
  <c r="E4638" i="7" s="1"/>
  <c r="D4056" i="7"/>
  <c r="E4056" i="7" s="1"/>
  <c r="D4848" i="7"/>
  <c r="E4848" i="7" s="1"/>
  <c r="D3626" i="7"/>
  <c r="E3626" i="7" s="1"/>
  <c r="D3010" i="7"/>
  <c r="E3010" i="7" s="1"/>
  <c r="D4536" i="7"/>
  <c r="E4536" i="7" s="1"/>
  <c r="D4338" i="7"/>
  <c r="E4338" i="7" s="1"/>
  <c r="D3878" i="7"/>
  <c r="E3878" i="7" s="1"/>
  <c r="D3708" i="7"/>
  <c r="E3708" i="7" s="1"/>
  <c r="D3506" i="7"/>
  <c r="E3506" i="7" s="1"/>
  <c r="D3466" i="7"/>
  <c r="E3466" i="7" s="1"/>
  <c r="D3349" i="7"/>
  <c r="E3349" i="7" s="1"/>
  <c r="D4148" i="7"/>
  <c r="E4148" i="7" s="1"/>
  <c r="D2458" i="7"/>
  <c r="E2458" i="7" s="1"/>
  <c r="D3047" i="7"/>
  <c r="E3047" i="7" s="1"/>
  <c r="D2491" i="7"/>
  <c r="E2491" i="7" s="1"/>
  <c r="D3966" i="7"/>
  <c r="E3966" i="7" s="1"/>
  <c r="D3310" i="7"/>
  <c r="E3310" i="7" s="1"/>
  <c r="D3196" i="7"/>
  <c r="E3196" i="7" s="1"/>
  <c r="D2866" i="7"/>
  <c r="E2866" i="7" s="1"/>
  <c r="D2902" i="7"/>
  <c r="E2902" i="7" s="1"/>
  <c r="D2726" i="7"/>
  <c r="E2726" i="7" s="1"/>
  <c r="D3792" i="7"/>
  <c r="E3792" i="7" s="1"/>
  <c r="D1858" i="7"/>
  <c r="E1858" i="7" s="1"/>
  <c r="D1540" i="7"/>
  <c r="E1540" i="7" s="1"/>
  <c r="D2116" i="7"/>
  <c r="E2116" i="7" s="1"/>
  <c r="D1752" i="7"/>
  <c r="E1752" i="7" s="1"/>
  <c r="D1504" i="7"/>
  <c r="E1504" i="7" s="1"/>
  <c r="D1804" i="7"/>
  <c r="E1804" i="7" s="1"/>
  <c r="D2624" i="7"/>
  <c r="E2624" i="7" s="1"/>
  <c r="D2362" i="7"/>
  <c r="E2362" i="7" s="1"/>
  <c r="D3158" i="7"/>
  <c r="E3158" i="7" s="1"/>
  <c r="D1886" i="7"/>
  <c r="E1886" i="7" s="1"/>
  <c r="D2086" i="7"/>
  <c r="E2086" i="7" s="1"/>
  <c r="D2590" i="7"/>
  <c r="E2590" i="7" s="1"/>
  <c r="D2761" i="7"/>
  <c r="E2761" i="7" s="1"/>
  <c r="D1999" i="7"/>
  <c r="E1999" i="7" s="1"/>
  <c r="D2206" i="7"/>
  <c r="E2206" i="7" s="1"/>
  <c r="D2330" i="7"/>
  <c r="E2330" i="7" s="1"/>
  <c r="D1658" i="7"/>
  <c r="E1658" i="7" s="1"/>
  <c r="D1597" i="7"/>
  <c r="E1597" i="7" s="1"/>
  <c r="D1703" i="7"/>
  <c r="E1703" i="7" s="1"/>
  <c r="D1970" i="7"/>
  <c r="E1970" i="7" s="1"/>
  <c r="D5268" i="7"/>
  <c r="E5268" i="7" s="1"/>
  <c r="D5619" i="7"/>
  <c r="E5619" i="7" s="1"/>
  <c r="D5383" i="7"/>
  <c r="E5383" i="7" s="1"/>
  <c r="D5500" i="7"/>
  <c r="E5500" i="7" s="1"/>
  <c r="D5044" i="7"/>
  <c r="E5044" i="7" s="1"/>
  <c r="D4828" i="7"/>
  <c r="E4828" i="7" s="1"/>
  <c r="D4935" i="7"/>
  <c r="E4935" i="7" s="1"/>
  <c r="D5155" i="7"/>
  <c r="E5155" i="7" s="1"/>
  <c r="D4723" i="7"/>
  <c r="E4723" i="7" s="1"/>
  <c r="D4620" i="7"/>
  <c r="E4620" i="7" s="1"/>
  <c r="D121" i="7"/>
  <c r="E121" i="7" s="1"/>
  <c r="D277" i="7"/>
  <c r="E277" i="7" s="1"/>
  <c r="D605" i="7"/>
  <c r="E605" i="7" s="1"/>
  <c r="D1068" i="7"/>
  <c r="E1068" i="7" s="1"/>
  <c r="J354" i="2"/>
  <c r="D5473" i="7"/>
  <c r="E5473" i="7" s="1"/>
  <c r="D4908" i="7"/>
  <c r="E4908" i="7" s="1"/>
  <c r="D4801" i="7"/>
  <c r="E4801" i="7" s="1"/>
  <c r="D5017" i="7"/>
  <c r="E5017" i="7" s="1"/>
  <c r="D5128" i="7"/>
  <c r="E5128" i="7" s="1"/>
  <c r="D5592" i="7"/>
  <c r="E5592" i="7" s="1"/>
  <c r="D5241" i="7"/>
  <c r="E5241" i="7" s="1"/>
  <c r="D4492" i="7"/>
  <c r="E4492" i="7" s="1"/>
  <c r="D3841" i="7"/>
  <c r="E3841" i="7" s="1"/>
  <c r="D3756" i="7"/>
  <c r="E3756" i="7" s="1"/>
  <c r="D3673" i="7"/>
  <c r="E3673" i="7" s="1"/>
  <c r="D4593" i="7"/>
  <c r="E4593" i="7" s="1"/>
  <c r="D4393" i="7"/>
  <c r="E4393" i="7" s="1"/>
  <c r="D3552" i="7"/>
  <c r="E3552" i="7" s="1"/>
  <c r="D5356" i="7"/>
  <c r="E5356" i="7" s="1"/>
  <c r="D4108" i="7"/>
  <c r="E4108" i="7" s="1"/>
  <c r="D4696" i="7"/>
  <c r="E4696" i="7" s="1"/>
  <c r="D4017" i="7"/>
  <c r="E4017" i="7" s="1"/>
  <c r="D2944" i="7"/>
  <c r="E2944" i="7" s="1"/>
  <c r="D3394" i="7"/>
  <c r="E3394" i="7" s="1"/>
  <c r="D3127" i="7"/>
  <c r="E3127" i="7" s="1"/>
  <c r="D4201" i="7"/>
  <c r="E4201" i="7" s="1"/>
  <c r="D3928" i="7"/>
  <c r="E3928" i="7" s="1"/>
  <c r="D3592" i="7"/>
  <c r="E3592" i="7" s="1"/>
  <c r="D3278" i="7"/>
  <c r="E3278" i="7" s="1"/>
  <c r="D4296" i="7"/>
  <c r="E4296" i="7" s="1"/>
  <c r="D2664" i="7"/>
  <c r="E2664" i="7" s="1"/>
  <c r="D2305" i="7"/>
  <c r="E2305" i="7" s="1"/>
  <c r="D2698" i="7"/>
  <c r="E2698" i="7" s="1"/>
  <c r="D3090" i="7"/>
  <c r="E3090" i="7" s="1"/>
  <c r="D3433" i="7"/>
  <c r="E3433" i="7" s="1"/>
  <c r="D2837" i="7"/>
  <c r="E2837" i="7" s="1"/>
  <c r="D2530" i="7"/>
  <c r="E2530" i="7" s="1"/>
  <c r="D1733" i="7"/>
  <c r="E1733" i="7" s="1"/>
  <c r="D2432" i="7"/>
  <c r="E2432" i="7" s="1"/>
  <c r="D2034" i="7"/>
  <c r="E2034" i="7" s="1"/>
  <c r="D2152" i="7"/>
  <c r="E2152" i="7" s="1"/>
  <c r="D3240" i="7"/>
  <c r="E3240" i="7" s="1"/>
  <c r="D2274" i="7"/>
  <c r="E2274" i="7" s="1"/>
  <c r="D2400" i="7"/>
  <c r="E2400" i="7" s="1"/>
  <c r="D2063" i="7"/>
  <c r="E2063" i="7" s="1"/>
  <c r="D2980" i="7"/>
  <c r="E2980" i="7" s="1"/>
  <c r="D2802" i="7"/>
  <c r="E2802" i="7" s="1"/>
  <c r="D1948" i="7"/>
  <c r="E1948" i="7" s="1"/>
  <c r="D2182" i="7"/>
  <c r="E2182" i="7" s="1"/>
  <c r="D1784" i="7"/>
  <c r="E1784" i="7" s="1"/>
  <c r="D1837" i="7"/>
  <c r="E1837" i="7" s="1"/>
  <c r="D2563" i="7"/>
  <c r="E2563" i="7" s="1"/>
  <c r="D1920" i="7"/>
  <c r="E1920" i="7" s="1"/>
  <c r="D5431" i="7"/>
  <c r="E5431" i="7" s="1"/>
  <c r="D4871" i="7"/>
  <c r="E4871" i="7" s="1"/>
  <c r="D5549" i="7"/>
  <c r="E5549" i="7" s="1"/>
  <c r="D4661" i="7"/>
  <c r="E4661" i="7" s="1"/>
  <c r="D5315" i="7"/>
  <c r="E5315" i="7" s="1"/>
  <c r="D4171" i="7"/>
  <c r="E4171" i="7" s="1"/>
  <c r="D4765" i="7"/>
  <c r="E4765" i="7" s="1"/>
  <c r="D4079" i="7"/>
  <c r="E4079" i="7" s="1"/>
  <c r="D4459" i="7"/>
  <c r="E4459" i="7" s="1"/>
  <c r="D4979" i="7"/>
  <c r="E4979" i="7" s="1"/>
  <c r="D5089" i="7"/>
  <c r="E5089" i="7" s="1"/>
  <c r="D3731" i="7"/>
  <c r="E3731" i="7" s="1"/>
  <c r="D4559" i="7"/>
  <c r="E4559" i="7" s="1"/>
  <c r="D5201" i="7"/>
  <c r="E5201" i="7" s="1"/>
  <c r="D3989" i="7"/>
  <c r="E3989" i="7" s="1"/>
  <c r="D3901" i="7"/>
  <c r="E3901" i="7" s="1"/>
  <c r="D4265" i="7"/>
  <c r="E4265" i="7" s="1"/>
  <c r="D4361" i="7"/>
  <c r="E4361" i="7" s="1"/>
  <c r="D3815" i="7"/>
  <c r="E3815" i="7" s="1"/>
  <c r="D3649" i="7"/>
  <c r="E3649" i="7" s="1"/>
  <c r="D5326" i="7"/>
  <c r="E5326" i="7" s="1"/>
  <c r="D5212" i="7"/>
  <c r="E5212" i="7" s="1"/>
  <c r="D4882" i="7"/>
  <c r="E4882" i="7" s="1"/>
  <c r="D5442" i="7"/>
  <c r="E5442" i="7" s="1"/>
  <c r="D5560" i="7"/>
  <c r="E5560" i="7" s="1"/>
  <c r="D4990" i="7"/>
  <c r="E4990" i="7" s="1"/>
  <c r="D5100" i="7"/>
  <c r="E5100" i="7" s="1"/>
  <c r="D4776" i="7"/>
  <c r="E4776" i="7" s="1"/>
  <c r="D4672" i="7"/>
  <c r="E4672" i="7" s="1"/>
  <c r="D167" i="7"/>
  <c r="E167" i="7" s="1"/>
  <c r="D278" i="7"/>
  <c r="E278" i="7" s="1"/>
  <c r="D456" i="7"/>
  <c r="E456" i="7" s="1"/>
  <c r="D1101" i="7"/>
  <c r="E1101" i="7" s="1"/>
  <c r="D4855" i="7"/>
  <c r="E4855" i="7" s="1"/>
  <c r="D4963" i="7"/>
  <c r="E4963" i="7" s="1"/>
  <c r="D4749" i="7"/>
  <c r="E4749" i="7" s="1"/>
  <c r="D5533" i="7"/>
  <c r="E5533" i="7" s="1"/>
  <c r="D5299" i="7"/>
  <c r="E5299" i="7" s="1"/>
  <c r="D5415" i="7"/>
  <c r="E5415" i="7" s="1"/>
  <c r="D5185" i="7"/>
  <c r="E5185" i="7" s="1"/>
  <c r="D5073" i="7"/>
  <c r="E5073" i="7" s="1"/>
  <c r="D4645" i="7"/>
  <c r="E4645" i="7" s="1"/>
  <c r="D4063" i="7"/>
  <c r="E4063" i="7" s="1"/>
  <c r="D4543" i="7"/>
  <c r="E4543" i="7" s="1"/>
  <c r="D3473" i="7"/>
  <c r="E3473" i="7" s="1"/>
  <c r="D3633" i="7"/>
  <c r="E3633" i="7" s="1"/>
  <c r="D3885" i="7"/>
  <c r="E3885" i="7" s="1"/>
  <c r="D4443" i="7"/>
  <c r="E4443" i="7" s="1"/>
  <c r="D4155" i="7"/>
  <c r="E4155" i="7" s="1"/>
  <c r="D3165" i="7"/>
  <c r="E3165" i="7" s="1"/>
  <c r="D3715" i="7"/>
  <c r="E3715" i="7" s="1"/>
  <c r="D3513" i="7"/>
  <c r="E3513" i="7" s="1"/>
  <c r="D3799" i="7"/>
  <c r="E3799" i="7" s="1"/>
  <c r="D3973" i="7"/>
  <c r="E3973" i="7" s="1"/>
  <c r="D4249" i="7"/>
  <c r="E4249" i="7" s="1"/>
  <c r="D4345" i="7"/>
  <c r="E4345" i="7" s="1"/>
  <c r="D3203" i="7"/>
  <c r="E3203" i="7" s="1"/>
  <c r="D3317" i="7"/>
  <c r="E3317" i="7" s="1"/>
  <c r="D2909" i="7"/>
  <c r="E2909" i="7" s="1"/>
  <c r="D2337" i="7"/>
  <c r="E2337" i="7" s="1"/>
  <c r="D3017" i="7"/>
  <c r="E3017" i="7" s="1"/>
  <c r="D2768" i="7"/>
  <c r="E2768" i="7" s="1"/>
  <c r="D3356" i="7"/>
  <c r="E3356" i="7" s="1"/>
  <c r="D2369" i="7"/>
  <c r="E2369" i="7" s="1"/>
  <c r="D2631" i="7"/>
  <c r="E2631" i="7" s="1"/>
  <c r="D1893" i="7"/>
  <c r="E1893" i="7" s="1"/>
  <c r="D2873" i="7"/>
  <c r="E2873" i="7" s="1"/>
  <c r="D2597" i="7"/>
  <c r="E2597" i="7" s="1"/>
  <c r="D2498" i="7"/>
  <c r="E2498" i="7" s="1"/>
  <c r="D2213" i="7"/>
  <c r="E2213" i="7" s="1"/>
  <c r="D2006" i="7"/>
  <c r="E2006" i="7" s="1"/>
  <c r="D2733" i="7"/>
  <c r="E2733" i="7" s="1"/>
  <c r="D3054" i="7"/>
  <c r="E3054" i="7" s="1"/>
  <c r="D1977" i="7"/>
  <c r="E1977" i="7" s="1"/>
  <c r="D2093" i="7"/>
  <c r="E2093" i="7" s="1"/>
  <c r="D2123" i="7"/>
  <c r="E2123" i="7" s="1"/>
  <c r="D1759" i="7"/>
  <c r="E1759" i="7" s="1"/>
  <c r="D2465" i="7"/>
  <c r="E2465" i="7" s="1"/>
  <c r="D1811" i="7"/>
  <c r="E1811" i="7" s="1"/>
  <c r="D1865" i="7"/>
  <c r="E1865" i="7" s="1"/>
  <c r="D5269" i="7"/>
  <c r="E5269" i="7" s="1"/>
  <c r="D5620" i="7"/>
  <c r="E5620" i="7" s="1"/>
  <c r="D5384" i="7"/>
  <c r="E5384" i="7" s="1"/>
  <c r="D5045" i="7"/>
  <c r="E5045" i="7" s="1"/>
  <c r="D5156" i="7"/>
  <c r="E5156" i="7" s="1"/>
  <c r="D5501" i="7"/>
  <c r="E5501" i="7" s="1"/>
  <c r="D4829" i="7"/>
  <c r="E4829" i="7" s="1"/>
  <c r="D4936" i="7"/>
  <c r="E4936" i="7" s="1"/>
  <c r="D4724" i="7"/>
  <c r="E4724" i="7" s="1"/>
  <c r="D90" i="7"/>
  <c r="E90" i="7" s="1"/>
  <c r="D280" i="7"/>
  <c r="E280" i="7" s="1"/>
  <c r="D392" i="7"/>
  <c r="E392" i="7" s="1"/>
  <c r="D606" i="7"/>
  <c r="E606" i="7" s="1"/>
  <c r="J351" i="2"/>
  <c r="D1092" i="7"/>
  <c r="E1092" i="7" s="1"/>
  <c r="D527" i="7"/>
  <c r="E527" i="7" s="1"/>
  <c r="D295" i="7"/>
  <c r="E295" i="7" s="1"/>
  <c r="D410" i="7"/>
  <c r="E410" i="7" s="1"/>
  <c r="D735" i="7"/>
  <c r="E735" i="7" s="1"/>
  <c r="D872" i="7"/>
  <c r="E872" i="7" s="1"/>
  <c r="D105" i="7"/>
  <c r="E105" i="7" s="1"/>
  <c r="D744" i="7"/>
  <c r="E744" i="7" s="1"/>
  <c r="D290" i="7"/>
  <c r="E290" i="7" s="1"/>
  <c r="D621" i="7"/>
  <c r="E621" i="7" s="1"/>
  <c r="D1294" i="7"/>
  <c r="E1294" i="7" s="1"/>
  <c r="D404" i="7"/>
  <c r="E404" i="7" s="1"/>
  <c r="D190" i="7"/>
  <c r="E190" i="7" s="1"/>
  <c r="D99" i="7"/>
  <c r="E99" i="7" s="1"/>
  <c r="D42" i="7"/>
  <c r="E42" i="7" s="1"/>
  <c r="D613" i="7"/>
  <c r="E613" i="7" s="1"/>
  <c r="D1189" i="7"/>
  <c r="E1189" i="7" s="1"/>
  <c r="D40" i="7"/>
  <c r="E40" i="7" s="1"/>
  <c r="D882" i="7"/>
  <c r="E882" i="7" s="1"/>
  <c r="D5452" i="7"/>
  <c r="E5452" i="7" s="1"/>
  <c r="D5571" i="7"/>
  <c r="E5571" i="7" s="1"/>
  <c r="D5107" i="7"/>
  <c r="E5107" i="7" s="1"/>
  <c r="D5220" i="7"/>
  <c r="E5220" i="7" s="1"/>
  <c r="D4996" i="7"/>
  <c r="E4996" i="7" s="1"/>
  <c r="D4780" i="7"/>
  <c r="E4780" i="7" s="1"/>
  <c r="D4471" i="7"/>
  <c r="E4471" i="7" s="1"/>
  <c r="D3996" i="7"/>
  <c r="E3996" i="7" s="1"/>
  <c r="D4572" i="7"/>
  <c r="E4572" i="7" s="1"/>
  <c r="D4275" i="7"/>
  <c r="E4275" i="7" s="1"/>
  <c r="D4372" i="7"/>
  <c r="E4372" i="7" s="1"/>
  <c r="D4887" i="7"/>
  <c r="E4887" i="7" s="1"/>
  <c r="D4180" i="7"/>
  <c r="E4180" i="7" s="1"/>
  <c r="D5335" i="7"/>
  <c r="E5335" i="7" s="1"/>
  <c r="D4675" i="7"/>
  <c r="E4675" i="7" s="1"/>
  <c r="D3907" i="7"/>
  <c r="E3907" i="7" s="1"/>
  <c r="D2816" i="7"/>
  <c r="E2816" i="7" s="1"/>
  <c r="D3412" i="7"/>
  <c r="E3412" i="7" s="1"/>
  <c r="D2959" i="7"/>
  <c r="E2959" i="7" s="1"/>
  <c r="D3735" i="7"/>
  <c r="E3735" i="7" s="1"/>
  <c r="D3571" i="7"/>
  <c r="E3571" i="7" s="1"/>
  <c r="D2923" i="7"/>
  <c r="E2923" i="7" s="1"/>
  <c r="D4087" i="7"/>
  <c r="E4087" i="7" s="1"/>
  <c r="D3820" i="7"/>
  <c r="E3820" i="7" s="1"/>
  <c r="D2509" i="7"/>
  <c r="E2509" i="7" s="1"/>
  <c r="D2253" i="7"/>
  <c r="E2253" i="7" s="1"/>
  <c r="D3257" i="7"/>
  <c r="E3257" i="7" s="1"/>
  <c r="D3069" i="7"/>
  <c r="E3069" i="7" s="1"/>
  <c r="D2542" i="7"/>
  <c r="E2542" i="7" s="1"/>
  <c r="D3373" i="7"/>
  <c r="E3373" i="7" s="1"/>
  <c r="D3219" i="7"/>
  <c r="E3219" i="7" s="1"/>
  <c r="D2161" i="7"/>
  <c r="E2161" i="7" s="1"/>
  <c r="D3531" i="7"/>
  <c r="E3531" i="7" s="1"/>
  <c r="D3652" i="7"/>
  <c r="E3652" i="7" s="1"/>
  <c r="D3106" i="7"/>
  <c r="E3106" i="7" s="1"/>
  <c r="D2284" i="7"/>
  <c r="E2284" i="7" s="1"/>
  <c r="D1059" i="7"/>
  <c r="E1059" i="7" s="1"/>
  <c r="D1365" i="7"/>
  <c r="E1365" i="7" s="1"/>
  <c r="D2013" i="7"/>
  <c r="E2013" i="7" s="1"/>
  <c r="D2411" i="7"/>
  <c r="E2411" i="7" s="1"/>
  <c r="D2781" i="7"/>
  <c r="E2781" i="7" s="1"/>
  <c r="D2677" i="7"/>
  <c r="E2677" i="7" s="1"/>
  <c r="D1816" i="7"/>
  <c r="E1816" i="7" s="1"/>
  <c r="D1622" i="7"/>
  <c r="E1622" i="7" s="1"/>
  <c r="D1602" i="7"/>
  <c r="E1602" i="7" s="1"/>
  <c r="D2643" i="7"/>
  <c r="E2643" i="7" s="1"/>
  <c r="D2379" i="7"/>
  <c r="E2379" i="7" s="1"/>
  <c r="D1665" i="7"/>
  <c r="E1665" i="7" s="1"/>
  <c r="D477" i="7"/>
  <c r="E477" i="7" s="1"/>
  <c r="D1507" i="7"/>
  <c r="E1507" i="7" s="1"/>
  <c r="D361" i="7"/>
  <c r="E361" i="7" s="1"/>
  <c r="D826" i="7"/>
  <c r="E826" i="7" s="1"/>
  <c r="D1712" i="7"/>
  <c r="E1712" i="7" s="1"/>
  <c r="D2131" i="7"/>
  <c r="E2131" i="7" s="1"/>
  <c r="D1408" i="7"/>
  <c r="E1408" i="7" s="1"/>
  <c r="D1763" i="7"/>
  <c r="E1763" i="7" s="1"/>
  <c r="D963" i="7"/>
  <c r="E963" i="7" s="1"/>
  <c r="D1472" i="7"/>
  <c r="E1472" i="7" s="1"/>
  <c r="D1153" i="7"/>
  <c r="E1153" i="7" s="1"/>
  <c r="D1544" i="7"/>
  <c r="E1544" i="7" s="1"/>
  <c r="D1255" i="7"/>
  <c r="E1255" i="7" s="1"/>
  <c r="D1899" i="7"/>
  <c r="E1899" i="7" s="1"/>
  <c r="D1927" i="7"/>
  <c r="E1927" i="7" s="1"/>
  <c r="D1439" i="7"/>
  <c r="E1439" i="7" s="1"/>
  <c r="D255" i="7"/>
  <c r="E255" i="7" s="1"/>
  <c r="D817" i="7"/>
  <c r="E817" i="7" s="1"/>
  <c r="D694" i="7"/>
  <c r="E694" i="7" s="1"/>
  <c r="D366" i="7"/>
  <c r="E366" i="7" s="1"/>
  <c r="D251" i="7"/>
  <c r="E251" i="7" s="1"/>
  <c r="D489" i="7"/>
  <c r="E489" i="7" s="1"/>
  <c r="D2042" i="7"/>
  <c r="E2042" i="7" s="1"/>
  <c r="D247" i="7"/>
  <c r="E247" i="7" s="1"/>
  <c r="D151" i="7"/>
  <c r="E151" i="7" s="1"/>
  <c r="D483" i="7"/>
  <c r="E483" i="7" s="1"/>
  <c r="D1563" i="7"/>
  <c r="E1563" i="7" s="1"/>
  <c r="D4625" i="7"/>
  <c r="E4625" i="7" s="1"/>
  <c r="D5513" i="7"/>
  <c r="E5513" i="7" s="1"/>
  <c r="D5165" i="7"/>
  <c r="E5165" i="7" s="1"/>
  <c r="D5053" i="7"/>
  <c r="E5053" i="7" s="1"/>
  <c r="D4943" i="7"/>
  <c r="E4943" i="7" s="1"/>
  <c r="D5279" i="7"/>
  <c r="E5279" i="7" s="1"/>
  <c r="D5395" i="7"/>
  <c r="E5395" i="7" s="1"/>
  <c r="D4135" i="7"/>
  <c r="E4135" i="7" s="1"/>
  <c r="D3493" i="7"/>
  <c r="E3493" i="7" s="1"/>
  <c r="D4523" i="7"/>
  <c r="E4523" i="7" s="1"/>
  <c r="D4729" i="7"/>
  <c r="E4729" i="7" s="1"/>
  <c r="D3953" i="7"/>
  <c r="E3953" i="7" s="1"/>
  <c r="D4835" i="7"/>
  <c r="E4835" i="7" s="1"/>
  <c r="D4423" i="7"/>
  <c r="E4423" i="7" s="1"/>
  <c r="D3453" i="7"/>
  <c r="E3453" i="7" s="1"/>
  <c r="D4043" i="7"/>
  <c r="E4043" i="7" s="1"/>
  <c r="D3145" i="7"/>
  <c r="E3145" i="7" s="1"/>
  <c r="D4325" i="7"/>
  <c r="E4325" i="7" s="1"/>
  <c r="D3779" i="7"/>
  <c r="E3779" i="7" s="1"/>
  <c r="D4229" i="7"/>
  <c r="E4229" i="7" s="1"/>
  <c r="D3613" i="7"/>
  <c r="E3613" i="7" s="1"/>
  <c r="D3297" i="7"/>
  <c r="E3297" i="7" s="1"/>
  <c r="D3865" i="7"/>
  <c r="E3865" i="7" s="1"/>
  <c r="D2577" i="7"/>
  <c r="E2577" i="7" s="1"/>
  <c r="D2889" i="7"/>
  <c r="E2889" i="7" s="1"/>
  <c r="D2611" i="7"/>
  <c r="E2611" i="7" s="1"/>
  <c r="D3695" i="7"/>
  <c r="E3695" i="7" s="1"/>
  <c r="D2997" i="7"/>
  <c r="E2997" i="7" s="1"/>
  <c r="D2748" i="7"/>
  <c r="E2748" i="7" s="1"/>
  <c r="D3336" i="7"/>
  <c r="E3336" i="7" s="1"/>
  <c r="D3034" i="7"/>
  <c r="E3034" i="7" s="1"/>
  <c r="D1645" i="7"/>
  <c r="E1645" i="7" s="1"/>
  <c r="D2073" i="7"/>
  <c r="E2073" i="7" s="1"/>
  <c r="D3183" i="7"/>
  <c r="E3183" i="7" s="1"/>
  <c r="D2713" i="7"/>
  <c r="E2713" i="7" s="1"/>
  <c r="D2478" i="7"/>
  <c r="E2478" i="7" s="1"/>
  <c r="D2193" i="7"/>
  <c r="E2193" i="7" s="1"/>
  <c r="D2317" i="7"/>
  <c r="E2317" i="7" s="1"/>
  <c r="D1986" i="7"/>
  <c r="E1986" i="7" s="1"/>
  <c r="D1584" i="7"/>
  <c r="E1584" i="7" s="1"/>
  <c r="D2853" i="7"/>
  <c r="E2853" i="7" s="1"/>
  <c r="D2349" i="7"/>
  <c r="E2349" i="7" s="1"/>
  <c r="D1690" i="7"/>
  <c r="E1690" i="7" s="1"/>
  <c r="D1205" i="7"/>
  <c r="E1205" i="7" s="1"/>
  <c r="D1957" i="7"/>
  <c r="E1957" i="7" s="1"/>
  <c r="D1457" i="7"/>
  <c r="E1457" i="7" s="1"/>
  <c r="D756" i="7"/>
  <c r="E756" i="7" s="1"/>
  <c r="D640" i="7"/>
  <c r="E640" i="7" s="1"/>
  <c r="D1739" i="7"/>
  <c r="E1739" i="7" s="1"/>
  <c r="D1527" i="7"/>
  <c r="E1527" i="7" s="1"/>
  <c r="D1791" i="7"/>
  <c r="E1791" i="7" s="1"/>
  <c r="D1873" i="7"/>
  <c r="E1873" i="7" s="1"/>
  <c r="D1845" i="7"/>
  <c r="E1845" i="7" s="1"/>
  <c r="D1425" i="7"/>
  <c r="E1425" i="7" s="1"/>
  <c r="D1017" i="7"/>
  <c r="E1017" i="7" s="1"/>
  <c r="D1491" i="7"/>
  <c r="E1491" i="7" s="1"/>
  <c r="D2445" i="7"/>
  <c r="E2445" i="7" s="1"/>
  <c r="D2103" i="7"/>
  <c r="E2103" i="7" s="1"/>
  <c r="D313" i="7"/>
  <c r="E313" i="7" s="1"/>
  <c r="D537" i="7"/>
  <c r="E537" i="7" s="1"/>
  <c r="D1311" i="7"/>
  <c r="E1311" i="7" s="1"/>
  <c r="D308" i="7"/>
  <c r="E308" i="7" s="1"/>
  <c r="D425" i="7"/>
  <c r="E425" i="7" s="1"/>
  <c r="D895" i="7"/>
  <c r="E895" i="7" s="1"/>
  <c r="D303" i="7"/>
  <c r="E303" i="7" s="1"/>
  <c r="D419" i="7"/>
  <c r="E419" i="7" s="1"/>
  <c r="D1107" i="7"/>
  <c r="E1107" i="7" s="1"/>
  <c r="D1395" i="7"/>
  <c r="E1395" i="7" s="1"/>
  <c r="D4890" i="7"/>
  <c r="E4890" i="7" s="1"/>
  <c r="D4678" i="7"/>
  <c r="E4678" i="7" s="1"/>
  <c r="D4999" i="7"/>
  <c r="E4999" i="7" s="1"/>
  <c r="D4783" i="7"/>
  <c r="E4783" i="7" s="1"/>
  <c r="D5574" i="7"/>
  <c r="E5574" i="7" s="1"/>
  <c r="D5338" i="7"/>
  <c r="E5338" i="7" s="1"/>
  <c r="D5455" i="7"/>
  <c r="E5455" i="7" s="1"/>
  <c r="D3910" i="7"/>
  <c r="E3910" i="7" s="1"/>
  <c r="D3415" i="7"/>
  <c r="E3415" i="7" s="1"/>
  <c r="D3574" i="7"/>
  <c r="E3574" i="7" s="1"/>
  <c r="D5110" i="7"/>
  <c r="E5110" i="7" s="1"/>
  <c r="D4375" i="7"/>
  <c r="E4375" i="7" s="1"/>
  <c r="D4278" i="7"/>
  <c r="E4278" i="7" s="1"/>
  <c r="D4090" i="7"/>
  <c r="E4090" i="7" s="1"/>
  <c r="D4474" i="7"/>
  <c r="E4474" i="7" s="1"/>
  <c r="D5223" i="7"/>
  <c r="E5223" i="7" s="1"/>
  <c r="D3738" i="7"/>
  <c r="E3738" i="7" s="1"/>
  <c r="D3534" i="7"/>
  <c r="E3534" i="7" s="1"/>
  <c r="D3376" i="7"/>
  <c r="E3376" i="7" s="1"/>
  <c r="D3823" i="7"/>
  <c r="E3823" i="7" s="1"/>
  <c r="D4183" i="7"/>
  <c r="E4183" i="7" s="1"/>
  <c r="D4575" i="7"/>
  <c r="E4575" i="7" s="1"/>
  <c r="D3999" i="7"/>
  <c r="E3999" i="7" s="1"/>
  <c r="D3072" i="7"/>
  <c r="E3072" i="7" s="1"/>
  <c r="D2646" i="7"/>
  <c r="E2646" i="7" s="1"/>
  <c r="D2287" i="7"/>
  <c r="E2287" i="7" s="1"/>
  <c r="D2134" i="7"/>
  <c r="E2134" i="7" s="1"/>
  <c r="D2680" i="7"/>
  <c r="E2680" i="7" s="1"/>
  <c r="D3222" i="7"/>
  <c r="E3222" i="7" s="1"/>
  <c r="D2926" i="7"/>
  <c r="E2926" i="7" s="1"/>
  <c r="D3109" i="7"/>
  <c r="E3109" i="7" s="1"/>
  <c r="D2784" i="7"/>
  <c r="E2784" i="7" s="1"/>
  <c r="D3655" i="7"/>
  <c r="E3655" i="7" s="1"/>
  <c r="D2962" i="7"/>
  <c r="E2962" i="7" s="1"/>
  <c r="D2016" i="7"/>
  <c r="E2016" i="7" s="1"/>
  <c r="D1715" i="7"/>
  <c r="E1715" i="7" s="1"/>
  <c r="D3260" i="7"/>
  <c r="E3260" i="7" s="1"/>
  <c r="D2256" i="7"/>
  <c r="E2256" i="7" s="1"/>
  <c r="D2382" i="7"/>
  <c r="E2382" i="7" s="1"/>
  <c r="D2819" i="7"/>
  <c r="E2819" i="7" s="1"/>
  <c r="D2545" i="7"/>
  <c r="E2545" i="7" s="1"/>
  <c r="D2045" i="7"/>
  <c r="E2045" i="7" s="1"/>
  <c r="D492" i="7"/>
  <c r="E492" i="7" s="1"/>
  <c r="D1411" i="7"/>
  <c r="E1411" i="7" s="1"/>
  <c r="D2414" i="7"/>
  <c r="E2414" i="7" s="1"/>
  <c r="D1605" i="7"/>
  <c r="E1605" i="7" s="1"/>
  <c r="D2512" i="7"/>
  <c r="E2512" i="7" s="1"/>
  <c r="D1766" i="7"/>
  <c r="E1766" i="7" s="1"/>
  <c r="D1368" i="7"/>
  <c r="E1368" i="7" s="1"/>
  <c r="D1475" i="7"/>
  <c r="E1475" i="7" s="1"/>
  <c r="D1819" i="7"/>
  <c r="E1819" i="7" s="1"/>
  <c r="D1156" i="7"/>
  <c r="E1156" i="7" s="1"/>
  <c r="D1547" i="7"/>
  <c r="E1547" i="7" s="1"/>
  <c r="D820" i="7"/>
  <c r="E820" i="7" s="1"/>
  <c r="D1258" i="7"/>
  <c r="E1258" i="7" s="1"/>
  <c r="D1625" i="7"/>
  <c r="E1625" i="7" s="1"/>
  <c r="D486" i="7"/>
  <c r="E486" i="7" s="1"/>
  <c r="D1902" i="7"/>
  <c r="E1902" i="7" s="1"/>
  <c r="D1566" i="7"/>
  <c r="E1566" i="7" s="1"/>
  <c r="D2164" i="7"/>
  <c r="E2164" i="7" s="1"/>
  <c r="D1930" i="7"/>
  <c r="E1930" i="7" s="1"/>
  <c r="D1668" i="7"/>
  <c r="E1668" i="7" s="1"/>
  <c r="D697" i="7"/>
  <c r="E697" i="7" s="1"/>
  <c r="D1442" i="7"/>
  <c r="E1442" i="7" s="1"/>
  <c r="D1062" i="7"/>
  <c r="E1062" i="7" s="1"/>
  <c r="D966" i="7"/>
  <c r="E966" i="7" s="1"/>
  <c r="D1510" i="7"/>
  <c r="E1510" i="7" s="1"/>
  <c r="D1287" i="7"/>
  <c r="E1287" i="7" s="1"/>
  <c r="D724" i="7"/>
  <c r="E724" i="7" s="1"/>
  <c r="D1183" i="7"/>
  <c r="E1183" i="7" s="1"/>
  <c r="D999" i="7"/>
  <c r="E999" i="7" s="1"/>
  <c r="D869" i="7"/>
  <c r="E869" i="7" s="1"/>
  <c r="D1087" i="7"/>
  <c r="E1087" i="7" s="1"/>
  <c r="D733" i="7"/>
  <c r="E733" i="7" s="1"/>
  <c r="D859" i="7"/>
  <c r="E859" i="7" s="1"/>
  <c r="D1389" i="7"/>
  <c r="E1389" i="7" s="1"/>
  <c r="D1278" i="7"/>
  <c r="E1278" i="7" s="1"/>
  <c r="D5373" i="7"/>
  <c r="E5373" i="7" s="1"/>
  <c r="D4713" i="7"/>
  <c r="E4713" i="7" s="1"/>
  <c r="D4818" i="7"/>
  <c r="E4818" i="7" s="1"/>
  <c r="D5490" i="7"/>
  <c r="E5490" i="7" s="1"/>
  <c r="D5145" i="7"/>
  <c r="E5145" i="7" s="1"/>
  <c r="D5609" i="7"/>
  <c r="E5609" i="7" s="1"/>
  <c r="D3690" i="7"/>
  <c r="E3690" i="7" s="1"/>
  <c r="D3858" i="7"/>
  <c r="E3858" i="7" s="1"/>
  <c r="D3773" i="7"/>
  <c r="E3773" i="7" s="1"/>
  <c r="D5034" i="7"/>
  <c r="E5034" i="7" s="1"/>
  <c r="D5258" i="7"/>
  <c r="E5258" i="7" s="1"/>
  <c r="D4610" i="7"/>
  <c r="E4610" i="7" s="1"/>
  <c r="D4218" i="7"/>
  <c r="E4218" i="7" s="1"/>
  <c r="D4410" i="7"/>
  <c r="E4410" i="7" s="1"/>
  <c r="D4313" i="7"/>
  <c r="E4313" i="7" s="1"/>
  <c r="D4925" i="7"/>
  <c r="E4925" i="7" s="1"/>
  <c r="D4125" i="7"/>
  <c r="E4125" i="7" s="1"/>
  <c r="D4034" i="7"/>
  <c r="E4034" i="7" s="1"/>
  <c r="D4509" i="7"/>
  <c r="E4509" i="7" s="1"/>
  <c r="D3945" i="7"/>
  <c r="E3945" i="7" s="1"/>
  <c r="D223" i="7"/>
  <c r="E223" i="7" s="1"/>
  <c r="D336" i="7"/>
  <c r="E336" i="7" s="1"/>
  <c r="D5392" i="7"/>
  <c r="E5392" i="7" s="1"/>
  <c r="D5510" i="7"/>
  <c r="E5510" i="7" s="1"/>
  <c r="D5050" i="7"/>
  <c r="E5050" i="7" s="1"/>
  <c r="D5162" i="7"/>
  <c r="E5162" i="7" s="1"/>
  <c r="D4622" i="7"/>
  <c r="E4622" i="7" s="1"/>
  <c r="D4940" i="7"/>
  <c r="E4940" i="7" s="1"/>
  <c r="D4832" i="7"/>
  <c r="E4832" i="7" s="1"/>
  <c r="D4322" i="7"/>
  <c r="E4322" i="7" s="1"/>
  <c r="D4226" i="7"/>
  <c r="E4226" i="7" s="1"/>
  <c r="D5276" i="7"/>
  <c r="E5276" i="7" s="1"/>
  <c r="D4420" i="7"/>
  <c r="E4420" i="7" s="1"/>
  <c r="D4520" i="7"/>
  <c r="E4520" i="7" s="1"/>
  <c r="D4726" i="7"/>
  <c r="E4726" i="7" s="1"/>
  <c r="D3692" i="7"/>
  <c r="E3692" i="7" s="1"/>
  <c r="D3180" i="7"/>
  <c r="E3180" i="7" s="1"/>
  <c r="D4132" i="7"/>
  <c r="E4132" i="7" s="1"/>
  <c r="D3490" i="7"/>
  <c r="E3490" i="7" s="1"/>
  <c r="D4040" i="7"/>
  <c r="E4040" i="7" s="1"/>
  <c r="D3333" i="7"/>
  <c r="E3333" i="7" s="1"/>
  <c r="D3776" i="7"/>
  <c r="E3776" i="7" s="1"/>
  <c r="D3950" i="7"/>
  <c r="E3950" i="7" s="1"/>
  <c r="D2475" i="7"/>
  <c r="E2475" i="7" s="1"/>
  <c r="D3862" i="7"/>
  <c r="E3862" i="7" s="1"/>
  <c r="D3610" i="7"/>
  <c r="E3610" i="7" s="1"/>
  <c r="D2850" i="7"/>
  <c r="E2850" i="7" s="1"/>
  <c r="D3142" i="7"/>
  <c r="E3142" i="7" s="1"/>
  <c r="D2886" i="7"/>
  <c r="E2886" i="7" s="1"/>
  <c r="D3450" i="7"/>
  <c r="E3450" i="7" s="1"/>
  <c r="D2994" i="7"/>
  <c r="E2994" i="7" s="1"/>
  <c r="D2710" i="7"/>
  <c r="E2710" i="7" s="1"/>
  <c r="D2745" i="7"/>
  <c r="E2745" i="7" s="1"/>
  <c r="D3294" i="7"/>
  <c r="E3294" i="7" s="1"/>
  <c r="D3031" i="7"/>
  <c r="E3031" i="7" s="1"/>
  <c r="D1788" i="7"/>
  <c r="E1788" i="7" s="1"/>
  <c r="D2346" i="7"/>
  <c r="E2346" i="7" s="1"/>
  <c r="D1954" i="7"/>
  <c r="E1954" i="7" s="1"/>
  <c r="D2574" i="7"/>
  <c r="E2574" i="7" s="1"/>
  <c r="D2070" i="7"/>
  <c r="E2070" i="7" s="1"/>
  <c r="D2190" i="7"/>
  <c r="E2190" i="7" s="1"/>
  <c r="D2314" i="7"/>
  <c r="E2314" i="7" s="1"/>
  <c r="D1983" i="7"/>
  <c r="E1983" i="7" s="1"/>
  <c r="D2608" i="7"/>
  <c r="E2608" i="7" s="1"/>
  <c r="D1104" i="7"/>
  <c r="E1104" i="7" s="1"/>
  <c r="D48" i="7"/>
  <c r="E48" i="7" s="1"/>
  <c r="D1392" i="7"/>
  <c r="E1392" i="7" s="1"/>
  <c r="D1308" i="7"/>
  <c r="E1308" i="7" s="1"/>
  <c r="D114" i="7"/>
  <c r="E114" i="7" s="1"/>
  <c r="D1581" i="7"/>
  <c r="E1581" i="7" s="1"/>
  <c r="D1202" i="7"/>
  <c r="E1202" i="7" s="1"/>
  <c r="D1687" i="7"/>
  <c r="E1687" i="7" s="1"/>
  <c r="D1454" i="7"/>
  <c r="E1454" i="7" s="1"/>
  <c r="D1524" i="7"/>
  <c r="E1524" i="7" s="1"/>
  <c r="D892" i="7"/>
  <c r="E892" i="7" s="1"/>
  <c r="D1736" i="7"/>
  <c r="E1736" i="7" s="1"/>
  <c r="D1842" i="7"/>
  <c r="E1842" i="7" s="1"/>
  <c r="D1870" i="7"/>
  <c r="E1870" i="7" s="1"/>
  <c r="D2442" i="7"/>
  <c r="E2442" i="7" s="1"/>
  <c r="D2100" i="7"/>
  <c r="E2100" i="7" s="1"/>
  <c r="D1642" i="7"/>
  <c r="E1642" i="7" s="1"/>
  <c r="D310" i="7"/>
  <c r="E310" i="7" s="1"/>
  <c r="D198" i="7"/>
  <c r="E198" i="7" s="1"/>
  <c r="D534" i="7"/>
  <c r="E534" i="7" s="1"/>
  <c r="D194" i="7"/>
  <c r="E194" i="7" s="1"/>
  <c r="D1422" i="7"/>
  <c r="E1422" i="7" s="1"/>
  <c r="D422" i="7"/>
  <c r="E422" i="7" s="1"/>
  <c r="D637" i="7"/>
  <c r="E637" i="7" s="1"/>
  <c r="D1014" i="7"/>
  <c r="E1014" i="7" s="1"/>
  <c r="D1488" i="7"/>
  <c r="E1488" i="7" s="1"/>
  <c r="D629" i="7"/>
  <c r="E629" i="7" s="1"/>
  <c r="D1196" i="7"/>
  <c r="E1196" i="7" s="1"/>
  <c r="D742" i="7"/>
  <c r="E742" i="7" s="1"/>
  <c r="D879" i="7"/>
  <c r="E879" i="7" s="1"/>
  <c r="D1301" i="7"/>
  <c r="E1301" i="7" s="1"/>
  <c r="D751" i="7"/>
  <c r="E751" i="7" s="1"/>
  <c r="D1099" i="7"/>
  <c r="E1099" i="7" s="1"/>
  <c r="D889" i="7"/>
  <c r="E889" i="7" s="1"/>
  <c r="D1010" i="7"/>
  <c r="E1010" i="7" s="1"/>
  <c r="D5432" i="7"/>
  <c r="E5432" i="7" s="1"/>
  <c r="D4872" i="7"/>
  <c r="E4872" i="7" s="1"/>
  <c r="D4766" i="7"/>
  <c r="E4766" i="7" s="1"/>
  <c r="D4980" i="7"/>
  <c r="E4980" i="7" s="1"/>
  <c r="D5550" i="7"/>
  <c r="E5550" i="7" s="1"/>
  <c r="D5202" i="7"/>
  <c r="E5202" i="7" s="1"/>
  <c r="D4662" i="7"/>
  <c r="E4662" i="7" s="1"/>
  <c r="D5316" i="7"/>
  <c r="E5316" i="7" s="1"/>
  <c r="D5090" i="7"/>
  <c r="E5090" i="7" s="1"/>
  <c r="D4172" i="7"/>
  <c r="E4172" i="7" s="1"/>
  <c r="D4080" i="7"/>
  <c r="E4080" i="7" s="1"/>
  <c r="D4460" i="7"/>
  <c r="E4460" i="7" s="1"/>
  <c r="D3732" i="7"/>
  <c r="E3732" i="7" s="1"/>
  <c r="D3902" i="7"/>
  <c r="E3902" i="7" s="1"/>
  <c r="D4560" i="7"/>
  <c r="E4560" i="7" s="1"/>
  <c r="D3990" i="7"/>
  <c r="E3990" i="7" s="1"/>
  <c r="D4266" i="7"/>
  <c r="E4266" i="7" s="1"/>
  <c r="D4362" i="7"/>
  <c r="E4362" i="7" s="1"/>
  <c r="D3816" i="7"/>
  <c r="E3816" i="7" s="1"/>
  <c r="D91" i="7"/>
  <c r="E91" i="7" s="1"/>
  <c r="D281" i="7"/>
  <c r="E281" i="7" s="1"/>
  <c r="D263" i="7"/>
  <c r="E263" i="7" s="1"/>
  <c r="D1165" i="7"/>
  <c r="E1165" i="7" s="1"/>
  <c r="D844" i="7"/>
  <c r="E844" i="7" s="1"/>
  <c r="D591" i="7"/>
  <c r="E591" i="7" s="1"/>
  <c r="D376" i="7"/>
  <c r="E376" i="7" s="1"/>
  <c r="D983" i="7"/>
  <c r="E983" i="7" s="1"/>
  <c r="D702" i="7"/>
  <c r="E702" i="7" s="1"/>
  <c r="D835" i="7"/>
  <c r="E835" i="7" s="1"/>
  <c r="D1379" i="7"/>
  <c r="E1379" i="7" s="1"/>
  <c r="D973" i="7"/>
  <c r="E973" i="7" s="1"/>
  <c r="D371" i="7"/>
  <c r="E371" i="7" s="1"/>
  <c r="D1268" i="7"/>
  <c r="E1268" i="7" s="1"/>
  <c r="D160" i="7"/>
  <c r="E160" i="7" s="1"/>
  <c r="D495" i="7"/>
  <c r="E495" i="7" s="1"/>
  <c r="D157" i="7"/>
  <c r="E157" i="7" s="1"/>
  <c r="D154" i="7"/>
  <c r="E154" i="7" s="1"/>
  <c r="D267" i="7"/>
  <c r="E267" i="7" s="1"/>
  <c r="D710" i="7"/>
  <c r="E710" i="7" s="1"/>
  <c r="D1070" i="7"/>
  <c r="E1070" i="7" s="1"/>
  <c r="D774" i="7"/>
  <c r="E774" i="7" s="1"/>
  <c r="D915" i="7"/>
  <c r="E915" i="7" s="1"/>
  <c r="D1325" i="7"/>
  <c r="E1325" i="7" s="1"/>
  <c r="D1218" i="7"/>
  <c r="E1218" i="7" s="1"/>
  <c r="D2224" i="7"/>
  <c r="E2224" i="7" s="1"/>
  <c r="D648" i="7"/>
  <c r="E648" i="7" s="1"/>
  <c r="D905" i="7"/>
  <c r="E905" i="7" s="1"/>
  <c r="D431" i="7"/>
  <c r="E431" i="7" s="1"/>
  <c r="D765" i="7"/>
  <c r="E765" i="7" s="1"/>
  <c r="D1028" i="7"/>
  <c r="E1028" i="7" s="1"/>
  <c r="D551" i="7"/>
  <c r="E551" i="7" s="1"/>
  <c r="D323" i="7"/>
  <c r="E323" i="7" s="1"/>
  <c r="D1119" i="7"/>
  <c r="E1119" i="7" s="1"/>
  <c r="D838" i="7"/>
  <c r="E838" i="7" s="1"/>
  <c r="D1382" i="7"/>
  <c r="E1382" i="7" s="1"/>
  <c r="D1073" i="7"/>
  <c r="E1073" i="7" s="1"/>
  <c r="D847" i="7"/>
  <c r="E847" i="7" s="1"/>
  <c r="D1168" i="7"/>
  <c r="E1168" i="7" s="1"/>
  <c r="D713" i="7"/>
  <c r="E713" i="7" s="1"/>
  <c r="D986" i="7"/>
  <c r="E986" i="7" s="1"/>
  <c r="D594" i="7"/>
  <c r="E594" i="7" s="1"/>
  <c r="D504" i="7"/>
  <c r="E504" i="7" s="1"/>
  <c r="D1271" i="7"/>
  <c r="E1271" i="7" s="1"/>
  <c r="D4537" i="7"/>
  <c r="E4537" i="7" s="1"/>
  <c r="D5409" i="7"/>
  <c r="E5409" i="7" s="1"/>
  <c r="D5527" i="7"/>
  <c r="E5527" i="7" s="1"/>
  <c r="D5067" i="7"/>
  <c r="E5067" i="7" s="1"/>
  <c r="D4437" i="7"/>
  <c r="E4437" i="7" s="1"/>
  <c r="D4243" i="7"/>
  <c r="E4243" i="7" s="1"/>
  <c r="D5179" i="7"/>
  <c r="E5179" i="7" s="1"/>
  <c r="D4957" i="7"/>
  <c r="E4957" i="7" s="1"/>
  <c r="D3159" i="7"/>
  <c r="E3159" i="7" s="1"/>
  <c r="D5293" i="7"/>
  <c r="E5293" i="7" s="1"/>
  <c r="D4639" i="7"/>
  <c r="E4639" i="7" s="1"/>
  <c r="D3350" i="7"/>
  <c r="E3350" i="7" s="1"/>
  <c r="D4339" i="7"/>
  <c r="E4339" i="7" s="1"/>
  <c r="D4057" i="7"/>
  <c r="E4057" i="7" s="1"/>
  <c r="D4849" i="7"/>
  <c r="E4849" i="7" s="1"/>
  <c r="D3879" i="7"/>
  <c r="E3879" i="7" s="1"/>
  <c r="D3709" i="7"/>
  <c r="E3709" i="7" s="1"/>
  <c r="D3507" i="7"/>
  <c r="E3507" i="7" s="1"/>
  <c r="D3467" i="7"/>
  <c r="E3467" i="7" s="1"/>
  <c r="D4743" i="7"/>
  <c r="E4743" i="7" s="1"/>
  <c r="D4149" i="7"/>
  <c r="E4149" i="7" s="1"/>
  <c r="D3967" i="7"/>
  <c r="E3967" i="7" s="1"/>
  <c r="D3048" i="7"/>
  <c r="E3048" i="7" s="1"/>
  <c r="D2492" i="7"/>
  <c r="E2492" i="7" s="1"/>
  <c r="D3627" i="7"/>
  <c r="E3627" i="7" s="1"/>
  <c r="D3311" i="7"/>
  <c r="E3311" i="7" s="1"/>
  <c r="D3197" i="7"/>
  <c r="E3197" i="7" s="1"/>
  <c r="D2867" i="7"/>
  <c r="E2867" i="7" s="1"/>
  <c r="D2903" i="7"/>
  <c r="E2903" i="7" s="1"/>
  <c r="D2727" i="7"/>
  <c r="E2727" i="7" s="1"/>
  <c r="D3011" i="7"/>
  <c r="E3011" i="7" s="1"/>
  <c r="D2762" i="7"/>
  <c r="E2762" i="7" s="1"/>
  <c r="D3793" i="7"/>
  <c r="E3793" i="7" s="1"/>
  <c r="D1753" i="7"/>
  <c r="E1753" i="7" s="1"/>
  <c r="D1541" i="7"/>
  <c r="E1541" i="7" s="1"/>
  <c r="D2117" i="7"/>
  <c r="E2117" i="7" s="1"/>
  <c r="D1805" i="7"/>
  <c r="E1805" i="7" s="1"/>
  <c r="D2459" i="7"/>
  <c r="E2459" i="7" s="1"/>
  <c r="D2625" i="7"/>
  <c r="E2625" i="7" s="1"/>
  <c r="D2363" i="7"/>
  <c r="E2363" i="7" s="1"/>
  <c r="D1887" i="7"/>
  <c r="E1887" i="7" s="1"/>
  <c r="D2087" i="7"/>
  <c r="E2087" i="7" s="1"/>
  <c r="D2591" i="7"/>
  <c r="E2591" i="7" s="1"/>
  <c r="D1859" i="7"/>
  <c r="E1859" i="7" s="1"/>
  <c r="D2331" i="7"/>
  <c r="E2331" i="7" s="1"/>
  <c r="D1659" i="7"/>
  <c r="E1659" i="7" s="1"/>
  <c r="D1598" i="7"/>
  <c r="E1598" i="7" s="1"/>
  <c r="D1704" i="7"/>
  <c r="E1704" i="7" s="1"/>
  <c r="D1971" i="7"/>
  <c r="E1971" i="7" s="1"/>
  <c r="D2207" i="7"/>
  <c r="E2207" i="7" s="1"/>
  <c r="D2000" i="7"/>
  <c r="E2000" i="7" s="1"/>
  <c r="D5474" i="7"/>
  <c r="E5474" i="7" s="1"/>
  <c r="D4802" i="7"/>
  <c r="E4802" i="7" s="1"/>
  <c r="D4909" i="7"/>
  <c r="E4909" i="7" s="1"/>
  <c r="D5018" i="7"/>
  <c r="E5018" i="7" s="1"/>
  <c r="D5593" i="7"/>
  <c r="E5593" i="7" s="1"/>
  <c r="D5242" i="7"/>
  <c r="E5242" i="7" s="1"/>
  <c r="D5357" i="7"/>
  <c r="E5357" i="7" s="1"/>
  <c r="D5129" i="7"/>
  <c r="E5129" i="7" s="1"/>
  <c r="D3842" i="7"/>
  <c r="E3842" i="7" s="1"/>
  <c r="D3757" i="7"/>
  <c r="E3757" i="7" s="1"/>
  <c r="D3674" i="7"/>
  <c r="E3674" i="7" s="1"/>
  <c r="D4594" i="7"/>
  <c r="E4594" i="7" s="1"/>
  <c r="D4394" i="7"/>
  <c r="E4394" i="7" s="1"/>
  <c r="D4297" i="7"/>
  <c r="E4297" i="7" s="1"/>
  <c r="D3553" i="7"/>
  <c r="E3553" i="7" s="1"/>
  <c r="D4109" i="7"/>
  <c r="E4109" i="7" s="1"/>
  <c r="D4697" i="7"/>
  <c r="E4697" i="7" s="1"/>
  <c r="D4018" i="7"/>
  <c r="E4018" i="7" s="1"/>
  <c r="D2945" i="7"/>
  <c r="E2945" i="7" s="1"/>
  <c r="D3395" i="7"/>
  <c r="E3395" i="7" s="1"/>
  <c r="D3434" i="7"/>
  <c r="E3434" i="7" s="1"/>
  <c r="D3128" i="7"/>
  <c r="E3128" i="7" s="1"/>
  <c r="D4202" i="7"/>
  <c r="E4202" i="7" s="1"/>
  <c r="D3929" i="7"/>
  <c r="E3929" i="7" s="1"/>
  <c r="D3593" i="7"/>
  <c r="E3593" i="7" s="1"/>
  <c r="D3279" i="7"/>
  <c r="E3279" i="7" s="1"/>
  <c r="D4493" i="7"/>
  <c r="E4493" i="7" s="1"/>
  <c r="D2699" i="7"/>
  <c r="E2699" i="7" s="1"/>
  <c r="D3091" i="7"/>
  <c r="E3091" i="7" s="1"/>
  <c r="D2433" i="7"/>
  <c r="E2433" i="7" s="1"/>
  <c r="D1921" i="7"/>
  <c r="E1921" i="7" s="1"/>
  <c r="D2803" i="7"/>
  <c r="E2803" i="7" s="1"/>
  <c r="D3241" i="7"/>
  <c r="E3241" i="7" s="1"/>
  <c r="D2531" i="7"/>
  <c r="E2531" i="7" s="1"/>
  <c r="D2306" i="7"/>
  <c r="E2306" i="7" s="1"/>
  <c r="D2035" i="7"/>
  <c r="E2035" i="7" s="1"/>
  <c r="D1734" i="7"/>
  <c r="E1734" i="7" s="1"/>
  <c r="D1838" i="7"/>
  <c r="E1838" i="7" s="1"/>
  <c r="D2153" i="7"/>
  <c r="E2153" i="7" s="1"/>
  <c r="D2275" i="7"/>
  <c r="E2275" i="7" s="1"/>
  <c r="D2401" i="7"/>
  <c r="E2401" i="7" s="1"/>
  <c r="D2064" i="7"/>
  <c r="E2064" i="7" s="1"/>
  <c r="D2564" i="7"/>
  <c r="E2564" i="7" s="1"/>
  <c r="D2981" i="7"/>
  <c r="E2981" i="7" s="1"/>
  <c r="D2665" i="7"/>
  <c r="E2665" i="7" s="1"/>
  <c r="D1949" i="7"/>
  <c r="E1949" i="7" s="1"/>
  <c r="D2838" i="7"/>
  <c r="E2838" i="7" s="1"/>
  <c r="D2183" i="7"/>
  <c r="E2183" i="7" s="1"/>
  <c r="D1785" i="7"/>
  <c r="E1785" i="7" s="1"/>
  <c r="D4819" i="7"/>
  <c r="E4819" i="7" s="1"/>
  <c r="D4926" i="7"/>
  <c r="E4926" i="7" s="1"/>
  <c r="D5491" i="7"/>
  <c r="E5491" i="7" s="1"/>
  <c r="D5610" i="7"/>
  <c r="E5610" i="7" s="1"/>
  <c r="D5374" i="7"/>
  <c r="E5374" i="7" s="1"/>
  <c r="D4510" i="7"/>
  <c r="E4510" i="7" s="1"/>
  <c r="D5146" i="7"/>
  <c r="E5146" i="7" s="1"/>
  <c r="D5035" i="7"/>
  <c r="E5035" i="7" s="1"/>
  <c r="D3859" i="7"/>
  <c r="E3859" i="7" s="1"/>
  <c r="D3774" i="7"/>
  <c r="E3774" i="7" s="1"/>
  <c r="D4714" i="7"/>
  <c r="E4714" i="7" s="1"/>
  <c r="D5259" i="7"/>
  <c r="E5259" i="7" s="1"/>
  <c r="D4611" i="7"/>
  <c r="E4611" i="7" s="1"/>
  <c r="D4411" i="7"/>
  <c r="E4411" i="7" s="1"/>
  <c r="D4314" i="7"/>
  <c r="E4314" i="7" s="1"/>
  <c r="D4219" i="7"/>
  <c r="E4219" i="7" s="1"/>
  <c r="D4126" i="7"/>
  <c r="E4126" i="7" s="1"/>
  <c r="D4035" i="7"/>
  <c r="E4035" i="7" s="1"/>
  <c r="D3946" i="7"/>
  <c r="E3946" i="7" s="1"/>
  <c r="D127" i="7"/>
  <c r="E127" i="7" s="1"/>
  <c r="D182" i="7"/>
  <c r="E182" i="7" s="1"/>
  <c r="D231" i="7"/>
  <c r="E231" i="7" s="1"/>
  <c r="D700" i="7"/>
  <c r="E700" i="7" s="1"/>
  <c r="D5433" i="7"/>
  <c r="E5433" i="7" s="1"/>
  <c r="D4873" i="7"/>
  <c r="E4873" i="7" s="1"/>
  <c r="D4767" i="7"/>
  <c r="E4767" i="7" s="1"/>
  <c r="D4981" i="7"/>
  <c r="E4981" i="7" s="1"/>
  <c r="D5551" i="7"/>
  <c r="E5551" i="7" s="1"/>
  <c r="D4663" i="7"/>
  <c r="E4663" i="7" s="1"/>
  <c r="D5317" i="7"/>
  <c r="E5317" i="7" s="1"/>
  <c r="D5091" i="7"/>
  <c r="E5091" i="7" s="1"/>
  <c r="D5203" i="7"/>
  <c r="E5203" i="7" s="1"/>
  <c r="D4081" i="7"/>
  <c r="E4081" i="7" s="1"/>
  <c r="D4461" i="7"/>
  <c r="E4461" i="7" s="1"/>
  <c r="D3903" i="7"/>
  <c r="E3903" i="7" s="1"/>
  <c r="D3817" i="7"/>
  <c r="E3817" i="7" s="1"/>
  <c r="D4561" i="7"/>
  <c r="E4561" i="7" s="1"/>
  <c r="D4173" i="7"/>
  <c r="E4173" i="7" s="1"/>
  <c r="D3991" i="7"/>
  <c r="E3991" i="7" s="1"/>
  <c r="D4267" i="7"/>
  <c r="E4267" i="7" s="1"/>
  <c r="D4363" i="7"/>
  <c r="E4363" i="7" s="1"/>
  <c r="D26" i="7"/>
  <c r="E26" i="7" s="1"/>
  <c r="L26" i="2" s="1"/>
  <c r="D540" i="7"/>
  <c r="E540" i="7" s="1"/>
  <c r="D164" i="7"/>
  <c r="E164" i="7" s="1"/>
  <c r="D272" i="7"/>
  <c r="E272" i="7" s="1"/>
  <c r="D382" i="7"/>
  <c r="E382" i="7" s="1"/>
  <c r="D328" i="7"/>
  <c r="E328" i="7" s="1"/>
  <c r="D443" i="7"/>
  <c r="E443" i="7" s="1"/>
  <c r="D1085" i="7"/>
  <c r="E1085" i="7" s="1"/>
  <c r="D610" i="7"/>
  <c r="E610" i="7" s="1"/>
  <c r="D1285" i="7"/>
  <c r="E1285" i="7" s="1"/>
  <c r="D1181" i="7"/>
  <c r="E1181" i="7" s="1"/>
  <c r="D997" i="7"/>
  <c r="E997" i="7" s="1"/>
  <c r="D722" i="7"/>
  <c r="E722" i="7" s="1"/>
  <c r="D602" i="7"/>
  <c r="E602" i="7" s="1"/>
  <c r="D867" i="7"/>
  <c r="E867" i="7" s="1"/>
  <c r="D511" i="7"/>
  <c r="E511" i="7" s="1"/>
  <c r="D731" i="7"/>
  <c r="E731" i="7" s="1"/>
  <c r="D857" i="7"/>
  <c r="E857" i="7" s="1"/>
  <c r="D5012" i="7"/>
  <c r="E5012" i="7" s="1"/>
  <c r="D5351" i="7"/>
  <c r="E5351" i="7" s="1"/>
  <c r="D5587" i="7"/>
  <c r="E5587" i="7" s="1"/>
  <c r="D5468" i="7"/>
  <c r="E5468" i="7" s="1"/>
  <c r="D4796" i="7"/>
  <c r="E4796" i="7" s="1"/>
  <c r="D5123" i="7"/>
  <c r="E5123" i="7" s="1"/>
  <c r="D5236" i="7"/>
  <c r="E5236" i="7" s="1"/>
  <c r="D4903" i="7"/>
  <c r="E4903" i="7" s="1"/>
  <c r="D4012" i="7"/>
  <c r="E4012" i="7" s="1"/>
  <c r="D4588" i="7"/>
  <c r="E4588" i="7" s="1"/>
  <c r="D4291" i="7"/>
  <c r="E4291" i="7" s="1"/>
  <c r="D4388" i="7"/>
  <c r="E4388" i="7" s="1"/>
  <c r="D3235" i="7"/>
  <c r="E3235" i="7" s="1"/>
  <c r="D4103" i="7"/>
  <c r="E4103" i="7" s="1"/>
  <c r="D2832" i="7"/>
  <c r="E2832" i="7" s="1"/>
  <c r="D3668" i="7"/>
  <c r="E3668" i="7" s="1"/>
  <c r="D2975" i="7"/>
  <c r="E2975" i="7" s="1"/>
  <c r="D4196" i="7"/>
  <c r="E4196" i="7" s="1"/>
  <c r="D2939" i="7"/>
  <c r="E2939" i="7" s="1"/>
  <c r="D3389" i="7"/>
  <c r="E3389" i="7" s="1"/>
  <c r="D3122" i="7"/>
  <c r="E3122" i="7" s="1"/>
  <c r="D3751" i="7"/>
  <c r="E3751" i="7" s="1"/>
  <c r="D3923" i="7"/>
  <c r="E3923" i="7" s="1"/>
  <c r="D3547" i="7"/>
  <c r="E3547" i="7" s="1"/>
  <c r="D4487" i="7"/>
  <c r="E4487" i="7" s="1"/>
  <c r="D4691" i="7"/>
  <c r="E4691" i="7" s="1"/>
  <c r="D2525" i="7"/>
  <c r="E2525" i="7" s="1"/>
  <c r="D2558" i="7"/>
  <c r="E2558" i="7" s="1"/>
  <c r="D3836" i="7"/>
  <c r="E3836" i="7" s="1"/>
  <c r="D2693" i="7"/>
  <c r="E2693" i="7" s="1"/>
  <c r="D3587" i="7"/>
  <c r="E3587" i="7" s="1"/>
  <c r="D3085" i="7"/>
  <c r="E3085" i="7" s="1"/>
  <c r="D2177" i="7"/>
  <c r="E2177" i="7" s="1"/>
  <c r="D3273" i="7"/>
  <c r="E3273" i="7" s="1"/>
  <c r="D3428" i="7"/>
  <c r="E3428" i="7" s="1"/>
  <c r="D1915" i="7"/>
  <c r="E1915" i="7" s="1"/>
  <c r="D2659" i="7"/>
  <c r="E2659" i="7" s="1"/>
  <c r="D1681" i="7"/>
  <c r="E1681" i="7" s="1"/>
  <c r="D2300" i="7"/>
  <c r="E2300" i="7" s="1"/>
  <c r="D2427" i="7"/>
  <c r="E2427" i="7" s="1"/>
  <c r="D1779" i="7"/>
  <c r="E1779" i="7" s="1"/>
  <c r="D1832" i="7"/>
  <c r="E1832" i="7" s="1"/>
  <c r="D1638" i="7"/>
  <c r="E1638" i="7" s="1"/>
  <c r="D2147" i="7"/>
  <c r="E2147" i="7" s="1"/>
  <c r="D1943" i="7"/>
  <c r="E1943" i="7" s="1"/>
  <c r="D2058" i="7"/>
  <c r="E2058" i="7" s="1"/>
  <c r="D2269" i="7"/>
  <c r="E2269" i="7" s="1"/>
  <c r="D1579" i="7"/>
  <c r="E1579" i="7" s="1"/>
  <c r="D2029" i="7"/>
  <c r="E2029" i="7" s="1"/>
  <c r="D2395" i="7"/>
  <c r="E2395" i="7" s="1"/>
  <c r="D2797" i="7"/>
  <c r="E2797" i="7" s="1"/>
  <c r="D1728" i="7"/>
  <c r="E1728" i="7" s="1"/>
  <c r="D1618" i="7"/>
  <c r="E1618" i="7" s="1"/>
  <c r="D1560" i="7"/>
  <c r="E1560" i="7" s="1"/>
  <c r="D4964" i="7"/>
  <c r="E4964" i="7" s="1"/>
  <c r="D5074" i="7"/>
  <c r="E5074" i="7" s="1"/>
  <c r="D5534" i="7"/>
  <c r="E5534" i="7" s="1"/>
  <c r="D5300" i="7"/>
  <c r="E5300" i="7" s="1"/>
  <c r="D5416" i="7"/>
  <c r="E5416" i="7" s="1"/>
  <c r="D5186" i="7"/>
  <c r="E5186" i="7" s="1"/>
  <c r="D4064" i="7"/>
  <c r="E4064" i="7" s="1"/>
  <c r="D4544" i="7"/>
  <c r="E4544" i="7" s="1"/>
  <c r="D4856" i="7"/>
  <c r="E4856" i="7" s="1"/>
  <c r="D3634" i="7"/>
  <c r="E3634" i="7" s="1"/>
  <c r="D3886" i="7"/>
  <c r="E3886" i="7" s="1"/>
  <c r="D4750" i="7"/>
  <c r="E4750" i="7" s="1"/>
  <c r="D3716" i="7"/>
  <c r="E3716" i="7" s="1"/>
  <c r="D3474" i="7"/>
  <c r="E3474" i="7" s="1"/>
  <c r="D2769" i="7"/>
  <c r="E2769" i="7" s="1"/>
  <c r="D3514" i="7"/>
  <c r="E3514" i="7" s="1"/>
  <c r="D4646" i="7"/>
  <c r="E4646" i="7" s="1"/>
  <c r="D3800" i="7"/>
  <c r="E3800" i="7" s="1"/>
  <c r="D4444" i="7"/>
  <c r="E4444" i="7" s="1"/>
  <c r="D4156" i="7"/>
  <c r="E4156" i="7" s="1"/>
  <c r="D3974" i="7"/>
  <c r="E3974" i="7" s="1"/>
  <c r="D4250" i="7"/>
  <c r="E4250" i="7" s="1"/>
  <c r="D4346" i="7"/>
  <c r="E4346" i="7" s="1"/>
  <c r="D2910" i="7"/>
  <c r="E2910" i="7" s="1"/>
  <c r="D2734" i="7"/>
  <c r="E2734" i="7" s="1"/>
  <c r="D3018" i="7"/>
  <c r="E3018" i="7" s="1"/>
  <c r="D3166" i="7"/>
  <c r="E3166" i="7" s="1"/>
  <c r="D3357" i="7"/>
  <c r="E3357" i="7" s="1"/>
  <c r="D3204" i="7"/>
  <c r="E3204" i="7" s="1"/>
  <c r="D2632" i="7"/>
  <c r="E2632" i="7" s="1"/>
  <c r="D1894" i="7"/>
  <c r="E1894" i="7" s="1"/>
  <c r="D2094" i="7"/>
  <c r="E2094" i="7" s="1"/>
  <c r="D2874" i="7"/>
  <c r="E2874" i="7" s="1"/>
  <c r="D2598" i="7"/>
  <c r="E2598" i="7" s="1"/>
  <c r="D2499" i="7"/>
  <c r="E2499" i="7" s="1"/>
  <c r="D2214" i="7"/>
  <c r="E2214" i="7" s="1"/>
  <c r="D2007" i="7"/>
  <c r="E2007" i="7" s="1"/>
  <c r="D2338" i="7"/>
  <c r="E2338" i="7" s="1"/>
  <c r="D1760" i="7"/>
  <c r="E1760" i="7" s="1"/>
  <c r="D1866" i="7"/>
  <c r="E1866" i="7" s="1"/>
  <c r="D2124" i="7"/>
  <c r="E2124" i="7" s="1"/>
  <c r="D3055" i="7"/>
  <c r="E3055" i="7" s="1"/>
  <c r="D2466" i="7"/>
  <c r="E2466" i="7" s="1"/>
  <c r="D3318" i="7"/>
  <c r="E3318" i="7" s="1"/>
  <c r="D1978" i="7"/>
  <c r="E1978" i="7" s="1"/>
  <c r="D1812" i="7"/>
  <c r="E1812" i="7" s="1"/>
  <c r="D2370" i="7"/>
  <c r="E2370" i="7" s="1"/>
  <c r="D4820" i="7"/>
  <c r="E4820" i="7" s="1"/>
  <c r="D4927" i="7"/>
  <c r="E4927" i="7" s="1"/>
  <c r="D5492" i="7"/>
  <c r="E5492" i="7" s="1"/>
  <c r="D5260" i="7"/>
  <c r="E5260" i="7" s="1"/>
  <c r="D5611" i="7"/>
  <c r="E5611" i="7" s="1"/>
  <c r="D4511" i="7"/>
  <c r="E4511" i="7" s="1"/>
  <c r="D5147" i="7"/>
  <c r="E5147" i="7" s="1"/>
  <c r="D5036" i="7"/>
  <c r="E5036" i="7" s="1"/>
  <c r="D4715" i="7"/>
  <c r="E4715" i="7" s="1"/>
  <c r="D4612" i="7"/>
  <c r="E4612" i="7" s="1"/>
  <c r="D4315" i="7"/>
  <c r="E4315" i="7" s="1"/>
  <c r="D4412" i="7"/>
  <c r="E4412" i="7" s="1"/>
  <c r="D4220" i="7"/>
  <c r="E4220" i="7" s="1"/>
  <c r="D5375" i="7"/>
  <c r="E5375" i="7" s="1"/>
  <c r="D4127" i="7"/>
  <c r="E4127" i="7" s="1"/>
  <c r="D4036" i="7"/>
  <c r="E4036" i="7" s="1"/>
  <c r="D3947" i="7"/>
  <c r="E3947" i="7" s="1"/>
  <c r="D3860" i="7"/>
  <c r="E3860" i="7" s="1"/>
  <c r="D183" i="7"/>
  <c r="E183" i="7" s="1"/>
  <c r="D703" i="7"/>
  <c r="E703" i="7" s="1"/>
  <c r="D1270" i="7"/>
  <c r="E1270" i="7" s="1"/>
  <c r="D4982" i="7"/>
  <c r="E4982" i="7" s="1"/>
  <c r="D5552" i="7"/>
  <c r="E5552" i="7" s="1"/>
  <c r="D5434" i="7"/>
  <c r="E5434" i="7" s="1"/>
  <c r="D5318" i="7"/>
  <c r="E5318" i="7" s="1"/>
  <c r="D5092" i="7"/>
  <c r="E5092" i="7" s="1"/>
  <c r="D5204" i="7"/>
  <c r="E5204" i="7" s="1"/>
  <c r="D4874" i="7"/>
  <c r="E4874" i="7" s="1"/>
  <c r="D4768" i="7"/>
  <c r="E4768" i="7" s="1"/>
  <c r="D4462" i="7"/>
  <c r="E4462" i="7" s="1"/>
  <c r="D4664" i="7"/>
  <c r="E4664" i="7" s="1"/>
  <c r="D4562" i="7"/>
  <c r="E4562" i="7" s="1"/>
  <c r="D4174" i="7"/>
  <c r="E4174" i="7" s="1"/>
  <c r="D3904" i="7"/>
  <c r="E3904" i="7" s="1"/>
  <c r="D4268" i="7"/>
  <c r="E4268" i="7" s="1"/>
  <c r="D4364" i="7"/>
  <c r="E4364" i="7" s="1"/>
  <c r="D4082" i="7"/>
  <c r="E4082" i="7" s="1"/>
  <c r="D3992" i="7"/>
  <c r="E3992" i="7" s="1"/>
  <c r="D27" i="7"/>
  <c r="E27" i="7" s="1"/>
  <c r="L27" i="2" s="1"/>
  <c r="D93" i="7"/>
  <c r="E93" i="7" s="1"/>
  <c r="D352" i="7"/>
  <c r="E352" i="7" s="1"/>
  <c r="D544" i="7"/>
  <c r="E544" i="7" s="1"/>
  <c r="D829" i="7"/>
  <c r="E829" i="7" s="1"/>
  <c r="D1178" i="7"/>
  <c r="E1178" i="7" s="1"/>
  <c r="D394" i="7"/>
  <c r="E394" i="7" s="1"/>
  <c r="D607" i="7"/>
  <c r="E607" i="7" s="1"/>
  <c r="D508" i="7"/>
  <c r="E508" i="7" s="1"/>
  <c r="D1282" i="7"/>
  <c r="E1282" i="7" s="1"/>
  <c r="D854" i="7"/>
  <c r="E854" i="7" s="1"/>
  <c r="D719" i="7"/>
  <c r="E719" i="7" s="1"/>
  <c r="D515" i="7"/>
  <c r="E515" i="7" s="1"/>
  <c r="D388" i="7"/>
  <c r="E388" i="7" s="1"/>
  <c r="D599" i="7"/>
  <c r="E599" i="7" s="1"/>
  <c r="D176" i="7"/>
  <c r="E176" i="7" s="1"/>
  <c r="D994" i="7"/>
  <c r="E994" i="7" s="1"/>
  <c r="D172" i="7"/>
  <c r="E172" i="7" s="1"/>
  <c r="D1082" i="7"/>
  <c r="E1082" i="7" s="1"/>
  <c r="D864" i="7"/>
  <c r="E864" i="7" s="1"/>
  <c r="D282" i="7"/>
  <c r="E282" i="7" s="1"/>
  <c r="D935" i="7"/>
  <c r="E935" i="7" s="1"/>
  <c r="D792" i="7"/>
  <c r="E792" i="7" s="1"/>
  <c r="D558" i="7"/>
  <c r="E558" i="7" s="1"/>
  <c r="D783" i="7"/>
  <c r="E783" i="7" s="1"/>
  <c r="D1339" i="7"/>
  <c r="E1339" i="7" s="1"/>
  <c r="D672" i="7"/>
  <c r="E672" i="7" s="1"/>
  <c r="D1131" i="7"/>
  <c r="E1131" i="7" s="1"/>
  <c r="D449" i="7"/>
  <c r="E449" i="7" s="1"/>
  <c r="D664" i="7"/>
  <c r="E664" i="7" s="1"/>
  <c r="D925" i="7"/>
  <c r="E925" i="7" s="1"/>
  <c r="D1231" i="7"/>
  <c r="E1231" i="7" s="1"/>
  <c r="D1039" i="7"/>
  <c r="E1039" i="7" s="1"/>
  <c r="D1008" i="7"/>
  <c r="E1008" i="7" s="1"/>
  <c r="D626" i="7"/>
  <c r="E626" i="7" s="1"/>
  <c r="D740" i="7"/>
  <c r="E740" i="7" s="1"/>
  <c r="D525" i="7"/>
  <c r="E525" i="7" s="1"/>
  <c r="D1097" i="7"/>
  <c r="E1097" i="7" s="1"/>
  <c r="D618" i="7"/>
  <c r="E618" i="7" s="1"/>
  <c r="D1299" i="7"/>
  <c r="E1299" i="7" s="1"/>
  <c r="D1194" i="7"/>
  <c r="E1194" i="7" s="1"/>
  <c r="D877" i="7"/>
  <c r="E877" i="7" s="1"/>
  <c r="D532" i="7"/>
  <c r="E532" i="7" s="1"/>
  <c r="D887" i="7"/>
  <c r="E887" i="7" s="1"/>
  <c r="D1387" i="7"/>
  <c r="E1387" i="7" s="1"/>
  <c r="D1078" i="7"/>
  <c r="E1078" i="7" s="1"/>
  <c r="D1276" i="7"/>
  <c r="E1276" i="7" s="1"/>
  <c r="D1173" i="7"/>
  <c r="E1173" i="7" s="1"/>
  <c r="D2233" i="7"/>
  <c r="E2233" i="7" s="1"/>
  <c r="D1334" i="7"/>
  <c r="E1334" i="7" s="1"/>
  <c r="D5410" i="7"/>
  <c r="E5410" i="7" s="1"/>
  <c r="D5528" i="7"/>
  <c r="E5528" i="7" s="1"/>
  <c r="D4640" i="7"/>
  <c r="E4640" i="7" s="1"/>
  <c r="D5180" i="7"/>
  <c r="E5180" i="7" s="1"/>
  <c r="D5068" i="7"/>
  <c r="E5068" i="7" s="1"/>
  <c r="D4958" i="7"/>
  <c r="E4958" i="7" s="1"/>
  <c r="D5294" i="7"/>
  <c r="E5294" i="7" s="1"/>
  <c r="D3351" i="7"/>
  <c r="E3351" i="7" s="1"/>
  <c r="D4340" i="7"/>
  <c r="E4340" i="7" s="1"/>
  <c r="D4244" i="7"/>
  <c r="E4244" i="7" s="1"/>
  <c r="D4438" i="7"/>
  <c r="E4438" i="7" s="1"/>
  <c r="D4850" i="7"/>
  <c r="E4850" i="7" s="1"/>
  <c r="D4538" i="7"/>
  <c r="E4538" i="7" s="1"/>
  <c r="D4744" i="7"/>
  <c r="E4744" i="7" s="1"/>
  <c r="D3880" i="7"/>
  <c r="E3880" i="7" s="1"/>
  <c r="D3198" i="7"/>
  <c r="E3198" i="7" s="1"/>
  <c r="D3710" i="7"/>
  <c r="E3710" i="7" s="1"/>
  <c r="D3468" i="7"/>
  <c r="E3468" i="7" s="1"/>
  <c r="D4150" i="7"/>
  <c r="E4150" i="7" s="1"/>
  <c r="D4058" i="7"/>
  <c r="E4058" i="7" s="1"/>
  <c r="D3628" i="7"/>
  <c r="E3628" i="7" s="1"/>
  <c r="D3968" i="7"/>
  <c r="E3968" i="7" s="1"/>
  <c r="D3312" i="7"/>
  <c r="E3312" i="7" s="1"/>
  <c r="D2592" i="7"/>
  <c r="E2592" i="7" s="1"/>
  <c r="D2868" i="7"/>
  <c r="E2868" i="7" s="1"/>
  <c r="D2904" i="7"/>
  <c r="E2904" i="7" s="1"/>
  <c r="D2728" i="7"/>
  <c r="E2728" i="7" s="1"/>
  <c r="D3012" i="7"/>
  <c r="E3012" i="7" s="1"/>
  <c r="D2763" i="7"/>
  <c r="E2763" i="7" s="1"/>
  <c r="D3160" i="7"/>
  <c r="E3160" i="7" s="1"/>
  <c r="D3794" i="7"/>
  <c r="E3794" i="7" s="1"/>
  <c r="D2118" i="7"/>
  <c r="E2118" i="7" s="1"/>
  <c r="D2460" i="7"/>
  <c r="E2460" i="7" s="1"/>
  <c r="D1972" i="7"/>
  <c r="E1972" i="7" s="1"/>
  <c r="D2626" i="7"/>
  <c r="E2626" i="7" s="1"/>
  <c r="D2364" i="7"/>
  <c r="E2364" i="7" s="1"/>
  <c r="D3508" i="7"/>
  <c r="E3508" i="7" s="1"/>
  <c r="D2088" i="7"/>
  <c r="E2088" i="7" s="1"/>
  <c r="D2208" i="7"/>
  <c r="E2208" i="7" s="1"/>
  <c r="D2493" i="7"/>
  <c r="E2493" i="7" s="1"/>
  <c r="D3049" i="7"/>
  <c r="E3049" i="7" s="1"/>
  <c r="D1888" i="7"/>
  <c r="E1888" i="7" s="1"/>
  <c r="D2332" i="7"/>
  <c r="E2332" i="7" s="1"/>
  <c r="D1660" i="7"/>
  <c r="E1660" i="7" s="1"/>
  <c r="D1599" i="7"/>
  <c r="E1599" i="7" s="1"/>
  <c r="D1705" i="7"/>
  <c r="E1705" i="7" s="1"/>
  <c r="D1754" i="7"/>
  <c r="E1754" i="7" s="1"/>
  <c r="D2001" i="7"/>
  <c r="E2001" i="7" s="1"/>
  <c r="D1806" i="7"/>
  <c r="E1806" i="7" s="1"/>
  <c r="D1860" i="7"/>
  <c r="E1860" i="7" s="1"/>
  <c r="D478" i="7"/>
  <c r="E478" i="7" s="1"/>
  <c r="D704" i="7"/>
  <c r="E704" i="7" s="1"/>
  <c r="D1090" i="7"/>
  <c r="E1090" i="7" s="1"/>
  <c r="D1290" i="7"/>
  <c r="E1290" i="7" s="1"/>
  <c r="D1186" i="7"/>
  <c r="E1186" i="7" s="1"/>
  <c r="D28" i="7"/>
  <c r="E28" i="7" s="1"/>
  <c r="L28" i="2" s="1"/>
  <c r="D100" i="7"/>
  <c r="E100" i="7" s="1"/>
  <c r="D545" i="7"/>
  <c r="E545" i="7" s="1"/>
  <c r="D630" i="7"/>
  <c r="E630" i="7" s="1"/>
  <c r="D5308" i="7"/>
  <c r="E5308" i="7" s="1"/>
  <c r="D5424" i="7"/>
  <c r="E5424" i="7" s="1"/>
  <c r="D5542" i="7"/>
  <c r="E5542" i="7" s="1"/>
  <c r="D3808" i="7"/>
  <c r="E3808" i="7" s="1"/>
  <c r="D4864" i="7"/>
  <c r="E4864" i="7" s="1"/>
  <c r="D5194" i="7"/>
  <c r="E5194" i="7" s="1"/>
  <c r="D4758" i="7"/>
  <c r="E4758" i="7" s="1"/>
  <c r="D4258" i="7"/>
  <c r="E4258" i="7" s="1"/>
  <c r="D4354" i="7"/>
  <c r="E4354" i="7" s="1"/>
  <c r="D4164" i="7"/>
  <c r="E4164" i="7" s="1"/>
  <c r="D4452" i="7"/>
  <c r="E4452" i="7" s="1"/>
  <c r="D4072" i="7"/>
  <c r="E4072" i="7" s="1"/>
  <c r="D4654" i="7"/>
  <c r="E4654" i="7" s="1"/>
  <c r="D4972" i="7"/>
  <c r="E4972" i="7" s="1"/>
  <c r="D5082" i="7"/>
  <c r="E5082" i="7" s="1"/>
  <c r="D3026" i="7"/>
  <c r="E3026" i="7" s="1"/>
  <c r="D3642" i="7"/>
  <c r="E3642" i="7" s="1"/>
  <c r="D3982" i="7"/>
  <c r="E3982" i="7" s="1"/>
  <c r="D3174" i="7"/>
  <c r="E3174" i="7" s="1"/>
  <c r="D4552" i="7"/>
  <c r="E4552" i="7" s="1"/>
  <c r="D3063" i="7"/>
  <c r="E3063" i="7" s="1"/>
  <c r="D3482" i="7"/>
  <c r="E3482" i="7" s="1"/>
  <c r="D3365" i="7"/>
  <c r="E3365" i="7" s="1"/>
  <c r="D2882" i="7"/>
  <c r="E2882" i="7" s="1"/>
  <c r="D3894" i="7"/>
  <c r="E3894" i="7" s="1"/>
  <c r="D3724" i="7"/>
  <c r="E3724" i="7" s="1"/>
  <c r="D3522" i="7"/>
  <c r="E3522" i="7" s="1"/>
  <c r="D3326" i="7"/>
  <c r="E3326" i="7" s="1"/>
  <c r="D2606" i="7"/>
  <c r="E2606" i="7" s="1"/>
  <c r="D2742" i="7"/>
  <c r="E2742" i="7" s="1"/>
  <c r="D2777" i="7"/>
  <c r="E2777" i="7" s="1"/>
  <c r="D2918" i="7"/>
  <c r="E2918" i="7" s="1"/>
  <c r="D2640" i="7"/>
  <c r="E2640" i="7" s="1"/>
  <c r="D3212" i="7"/>
  <c r="E3212" i="7" s="1"/>
  <c r="D5329" i="7"/>
  <c r="E5329" i="7" s="1"/>
  <c r="D5445" i="7"/>
  <c r="E5445" i="7" s="1"/>
  <c r="D5563" i="7"/>
  <c r="E5563" i="7" s="1"/>
  <c r="D4993" i="7"/>
  <c r="E4993" i="7" s="1"/>
  <c r="D5103" i="7"/>
  <c r="E5103" i="7" s="1"/>
  <c r="D5215" i="7"/>
  <c r="E5215" i="7" s="1"/>
  <c r="D136" i="7"/>
  <c r="E136" i="7" s="1"/>
  <c r="D240" i="7"/>
  <c r="E240" i="7" s="1"/>
  <c r="D354" i="7"/>
  <c r="E354" i="7" s="1"/>
  <c r="L126" i="2" s="1"/>
  <c r="D414" i="7"/>
  <c r="E414" i="7" s="1"/>
  <c r="D705" i="7"/>
  <c r="E705" i="7" s="1"/>
  <c r="D1463" i="7"/>
  <c r="E1463" i="7" s="1"/>
  <c r="D230" i="7"/>
  <c r="E230" i="7" s="1"/>
  <c r="D64" i="7"/>
  <c r="E64" i="7" s="1"/>
  <c r="D138" i="7"/>
  <c r="E138" i="7" s="1"/>
  <c r="D340" i="7"/>
  <c r="E340" i="7" s="1"/>
  <c r="D1054" i="7"/>
  <c r="E1054" i="7" s="1"/>
  <c r="D959" i="7"/>
  <c r="E959" i="7" s="1"/>
  <c r="D814" i="7"/>
  <c r="E814" i="7" s="1"/>
  <c r="D1357" i="7"/>
  <c r="E1357" i="7" s="1"/>
  <c r="D1248" i="7"/>
  <c r="E1248" i="7" s="1"/>
  <c r="D949" i="7"/>
  <c r="E949" i="7" s="1"/>
  <c r="D805" i="7"/>
  <c r="E805" i="7" s="1"/>
  <c r="D1147" i="7"/>
  <c r="E1147" i="7" s="1"/>
  <c r="D1102" i="7"/>
  <c r="E1102" i="7" s="1"/>
  <c r="D1304" i="7"/>
  <c r="E1304" i="7" s="1"/>
  <c r="D1199" i="7"/>
  <c r="E1199" i="7" s="1"/>
  <c r="D5093" i="7"/>
  <c r="E5093" i="7" s="1"/>
  <c r="D5553" i="7"/>
  <c r="E5553" i="7" s="1"/>
  <c r="D5319" i="7"/>
  <c r="E5319" i="7" s="1"/>
  <c r="D4365" i="7"/>
  <c r="E4365" i="7" s="1"/>
  <c r="D5205" i="7"/>
  <c r="E5205" i="7" s="1"/>
  <c r="D4463" i="7"/>
  <c r="E4463" i="7" s="1"/>
  <c r="D5435" i="7"/>
  <c r="E5435" i="7" s="1"/>
  <c r="D4665" i="7"/>
  <c r="E4665" i="7" s="1"/>
  <c r="D3993" i="7"/>
  <c r="E3993" i="7" s="1"/>
  <c r="D4983" i="7"/>
  <c r="E4983" i="7" s="1"/>
  <c r="D4563" i="7"/>
  <c r="E4563" i="7" s="1"/>
  <c r="D4269" i="7"/>
  <c r="E4269" i="7" s="1"/>
  <c r="D4875" i="7"/>
  <c r="E4875" i="7" s="1"/>
  <c r="D4769" i="7"/>
  <c r="E4769" i="7" s="1"/>
  <c r="D4083" i="7"/>
  <c r="E4083" i="7" s="1"/>
  <c r="D4175" i="7"/>
  <c r="E4175" i="7" s="1"/>
  <c r="D5623" i="7"/>
  <c r="E5623" i="7" s="1"/>
  <c r="D5387" i="7"/>
  <c r="E5387" i="7" s="1"/>
  <c r="D5159" i="7"/>
  <c r="E5159" i="7" s="1"/>
  <c r="D5048" i="7"/>
  <c r="E5048" i="7" s="1"/>
  <c r="D5504" i="7"/>
  <c r="E5504" i="7" s="1"/>
  <c r="D5272" i="7"/>
  <c r="E5272" i="7" s="1"/>
  <c r="D29" i="7"/>
  <c r="E29" i="7" s="1"/>
  <c r="L29" i="2" s="1"/>
  <c r="D852" i="7"/>
  <c r="E852" i="7" s="1"/>
  <c r="D1542" i="7"/>
  <c r="E1542" i="7" s="1"/>
  <c r="D5286" i="7"/>
  <c r="E5286" i="7" s="1"/>
  <c r="D5402" i="7"/>
  <c r="E5402" i="7" s="1"/>
  <c r="D5520" i="7"/>
  <c r="E5520" i="7" s="1"/>
  <c r="D4530" i="7"/>
  <c r="E4530" i="7" s="1"/>
  <c r="D4950" i="7"/>
  <c r="E4950" i="7" s="1"/>
  <c r="D3960" i="7"/>
  <c r="E3960" i="7" s="1"/>
  <c r="D4736" i="7"/>
  <c r="E4736" i="7" s="1"/>
  <c r="D5172" i="7"/>
  <c r="E5172" i="7" s="1"/>
  <c r="D4632" i="7"/>
  <c r="E4632" i="7" s="1"/>
  <c r="D4332" i="7"/>
  <c r="E4332" i="7" s="1"/>
  <c r="D4236" i="7"/>
  <c r="E4236" i="7" s="1"/>
  <c r="D4430" i="7"/>
  <c r="E4430" i="7" s="1"/>
  <c r="D4842" i="7"/>
  <c r="E4842" i="7" s="1"/>
  <c r="D3786" i="7"/>
  <c r="E3786" i="7" s="1"/>
  <c r="D2896" i="7"/>
  <c r="E2896" i="7" s="1"/>
  <c r="D3304" i="7"/>
  <c r="E3304" i="7" s="1"/>
  <c r="D5060" i="7"/>
  <c r="E5060" i="7" s="1"/>
  <c r="D3620" i="7"/>
  <c r="E3620" i="7" s="1"/>
  <c r="D3872" i="7"/>
  <c r="E3872" i="7" s="1"/>
  <c r="D3190" i="7"/>
  <c r="E3190" i="7" s="1"/>
  <c r="D3702" i="7"/>
  <c r="E3702" i="7" s="1"/>
  <c r="D4142" i="7"/>
  <c r="E4142" i="7" s="1"/>
  <c r="D4050" i="7"/>
  <c r="E4050" i="7" s="1"/>
  <c r="D2356" i="7"/>
  <c r="E2356" i="7" s="1"/>
  <c r="D2755" i="7"/>
  <c r="E2755" i="7" s="1"/>
  <c r="D3500" i="7"/>
  <c r="E3500" i="7" s="1"/>
  <c r="D3041" i="7"/>
  <c r="E3041" i="7" s="1"/>
  <c r="D3343" i="7"/>
  <c r="E3343" i="7" s="1"/>
  <c r="D2860" i="7"/>
  <c r="E2860" i="7" s="1"/>
  <c r="D2200" i="7"/>
  <c r="E2200" i="7" s="1"/>
  <c r="D2720" i="7"/>
  <c r="E2720" i="7" s="1"/>
  <c r="D1212" i="7"/>
  <c r="E1212" i="7" s="1"/>
  <c r="D1993" i="7"/>
  <c r="E1993" i="7" s="1"/>
  <c r="D1697" i="7"/>
  <c r="E1697" i="7" s="1"/>
  <c r="D2324" i="7"/>
  <c r="E2324" i="7" s="1"/>
  <c r="D2110" i="7"/>
  <c r="E2110" i="7" s="1"/>
  <c r="D2452" i="7"/>
  <c r="E2452" i="7" s="1"/>
  <c r="D3460" i="7"/>
  <c r="E3460" i="7" s="1"/>
  <c r="D3004" i="7"/>
  <c r="E3004" i="7" s="1"/>
  <c r="D1798" i="7"/>
  <c r="E1798" i="7" s="1"/>
  <c r="D2618" i="7"/>
  <c r="E2618" i="7" s="1"/>
  <c r="D3152" i="7"/>
  <c r="E3152" i="7" s="1"/>
  <c r="D1964" i="7"/>
  <c r="E1964" i="7" s="1"/>
  <c r="D2584" i="7"/>
  <c r="E2584" i="7" s="1"/>
  <c r="D1432" i="7"/>
  <c r="E1432" i="7" s="1"/>
  <c r="D2080" i="7"/>
  <c r="E2080" i="7" s="1"/>
  <c r="D1852" i="7"/>
  <c r="E1852" i="7" s="1"/>
  <c r="D1880" i="7"/>
  <c r="E1880" i="7" s="1"/>
  <c r="D1498" i="7"/>
  <c r="E1498" i="7" s="1"/>
  <c r="D1652" i="7"/>
  <c r="E1652" i="7" s="1"/>
  <c r="D2485" i="7"/>
  <c r="E2485" i="7" s="1"/>
  <c r="D1114" i="7"/>
  <c r="E1114" i="7" s="1"/>
  <c r="D1534" i="7"/>
  <c r="E1534" i="7" s="1"/>
  <c r="D1746" i="7"/>
  <c r="E1746" i="7" s="1"/>
  <c r="D1591" i="7"/>
  <c r="E1591" i="7" s="1"/>
  <c r="D1402" i="7"/>
  <c r="E1402" i="7" s="1"/>
  <c r="D1464" i="7"/>
  <c r="E1464" i="7" s="1"/>
  <c r="D5309" i="7"/>
  <c r="E5309" i="7" s="1"/>
  <c r="D5425" i="7"/>
  <c r="E5425" i="7" s="1"/>
  <c r="D4759" i="7"/>
  <c r="E4759" i="7" s="1"/>
  <c r="D4453" i="7"/>
  <c r="E4453" i="7" s="1"/>
  <c r="D5543" i="7"/>
  <c r="E5543" i="7" s="1"/>
  <c r="D3175" i="7"/>
  <c r="E3175" i="7" s="1"/>
  <c r="D4865" i="7"/>
  <c r="E4865" i="7" s="1"/>
  <c r="D3366" i="7"/>
  <c r="E3366" i="7" s="1"/>
  <c r="D5195" i="7"/>
  <c r="E5195" i="7" s="1"/>
  <c r="D4355" i="7"/>
  <c r="E4355" i="7" s="1"/>
  <c r="D4655" i="7"/>
  <c r="E4655" i="7" s="1"/>
  <c r="D4073" i="7"/>
  <c r="E4073" i="7" s="1"/>
  <c r="D4973" i="7"/>
  <c r="E4973" i="7" s="1"/>
  <c r="D5083" i="7"/>
  <c r="E5083" i="7" s="1"/>
  <c r="D4553" i="7"/>
  <c r="E4553" i="7" s="1"/>
  <c r="D3027" i="7"/>
  <c r="E3027" i="7" s="1"/>
  <c r="D3809" i="7"/>
  <c r="E3809" i="7" s="1"/>
  <c r="D3643" i="7"/>
  <c r="E3643" i="7" s="1"/>
  <c r="D4165" i="7"/>
  <c r="E4165" i="7" s="1"/>
  <c r="D3983" i="7"/>
  <c r="E3983" i="7" s="1"/>
  <c r="D4259" i="7"/>
  <c r="E4259" i="7" s="1"/>
  <c r="D3895" i="7"/>
  <c r="E3895" i="7" s="1"/>
  <c r="D3483" i="7"/>
  <c r="E3483" i="7" s="1"/>
  <c r="D3064" i="7"/>
  <c r="E3064" i="7" s="1"/>
  <c r="D2883" i="7"/>
  <c r="E2883" i="7" s="1"/>
  <c r="D3725" i="7"/>
  <c r="E3725" i="7" s="1"/>
  <c r="D3523" i="7"/>
  <c r="E3523" i="7" s="1"/>
  <c r="D3213" i="7"/>
  <c r="E3213" i="7" s="1"/>
  <c r="D3327" i="7"/>
  <c r="E3327" i="7" s="1"/>
  <c r="D2743" i="7"/>
  <c r="E2743" i="7" s="1"/>
  <c r="D2778" i="7"/>
  <c r="E2778" i="7" s="1"/>
  <c r="D2919" i="7"/>
  <c r="E2919" i="7" s="1"/>
  <c r="D5330" i="7"/>
  <c r="E5330" i="7" s="1"/>
  <c r="D5564" i="7"/>
  <c r="E5564" i="7" s="1"/>
  <c r="D5104" i="7"/>
  <c r="E5104" i="7" s="1"/>
  <c r="D5216" i="7"/>
  <c r="E5216" i="7" s="1"/>
  <c r="D5446" i="7"/>
  <c r="E5446" i="7" s="1"/>
  <c r="D186" i="7"/>
  <c r="E186" i="7" s="1"/>
  <c r="D415" i="7"/>
  <c r="E415" i="7" s="1"/>
  <c r="D480" i="7"/>
  <c r="E480" i="7" s="1"/>
  <c r="D1332" i="7"/>
  <c r="E1332" i="7" s="1"/>
  <c r="D2231" i="7"/>
  <c r="E2231" i="7" s="1"/>
  <c r="D1225" i="7"/>
  <c r="E1225" i="7" s="1"/>
  <c r="D1126" i="7"/>
  <c r="E1126" i="7" s="1"/>
  <c r="D5367" i="7"/>
  <c r="E5367" i="7" s="1"/>
  <c r="D4707" i="7"/>
  <c r="E4707" i="7" s="1"/>
  <c r="D5603" i="7"/>
  <c r="E5603" i="7" s="1"/>
  <c r="D4604" i="7"/>
  <c r="E4604" i="7" s="1"/>
  <c r="D5252" i="7"/>
  <c r="E5252" i="7" s="1"/>
  <c r="D5484" i="7"/>
  <c r="E5484" i="7" s="1"/>
  <c r="D4503" i="7"/>
  <c r="E4503" i="7" s="1"/>
  <c r="D4028" i="7"/>
  <c r="E4028" i="7" s="1"/>
  <c r="D5028" i="7"/>
  <c r="E5028" i="7" s="1"/>
  <c r="D4812" i="7"/>
  <c r="E4812" i="7" s="1"/>
  <c r="D5139" i="7"/>
  <c r="E5139" i="7" s="1"/>
  <c r="D4919" i="7"/>
  <c r="E4919" i="7" s="1"/>
  <c r="D3289" i="7"/>
  <c r="E3289" i="7" s="1"/>
  <c r="D4404" i="7"/>
  <c r="E4404" i="7" s="1"/>
  <c r="D3251" i="7"/>
  <c r="E3251" i="7" s="1"/>
  <c r="D2848" i="7"/>
  <c r="E2848" i="7" s="1"/>
  <c r="D2991" i="7"/>
  <c r="E2991" i="7" s="1"/>
  <c r="D3852" i="7"/>
  <c r="E3852" i="7" s="1"/>
  <c r="D2955" i="7"/>
  <c r="E2955" i="7" s="1"/>
  <c r="D3684" i="7"/>
  <c r="E3684" i="7" s="1"/>
  <c r="D3138" i="7"/>
  <c r="E3138" i="7" s="1"/>
  <c r="D3444" i="7"/>
  <c r="E3444" i="7" s="1"/>
  <c r="D3405" i="7"/>
  <c r="E3405" i="7" s="1"/>
  <c r="D4307" i="7"/>
  <c r="E4307" i="7" s="1"/>
  <c r="D4119" i="7"/>
  <c r="E4119" i="7" s="1"/>
  <c r="D4212" i="7"/>
  <c r="E4212" i="7" s="1"/>
  <c r="D3767" i="7"/>
  <c r="E3767" i="7" s="1"/>
  <c r="D3939" i="7"/>
  <c r="E3939" i="7" s="1"/>
  <c r="D3603" i="7"/>
  <c r="E3603" i="7" s="1"/>
  <c r="D3101" i="7"/>
  <c r="E3101" i="7" s="1"/>
  <c r="D3563" i="7"/>
  <c r="E3563" i="7" s="1"/>
  <c r="D2813" i="7"/>
  <c r="E2813" i="7" s="1"/>
  <c r="D102" i="7"/>
  <c r="E102" i="7" s="1"/>
  <c r="D299" i="7"/>
  <c r="E299" i="7" s="1"/>
  <c r="L115" i="2" s="1"/>
  <c r="D563" i="7"/>
  <c r="E563" i="7" s="1"/>
  <c r="D632" i="7"/>
  <c r="E632" i="7" s="1"/>
  <c r="D727" i="7"/>
  <c r="E727" i="7" s="1"/>
  <c r="D5366" i="7"/>
  <c r="E5366" i="7" s="1"/>
  <c r="D5602" i="7"/>
  <c r="E5602" i="7" s="1"/>
  <c r="D4918" i="7"/>
  <c r="E4918" i="7" s="1"/>
  <c r="D4603" i="7"/>
  <c r="E4603" i="7" s="1"/>
  <c r="D5251" i="7"/>
  <c r="E5251" i="7" s="1"/>
  <c r="D5483" i="7"/>
  <c r="E5483" i="7" s="1"/>
  <c r="D4502" i="7"/>
  <c r="E4502" i="7" s="1"/>
  <c r="D4706" i="7"/>
  <c r="E4706" i="7" s="1"/>
  <c r="D5027" i="7"/>
  <c r="E5027" i="7" s="1"/>
  <c r="D4811" i="7"/>
  <c r="E4811" i="7" s="1"/>
  <c r="D5138" i="7"/>
  <c r="E5138" i="7" s="1"/>
  <c r="D4403" i="7"/>
  <c r="E4403" i="7" s="1"/>
  <c r="D3602" i="7"/>
  <c r="E3602" i="7" s="1"/>
  <c r="D3938" i="7"/>
  <c r="E3938" i="7" s="1"/>
  <c r="D3288" i="7"/>
  <c r="E3288" i="7" s="1"/>
  <c r="D3250" i="7"/>
  <c r="E3250" i="7" s="1"/>
  <c r="D2847" i="7"/>
  <c r="E2847" i="7" s="1"/>
  <c r="D3851" i="7"/>
  <c r="E3851" i="7" s="1"/>
  <c r="D3683" i="7"/>
  <c r="E3683" i="7" s="1"/>
  <c r="D2954" i="7"/>
  <c r="E2954" i="7" s="1"/>
  <c r="D3443" i="7"/>
  <c r="E3443" i="7" s="1"/>
  <c r="D3404" i="7"/>
  <c r="E3404" i="7" s="1"/>
  <c r="D4306" i="7"/>
  <c r="E4306" i="7" s="1"/>
  <c r="D4118" i="7"/>
  <c r="E4118" i="7" s="1"/>
  <c r="D4027" i="7"/>
  <c r="E4027" i="7" s="1"/>
  <c r="D3766" i="7"/>
  <c r="E3766" i="7" s="1"/>
  <c r="D3562" i="7"/>
  <c r="E3562" i="7" s="1"/>
  <c r="D3137" i="7"/>
  <c r="E3137" i="7" s="1"/>
  <c r="D2990" i="7"/>
  <c r="E2990" i="7" s="1"/>
  <c r="D4211" i="7"/>
  <c r="E4211" i="7" s="1"/>
  <c r="D2674" i="7"/>
  <c r="E2674" i="7" s="1"/>
  <c r="D2708" i="7"/>
  <c r="E2708" i="7" s="1"/>
  <c r="D3100" i="7"/>
  <c r="E3100" i="7" s="1"/>
  <c r="D2812" i="7"/>
  <c r="E2812" i="7" s="1"/>
  <c r="D732" i="7"/>
  <c r="E732" i="7" s="1"/>
  <c r="D1492" i="7"/>
  <c r="E1492" i="7" s="1"/>
  <c r="D1086" i="7"/>
  <c r="E1086" i="7" s="1"/>
  <c r="D1206" i="7"/>
  <c r="E1206" i="7" s="1"/>
  <c r="D1286" i="7"/>
  <c r="E1286" i="7" s="1"/>
  <c r="D723" i="7"/>
  <c r="E723" i="7" s="1"/>
  <c r="D603" i="7"/>
  <c r="E603" i="7" s="1"/>
  <c r="D2350" i="7"/>
  <c r="E2350" i="7" s="1"/>
  <c r="D5514" i="7"/>
  <c r="E5514" i="7" s="1"/>
  <c r="D4836" i="7"/>
  <c r="E4836" i="7" s="1"/>
  <c r="D4730" i="7"/>
  <c r="E4730" i="7" s="1"/>
  <c r="D4944" i="7"/>
  <c r="E4944" i="7" s="1"/>
  <c r="D5280" i="7"/>
  <c r="E5280" i="7" s="1"/>
  <c r="D5396" i="7"/>
  <c r="E5396" i="7" s="1"/>
  <c r="D3494" i="7"/>
  <c r="E3494" i="7" s="1"/>
  <c r="D5054" i="7"/>
  <c r="E5054" i="7" s="1"/>
  <c r="D4524" i="7"/>
  <c r="E4524" i="7" s="1"/>
  <c r="D3954" i="7"/>
  <c r="E3954" i="7" s="1"/>
  <c r="D5166" i="7"/>
  <c r="E5166" i="7" s="1"/>
  <c r="D3454" i="7"/>
  <c r="E3454" i="7" s="1"/>
  <c r="D4044" i="7"/>
  <c r="E4044" i="7" s="1"/>
  <c r="D3146" i="7"/>
  <c r="E3146" i="7" s="1"/>
  <c r="D4136" i="7"/>
  <c r="E4136" i="7" s="1"/>
  <c r="D4326" i="7"/>
  <c r="E4326" i="7" s="1"/>
  <c r="D3780" i="7"/>
  <c r="E3780" i="7" s="1"/>
  <c r="D4626" i="7"/>
  <c r="E4626" i="7" s="1"/>
  <c r="D4230" i="7"/>
  <c r="E4230" i="7" s="1"/>
  <c r="D3614" i="7"/>
  <c r="E3614" i="7" s="1"/>
  <c r="D3298" i="7"/>
  <c r="E3298" i="7" s="1"/>
  <c r="D4424" i="7"/>
  <c r="E4424" i="7" s="1"/>
  <c r="D2890" i="7"/>
  <c r="E2890" i="7" s="1"/>
  <c r="D2612" i="7"/>
  <c r="E2612" i="7" s="1"/>
  <c r="D2578" i="7"/>
  <c r="E2578" i="7" s="1"/>
  <c r="D3696" i="7"/>
  <c r="E3696" i="7" s="1"/>
  <c r="D2998" i="7"/>
  <c r="E2998" i="7" s="1"/>
  <c r="D2749" i="7"/>
  <c r="E2749" i="7" s="1"/>
  <c r="D3337" i="7"/>
  <c r="E3337" i="7" s="1"/>
  <c r="D3035" i="7"/>
  <c r="E3035" i="7" s="1"/>
  <c r="D3866" i="7"/>
  <c r="E3866" i="7" s="1"/>
  <c r="D1646" i="7"/>
  <c r="E1646" i="7" s="1"/>
  <c r="D2074" i="7"/>
  <c r="E2074" i="7" s="1"/>
  <c r="D3184" i="7"/>
  <c r="E3184" i="7" s="1"/>
  <c r="D1874" i="7"/>
  <c r="E1874" i="7" s="1"/>
  <c r="D2714" i="7"/>
  <c r="E2714" i="7" s="1"/>
  <c r="D2479" i="7"/>
  <c r="E2479" i="7" s="1"/>
  <c r="D2194" i="7"/>
  <c r="E2194" i="7" s="1"/>
  <c r="D2318" i="7"/>
  <c r="E2318" i="7" s="1"/>
  <c r="D1987" i="7"/>
  <c r="E1987" i="7" s="1"/>
  <c r="D1585" i="7"/>
  <c r="E1585" i="7" s="1"/>
  <c r="D1691" i="7"/>
  <c r="E1691" i="7" s="1"/>
  <c r="D1426" i="7"/>
  <c r="E1426" i="7" s="1"/>
  <c r="D2446" i="7"/>
  <c r="E2446" i="7" s="1"/>
  <c r="D2854" i="7"/>
  <c r="E2854" i="7" s="1"/>
  <c r="D1958" i="7"/>
  <c r="E1958" i="7" s="1"/>
  <c r="D1458" i="7"/>
  <c r="E1458" i="7" s="1"/>
  <c r="D757" i="7"/>
  <c r="E757" i="7" s="1"/>
  <c r="D641" i="7"/>
  <c r="E641" i="7" s="1"/>
  <c r="D426" i="7"/>
  <c r="E426" i="7" s="1"/>
  <c r="D896" i="7"/>
  <c r="E896" i="7" s="1"/>
  <c r="D1740" i="7"/>
  <c r="E1740" i="7" s="1"/>
  <c r="D1528" i="7"/>
  <c r="E1528" i="7" s="1"/>
  <c r="D1792" i="7"/>
  <c r="E1792" i="7" s="1"/>
  <c r="D1846" i="7"/>
  <c r="E1846" i="7" s="1"/>
  <c r="D1018" i="7"/>
  <c r="E1018" i="7" s="1"/>
  <c r="D420" i="7"/>
  <c r="E420" i="7" s="1"/>
  <c r="D2104" i="7"/>
  <c r="E2104" i="7" s="1"/>
  <c r="D998" i="7"/>
  <c r="E998" i="7" s="1"/>
  <c r="D538" i="7"/>
  <c r="E538" i="7" s="1"/>
  <c r="L79" i="2" l="1"/>
  <c r="L64" i="2"/>
  <c r="L86" i="2"/>
  <c r="L218" i="2"/>
  <c r="L233" i="2"/>
  <c r="L118" i="2"/>
  <c r="O118" i="2" s="1"/>
  <c r="P118" i="2" s="1"/>
  <c r="L95" i="2"/>
  <c r="L109" i="2"/>
  <c r="O109" i="2" s="1"/>
  <c r="P109" i="2" s="1"/>
  <c r="L43" i="2"/>
  <c r="M43" i="2" s="1"/>
  <c r="N43" i="2" s="1"/>
  <c r="L127" i="2"/>
  <c r="L104" i="2"/>
  <c r="L250" i="2"/>
  <c r="M250" i="2" s="1"/>
  <c r="N250" i="2" s="1"/>
  <c r="L108" i="2"/>
  <c r="L129" i="2"/>
  <c r="L277" i="2"/>
  <c r="L340" i="2"/>
  <c r="L69" i="2"/>
  <c r="L91" i="2"/>
  <c r="L325" i="2"/>
  <c r="L197" i="2"/>
  <c r="L196" i="2"/>
  <c r="O126" i="2"/>
  <c r="P126" i="2" s="1"/>
  <c r="M126" i="2"/>
  <c r="N126" i="2" s="1"/>
  <c r="L208" i="2"/>
  <c r="L294" i="2"/>
  <c r="L342" i="2"/>
  <c r="O13" i="2"/>
  <c r="P13" i="2" s="1"/>
  <c r="M13" i="2"/>
  <c r="N13" i="2" s="1"/>
  <c r="L272" i="2"/>
  <c r="L312" i="2"/>
  <c r="L154" i="2"/>
  <c r="L30" i="2"/>
  <c r="L130" i="2"/>
  <c r="L71" i="2"/>
  <c r="O350" i="2"/>
  <c r="P350" i="2" s="1"/>
  <c r="M350" i="2"/>
  <c r="N350" i="2" s="1"/>
  <c r="L224" i="2"/>
  <c r="L254" i="2"/>
  <c r="L332" i="2"/>
  <c r="M40" i="2"/>
  <c r="N40" i="2" s="1"/>
  <c r="O40" i="2"/>
  <c r="P40" i="2" s="1"/>
  <c r="L279" i="2"/>
  <c r="L329" i="2"/>
  <c r="L182" i="2"/>
  <c r="L111" i="2"/>
  <c r="L204" i="2"/>
  <c r="L237" i="2"/>
  <c r="L107" i="2"/>
  <c r="O23" i="2"/>
  <c r="P23" i="2" s="1"/>
  <c r="M23" i="2"/>
  <c r="N23" i="2" s="1"/>
  <c r="L260" i="2"/>
  <c r="L330" i="2"/>
  <c r="L186" i="2"/>
  <c r="L275" i="2"/>
  <c r="L331" i="2"/>
  <c r="L136" i="2"/>
  <c r="L181" i="2"/>
  <c r="O21" i="2"/>
  <c r="P21" i="2" s="1"/>
  <c r="M21" i="2"/>
  <c r="N21" i="2" s="1"/>
  <c r="L229" i="2"/>
  <c r="O286" i="2"/>
  <c r="P286" i="2" s="1"/>
  <c r="M286" i="2"/>
  <c r="N286" i="2" s="1"/>
  <c r="L216" i="2"/>
  <c r="L232" i="2"/>
  <c r="L223" i="2"/>
  <c r="L266" i="2"/>
  <c r="L314" i="2"/>
  <c r="L140" i="2"/>
  <c r="L264" i="2"/>
  <c r="L349" i="2"/>
  <c r="L114" i="2"/>
  <c r="L47" i="2"/>
  <c r="L187" i="2"/>
  <c r="O41" i="2"/>
  <c r="P41" i="2" s="1"/>
  <c r="M41" i="2"/>
  <c r="N41" i="2" s="1"/>
  <c r="L150" i="2"/>
  <c r="L103" i="2"/>
  <c r="L258" i="2"/>
  <c r="L318" i="2"/>
  <c r="L201" i="2"/>
  <c r="L271" i="2"/>
  <c r="L343" i="2"/>
  <c r="L155" i="2"/>
  <c r="L102" i="2"/>
  <c r="L202" i="2"/>
  <c r="L179" i="2"/>
  <c r="M127" i="2"/>
  <c r="N127" i="2" s="1"/>
  <c r="O127" i="2"/>
  <c r="P127" i="2" s="1"/>
  <c r="L273" i="2"/>
  <c r="L336" i="2"/>
  <c r="L228" i="2"/>
  <c r="L184" i="2"/>
  <c r="L287" i="2"/>
  <c r="L337" i="2"/>
  <c r="L61" i="2"/>
  <c r="L48" i="2"/>
  <c r="L44" i="2"/>
  <c r="L207" i="2"/>
  <c r="O24" i="2"/>
  <c r="P24" i="2" s="1"/>
  <c r="M24" i="2"/>
  <c r="N24" i="2" s="1"/>
  <c r="L293" i="2"/>
  <c r="L324" i="2"/>
  <c r="L220" i="2"/>
  <c r="L211" i="2"/>
  <c r="L304" i="2"/>
  <c r="L333" i="2"/>
  <c r="L76" i="2"/>
  <c r="L98" i="2"/>
  <c r="O95" i="2"/>
  <c r="P95" i="2" s="1"/>
  <c r="M95" i="2"/>
  <c r="N95" i="2" s="1"/>
  <c r="O55" i="2"/>
  <c r="P55" i="2" s="1"/>
  <c r="M55" i="2"/>
  <c r="N55" i="2" s="1"/>
  <c r="M25" i="2"/>
  <c r="N25" i="2" s="1"/>
  <c r="O25" i="2"/>
  <c r="P25" i="2" s="1"/>
  <c r="L282" i="2"/>
  <c r="L306" i="2"/>
  <c r="L236" i="2"/>
  <c r="L138" i="2"/>
  <c r="L280" i="2"/>
  <c r="L347" i="2"/>
  <c r="M3" i="2"/>
  <c r="N3" i="2" s="1"/>
  <c r="O3" i="2"/>
  <c r="P3" i="2" s="1"/>
  <c r="L222" i="2"/>
  <c r="L73" i="2"/>
  <c r="M81" i="2"/>
  <c r="N81" i="2" s="1"/>
  <c r="O81" i="2"/>
  <c r="P81" i="2" s="1"/>
  <c r="L149" i="2"/>
  <c r="L269" i="2"/>
  <c r="L344" i="2"/>
  <c r="L172" i="2"/>
  <c r="L243" i="2"/>
  <c r="L267" i="2"/>
  <c r="L345" i="2"/>
  <c r="L83" i="2"/>
  <c r="L190" i="2"/>
  <c r="L142" i="2"/>
  <c r="O339" i="2"/>
  <c r="P339" i="2" s="1"/>
  <c r="M339" i="2"/>
  <c r="N339" i="2" s="1"/>
  <c r="O104" i="2"/>
  <c r="P104" i="2" s="1"/>
  <c r="M104" i="2"/>
  <c r="N104" i="2" s="1"/>
  <c r="L278" i="2"/>
  <c r="L348" i="2"/>
  <c r="L93" i="2"/>
  <c r="O14" i="2"/>
  <c r="P14" i="2" s="1"/>
  <c r="M14" i="2"/>
  <c r="N14" i="2" s="1"/>
  <c r="L116" i="2"/>
  <c r="L261" i="2"/>
  <c r="L341" i="2"/>
  <c r="L166" i="2"/>
  <c r="O22" i="2"/>
  <c r="P22" i="2" s="1"/>
  <c r="M22" i="2"/>
  <c r="N22" i="2" s="1"/>
  <c r="L45" i="2"/>
  <c r="O262" i="2"/>
  <c r="P262" i="2" s="1"/>
  <c r="M262" i="2"/>
  <c r="N262" i="2" s="1"/>
  <c r="L128" i="2"/>
  <c r="L256" i="2"/>
  <c r="L346" i="2"/>
  <c r="L139" i="2"/>
  <c r="L227" i="2"/>
  <c r="L307" i="2"/>
  <c r="L353" i="2"/>
  <c r="O8" i="2"/>
  <c r="P8" i="2" s="1"/>
  <c r="M8" i="2"/>
  <c r="N8" i="2" s="1"/>
  <c r="L58" i="2"/>
  <c r="L145" i="2"/>
  <c r="L188" i="2"/>
  <c r="L68" i="2"/>
  <c r="L191" i="2"/>
  <c r="L246" i="2"/>
  <c r="L354" i="2"/>
  <c r="M37" i="2"/>
  <c r="N37" i="2" s="1"/>
  <c r="O37" i="2"/>
  <c r="P37" i="2" s="1"/>
  <c r="M15" i="2"/>
  <c r="N15" i="2" s="1"/>
  <c r="O15" i="2"/>
  <c r="P15" i="2" s="1"/>
  <c r="L90" i="2"/>
  <c r="L247" i="2"/>
  <c r="L351" i="2"/>
  <c r="L34" i="2"/>
  <c r="L133" i="2"/>
  <c r="L161" i="2"/>
  <c r="L203" i="2"/>
  <c r="L352" i="2"/>
  <c r="O10" i="2"/>
  <c r="P10" i="2" s="1"/>
  <c r="M10" i="2"/>
  <c r="N10" i="2" s="1"/>
  <c r="L276" i="2"/>
  <c r="L156" i="2"/>
  <c r="L259" i="2"/>
  <c r="L335" i="2"/>
  <c r="O9" i="2"/>
  <c r="P9" i="2" s="1"/>
  <c r="M9" i="2"/>
  <c r="N9" i="2" s="1"/>
  <c r="L85" i="2"/>
  <c r="L230" i="2"/>
  <c r="L159" i="2"/>
  <c r="L206" i="2"/>
  <c r="L248" i="2"/>
  <c r="L215" i="2"/>
  <c r="L298" i="2"/>
  <c r="L131" i="2"/>
  <c r="L212" i="2"/>
  <c r="M12" i="2"/>
  <c r="N12" i="2" s="1"/>
  <c r="O12" i="2"/>
  <c r="P12" i="2" s="1"/>
  <c r="L300" i="2"/>
  <c r="L167" i="2"/>
  <c r="L59" i="2"/>
  <c r="L146" i="2"/>
  <c r="O20" i="2"/>
  <c r="P20" i="2" s="1"/>
  <c r="M20" i="2"/>
  <c r="N20" i="2" s="1"/>
  <c r="L143" i="2"/>
  <c r="O218" i="2"/>
  <c r="P218" i="2" s="1"/>
  <c r="M218" i="2"/>
  <c r="N218" i="2" s="1"/>
  <c r="L320" i="2"/>
  <c r="L117" i="2"/>
  <c r="L292" i="2"/>
  <c r="L88" i="2"/>
  <c r="O32" i="2"/>
  <c r="P32" i="2" s="1"/>
  <c r="M32" i="2"/>
  <c r="N32" i="2" s="1"/>
  <c r="L100" i="2"/>
  <c r="L144" i="2"/>
  <c r="L96" i="2"/>
  <c r="O219" i="2"/>
  <c r="P219" i="2" s="1"/>
  <c r="M219" i="2"/>
  <c r="N219" i="2" s="1"/>
  <c r="O115" i="2"/>
  <c r="P115" i="2" s="1"/>
  <c r="M115" i="2"/>
  <c r="N115" i="2" s="1"/>
  <c r="L105" i="2"/>
  <c r="L231" i="2"/>
  <c r="L290" i="2"/>
  <c r="L169" i="2"/>
  <c r="L291" i="2"/>
  <c r="L62" i="2"/>
  <c r="L195" i="2"/>
  <c r="L75" i="2"/>
  <c r="L46" i="2"/>
  <c r="L160" i="2"/>
  <c r="M28" i="2"/>
  <c r="N28" i="2" s="1"/>
  <c r="O28" i="2"/>
  <c r="P28" i="2" s="1"/>
  <c r="L192" i="2"/>
  <c r="L301" i="2"/>
  <c r="L255" i="2"/>
  <c r="L296" i="2"/>
  <c r="L226" i="2"/>
  <c r="L217" i="2"/>
  <c r="L125" i="2"/>
  <c r="L123" i="2"/>
  <c r="L213" i="2"/>
  <c r="L251" i="2"/>
  <c r="L285" i="2"/>
  <c r="M56" i="2"/>
  <c r="N56" i="2" s="1"/>
  <c r="O56" i="2"/>
  <c r="P56" i="2" s="1"/>
  <c r="L82" i="2"/>
  <c r="L288" i="2"/>
  <c r="L303" i="2"/>
  <c r="L35" i="2"/>
  <c r="O4" i="2"/>
  <c r="P4" i="2" s="1"/>
  <c r="M4" i="2"/>
  <c r="N4" i="2" s="1"/>
  <c r="L49" i="2"/>
  <c r="L74" i="2"/>
  <c r="L174" i="2"/>
  <c r="O65" i="2"/>
  <c r="P65" i="2" s="1"/>
  <c r="M65" i="2"/>
  <c r="N65" i="2" s="1"/>
  <c r="L265" i="2"/>
  <c r="L334" i="2"/>
  <c r="O11" i="2"/>
  <c r="P11" i="2" s="1"/>
  <c r="M11" i="2"/>
  <c r="N11" i="2" s="1"/>
  <c r="L263" i="2"/>
  <c r="L315" i="2"/>
  <c r="L89" i="2"/>
  <c r="L84" i="2"/>
  <c r="L148" i="2"/>
  <c r="L101" i="2"/>
  <c r="L99" i="2"/>
  <c r="L72" i="2"/>
  <c r="L274" i="2"/>
  <c r="L316" i="2"/>
  <c r="L199" i="2"/>
  <c r="L284" i="2"/>
  <c r="O7" i="2"/>
  <c r="P7" i="2" s="1"/>
  <c r="M7" i="2"/>
  <c r="N7" i="2" s="1"/>
  <c r="M5" i="2"/>
  <c r="N5" i="2" s="1"/>
  <c r="O5" i="2"/>
  <c r="P5" i="2" s="1"/>
  <c r="O50" i="2"/>
  <c r="P50" i="2" s="1"/>
  <c r="M50" i="2"/>
  <c r="N50" i="2" s="1"/>
  <c r="L189" i="2"/>
  <c r="L121" i="2"/>
  <c r="O233" i="2"/>
  <c r="P233" i="2" s="1"/>
  <c r="M233" i="2"/>
  <c r="N233" i="2" s="1"/>
  <c r="L157" i="2"/>
  <c r="O26" i="2"/>
  <c r="P26" i="2" s="1"/>
  <c r="M26" i="2"/>
  <c r="N26" i="2" s="1"/>
  <c r="L242" i="2"/>
  <c r="L328" i="2"/>
  <c r="L249" i="2"/>
  <c r="L283" i="2"/>
  <c r="L36" i="2"/>
  <c r="L152" i="2"/>
  <c r="L176" i="2"/>
  <c r="L221" i="2"/>
  <c r="O240" i="2"/>
  <c r="P240" i="2" s="1"/>
  <c r="M240" i="2"/>
  <c r="N240" i="2" s="1"/>
  <c r="O250" i="2"/>
  <c r="P250" i="2" s="1"/>
  <c r="L193" i="2"/>
  <c r="L239" i="2"/>
  <c r="L326" i="2"/>
  <c r="L170" i="2"/>
  <c r="L321" i="2"/>
  <c r="L135" i="2"/>
  <c r="L209" i="2"/>
  <c r="L205" i="2"/>
  <c r="L137" i="2"/>
  <c r="O53" i="2"/>
  <c r="P53" i="2" s="1"/>
  <c r="M53" i="2"/>
  <c r="N53" i="2" s="1"/>
  <c r="L253" i="2"/>
  <c r="L297" i="2"/>
  <c r="L151" i="2"/>
  <c r="L245" i="2"/>
  <c r="L323" i="2"/>
  <c r="L234" i="2"/>
  <c r="L165" i="2"/>
  <c r="L124" i="2"/>
  <c r="O29" i="2"/>
  <c r="P29" i="2" s="1"/>
  <c r="M29" i="2"/>
  <c r="N29" i="2" s="1"/>
  <c r="O27" i="2"/>
  <c r="P27" i="2" s="1"/>
  <c r="M27" i="2"/>
  <c r="N27" i="2" s="1"/>
  <c r="L164" i="2"/>
  <c r="L147" i="2"/>
  <c r="L302" i="2"/>
  <c r="L106" i="2"/>
  <c r="L119" i="2"/>
  <c r="L268" i="2"/>
  <c r="L319" i="2"/>
  <c r="L168" i="2"/>
  <c r="L132" i="2"/>
  <c r="L162" i="2"/>
  <c r="O19" i="2"/>
  <c r="P19" i="2" s="1"/>
  <c r="M19" i="2"/>
  <c r="N19" i="2" s="1"/>
  <c r="O108" i="2"/>
  <c r="P108" i="2" s="1"/>
  <c r="M108" i="2"/>
  <c r="N108" i="2" s="1"/>
  <c r="L177" i="2"/>
  <c r="L309" i="2"/>
  <c r="O77" i="2"/>
  <c r="P77" i="2" s="1"/>
  <c r="M77" i="2"/>
  <c r="N77" i="2" s="1"/>
  <c r="L158" i="2"/>
  <c r="L257" i="2"/>
  <c r="L308" i="2"/>
  <c r="L113" i="2"/>
  <c r="O33" i="2"/>
  <c r="P33" i="2" s="1"/>
  <c r="M33" i="2"/>
  <c r="N33" i="2" s="1"/>
  <c r="L153" i="2"/>
  <c r="L214" i="2"/>
  <c r="L178" i="2"/>
  <c r="L313" i="2"/>
  <c r="O163" i="2"/>
  <c r="P163" i="2" s="1"/>
  <c r="M163" i="2"/>
  <c r="N163" i="2" s="1"/>
  <c r="O67" i="2"/>
  <c r="P67" i="2" s="1"/>
  <c r="M67" i="2"/>
  <c r="N67" i="2" s="1"/>
  <c r="L252" i="2"/>
  <c r="L311" i="2"/>
  <c r="L183" i="2"/>
  <c r="L134" i="2"/>
  <c r="L180" i="2"/>
  <c r="O52" i="2"/>
  <c r="P52" i="2" s="1"/>
  <c r="M52" i="2"/>
  <c r="N52" i="2" s="1"/>
  <c r="L175" i="2"/>
  <c r="L173" i="2"/>
  <c r="L120" i="2"/>
  <c r="O54" i="2"/>
  <c r="P54" i="2" s="1"/>
  <c r="M54" i="2"/>
  <c r="N54" i="2" s="1"/>
  <c r="L270" i="2"/>
  <c r="L310" i="2"/>
  <c r="O51" i="2"/>
  <c r="P51" i="2" s="1"/>
  <c r="M51" i="2"/>
  <c r="N51" i="2" s="1"/>
  <c r="L94" i="2"/>
  <c r="L235" i="2"/>
  <c r="L327" i="2"/>
  <c r="L63" i="2"/>
  <c r="L60" i="2"/>
  <c r="L57" i="2"/>
  <c r="N2" i="2"/>
  <c r="L238" i="2"/>
  <c r="O17" i="2"/>
  <c r="P17" i="2" s="1"/>
  <c r="M17" i="2"/>
  <c r="N17" i="2" s="1"/>
  <c r="L141" i="2"/>
  <c r="O78" i="2"/>
  <c r="P78" i="2" s="1"/>
  <c r="M78" i="2"/>
  <c r="N78" i="2" s="1"/>
  <c r="O79" i="2"/>
  <c r="P79" i="2" s="1"/>
  <c r="M79" i="2"/>
  <c r="N79" i="2" s="1"/>
  <c r="L80" i="2"/>
  <c r="L281" i="2"/>
  <c r="L322" i="2"/>
  <c r="L185" i="2"/>
  <c r="L241" i="2"/>
  <c r="L317" i="2"/>
  <c r="L87" i="2"/>
  <c r="O6" i="2"/>
  <c r="P6" i="2" s="1"/>
  <c r="M6" i="2"/>
  <c r="N6" i="2" s="1"/>
  <c r="L31" i="2"/>
  <c r="O18" i="2"/>
  <c r="P18" i="2" s="1"/>
  <c r="M18" i="2"/>
  <c r="N18" i="2" s="1"/>
  <c r="L70" i="2"/>
  <c r="O39" i="2"/>
  <c r="P39" i="2" s="1"/>
  <c r="M39" i="2"/>
  <c r="N39" i="2" s="1"/>
  <c r="L244" i="2"/>
  <c r="L194" i="2"/>
  <c r="L289" i="2"/>
  <c r="L305" i="2"/>
  <c r="L171" i="2"/>
  <c r="L92" i="2"/>
  <c r="L38" i="2"/>
  <c r="L295" i="2"/>
  <c r="L210" i="2"/>
  <c r="L112" i="2"/>
  <c r="L110" i="2"/>
  <c r="L97" i="2"/>
  <c r="L42" i="2"/>
  <c r="O338" i="2"/>
  <c r="P338" i="2" s="1"/>
  <c r="M338" i="2"/>
  <c r="N338" i="2" s="1"/>
  <c r="L200" i="2"/>
  <c r="O64" i="2"/>
  <c r="P64" i="2" s="1"/>
  <c r="M64" i="2"/>
  <c r="N64" i="2" s="1"/>
  <c r="L66" i="2"/>
  <c r="L299" i="2"/>
  <c r="L198" i="2"/>
  <c r="O86" i="2"/>
  <c r="P86" i="2" s="1"/>
  <c r="M86" i="2"/>
  <c r="N86" i="2" s="1"/>
  <c r="L225" i="2"/>
  <c r="L122" i="2"/>
  <c r="O16" i="2"/>
  <c r="P16" i="2" s="1"/>
  <c r="M16" i="2"/>
  <c r="N16" i="2" s="1"/>
  <c r="O43" i="2" l="1"/>
  <c r="P43" i="2" s="1"/>
  <c r="M109" i="2"/>
  <c r="N109" i="2" s="1"/>
  <c r="M118" i="2"/>
  <c r="N118" i="2" s="1"/>
  <c r="O176" i="2"/>
  <c r="P176" i="2" s="1"/>
  <c r="M176" i="2"/>
  <c r="N176" i="2" s="1"/>
  <c r="M152" i="2"/>
  <c r="N152" i="2" s="1"/>
  <c r="O152" i="2"/>
  <c r="P152" i="2" s="1"/>
  <c r="O195" i="2"/>
  <c r="P195" i="2" s="1"/>
  <c r="M195" i="2"/>
  <c r="N195" i="2" s="1"/>
  <c r="O131" i="2"/>
  <c r="P131" i="2" s="1"/>
  <c r="M131" i="2"/>
  <c r="N131" i="2" s="1"/>
  <c r="O188" i="2"/>
  <c r="P188" i="2" s="1"/>
  <c r="M188" i="2"/>
  <c r="N188" i="2" s="1"/>
  <c r="O83" i="2"/>
  <c r="P83" i="2" s="1"/>
  <c r="M83" i="2"/>
  <c r="N83" i="2" s="1"/>
  <c r="O324" i="2"/>
  <c r="P324" i="2" s="1"/>
  <c r="M324" i="2"/>
  <c r="N324" i="2" s="1"/>
  <c r="O349" i="2"/>
  <c r="P349" i="2" s="1"/>
  <c r="M349" i="2"/>
  <c r="N349" i="2" s="1"/>
  <c r="O254" i="2"/>
  <c r="P254" i="2" s="1"/>
  <c r="M254" i="2"/>
  <c r="N254" i="2" s="1"/>
  <c r="O68" i="2"/>
  <c r="P68" i="2" s="1"/>
  <c r="M68" i="2"/>
  <c r="N68" i="2" s="1"/>
  <c r="O334" i="2"/>
  <c r="P334" i="2" s="1"/>
  <c r="M334" i="2"/>
  <c r="N334" i="2" s="1"/>
  <c r="M62" i="2"/>
  <c r="N62" i="2" s="1"/>
  <c r="O62" i="2"/>
  <c r="P62" i="2" s="1"/>
  <c r="O298" i="2"/>
  <c r="P298" i="2" s="1"/>
  <c r="M298" i="2"/>
  <c r="N298" i="2" s="1"/>
  <c r="O145" i="2"/>
  <c r="P145" i="2" s="1"/>
  <c r="M145" i="2"/>
  <c r="N145" i="2" s="1"/>
  <c r="O345" i="2"/>
  <c r="P345" i="2" s="1"/>
  <c r="M345" i="2"/>
  <c r="N345" i="2" s="1"/>
  <c r="M293" i="2"/>
  <c r="N293" i="2" s="1"/>
  <c r="O293" i="2"/>
  <c r="P293" i="2" s="1"/>
  <c r="O264" i="2"/>
  <c r="P264" i="2" s="1"/>
  <c r="M264" i="2"/>
  <c r="N264" i="2" s="1"/>
  <c r="M224" i="2"/>
  <c r="N224" i="2" s="1"/>
  <c r="O224" i="2"/>
  <c r="P224" i="2" s="1"/>
  <c r="M185" i="2"/>
  <c r="N185" i="2" s="1"/>
  <c r="O185" i="2"/>
  <c r="P185" i="2" s="1"/>
  <c r="O311" i="2"/>
  <c r="P311" i="2" s="1"/>
  <c r="M311" i="2"/>
  <c r="N311" i="2" s="1"/>
  <c r="O36" i="2"/>
  <c r="P36" i="2" s="1"/>
  <c r="M36" i="2"/>
  <c r="N36" i="2" s="1"/>
  <c r="O252" i="2"/>
  <c r="P252" i="2" s="1"/>
  <c r="M252" i="2"/>
  <c r="N252" i="2" s="1"/>
  <c r="O283" i="2"/>
  <c r="P283" i="2" s="1"/>
  <c r="M283" i="2"/>
  <c r="N283" i="2" s="1"/>
  <c r="O265" i="2"/>
  <c r="P265" i="2" s="1"/>
  <c r="M265" i="2"/>
  <c r="N265" i="2" s="1"/>
  <c r="O291" i="2"/>
  <c r="P291" i="2" s="1"/>
  <c r="M291" i="2"/>
  <c r="N291" i="2" s="1"/>
  <c r="O215" i="2"/>
  <c r="P215" i="2" s="1"/>
  <c r="M215" i="2"/>
  <c r="N215" i="2" s="1"/>
  <c r="O58" i="2"/>
  <c r="P58" i="2" s="1"/>
  <c r="M58" i="2"/>
  <c r="N58" i="2" s="1"/>
  <c r="M267" i="2"/>
  <c r="N267" i="2" s="1"/>
  <c r="O267" i="2"/>
  <c r="P267" i="2" s="1"/>
  <c r="O140" i="2"/>
  <c r="P140" i="2" s="1"/>
  <c r="M140" i="2"/>
  <c r="N140" i="2" s="1"/>
  <c r="O134" i="2"/>
  <c r="P134" i="2" s="1"/>
  <c r="M134" i="2"/>
  <c r="N134" i="2" s="1"/>
  <c r="O147" i="2"/>
  <c r="P147" i="2" s="1"/>
  <c r="M147" i="2"/>
  <c r="N147" i="2" s="1"/>
  <c r="O80" i="2"/>
  <c r="P80" i="2" s="1"/>
  <c r="M80" i="2"/>
  <c r="N80" i="2" s="1"/>
  <c r="O164" i="2"/>
  <c r="P164" i="2" s="1"/>
  <c r="M164" i="2"/>
  <c r="N164" i="2" s="1"/>
  <c r="M249" i="2"/>
  <c r="N249" i="2" s="1"/>
  <c r="O249" i="2"/>
  <c r="P249" i="2" s="1"/>
  <c r="O169" i="2"/>
  <c r="P169" i="2" s="1"/>
  <c r="M169" i="2"/>
  <c r="N169" i="2" s="1"/>
  <c r="M248" i="2"/>
  <c r="N248" i="2" s="1"/>
  <c r="O248" i="2"/>
  <c r="P248" i="2" s="1"/>
  <c r="O243" i="2"/>
  <c r="P243" i="2" s="1"/>
  <c r="M243" i="2"/>
  <c r="N243" i="2" s="1"/>
  <c r="O314" i="2"/>
  <c r="P314" i="2" s="1"/>
  <c r="M314" i="2"/>
  <c r="N314" i="2" s="1"/>
  <c r="O200" i="2"/>
  <c r="P200" i="2" s="1"/>
  <c r="M200" i="2"/>
  <c r="N200" i="2" s="1"/>
  <c r="M290" i="2"/>
  <c r="N290" i="2" s="1"/>
  <c r="O290" i="2"/>
  <c r="P290" i="2" s="1"/>
  <c r="O206" i="2"/>
  <c r="P206" i="2" s="1"/>
  <c r="M206" i="2"/>
  <c r="N206" i="2" s="1"/>
  <c r="O172" i="2"/>
  <c r="P172" i="2" s="1"/>
  <c r="M172" i="2"/>
  <c r="N172" i="2" s="1"/>
  <c r="O207" i="2"/>
  <c r="P207" i="2" s="1"/>
  <c r="M207" i="2"/>
  <c r="N207" i="2" s="1"/>
  <c r="O266" i="2"/>
  <c r="P266" i="2" s="1"/>
  <c r="M266" i="2"/>
  <c r="N266" i="2" s="1"/>
  <c r="O71" i="2"/>
  <c r="P71" i="2" s="1"/>
  <c r="M71" i="2"/>
  <c r="N71" i="2" s="1"/>
  <c r="M299" i="2"/>
  <c r="N299" i="2" s="1"/>
  <c r="O299" i="2"/>
  <c r="P299" i="2" s="1"/>
  <c r="O242" i="2"/>
  <c r="P242" i="2" s="1"/>
  <c r="M242" i="2"/>
  <c r="N242" i="2" s="1"/>
  <c r="O231" i="2"/>
  <c r="P231" i="2" s="1"/>
  <c r="M231" i="2"/>
  <c r="N231" i="2" s="1"/>
  <c r="O159" i="2"/>
  <c r="P159" i="2" s="1"/>
  <c r="M159" i="2"/>
  <c r="N159" i="2" s="1"/>
  <c r="O353" i="2"/>
  <c r="P353" i="2" s="1"/>
  <c r="M353" i="2"/>
  <c r="N353" i="2" s="1"/>
  <c r="O344" i="2"/>
  <c r="P344" i="2" s="1"/>
  <c r="M344" i="2"/>
  <c r="N344" i="2" s="1"/>
  <c r="O44" i="2"/>
  <c r="P44" i="2" s="1"/>
  <c r="M44" i="2"/>
  <c r="N44" i="2" s="1"/>
  <c r="O223" i="2"/>
  <c r="P223" i="2" s="1"/>
  <c r="M223" i="2"/>
  <c r="N223" i="2" s="1"/>
  <c r="O130" i="2"/>
  <c r="P130" i="2" s="1"/>
  <c r="M130" i="2"/>
  <c r="N130" i="2" s="1"/>
  <c r="O332" i="2"/>
  <c r="P332" i="2" s="1"/>
  <c r="M332" i="2"/>
  <c r="N332" i="2" s="1"/>
  <c r="O174" i="2"/>
  <c r="P174" i="2" s="1"/>
  <c r="M174" i="2"/>
  <c r="N174" i="2" s="1"/>
  <c r="O74" i="2"/>
  <c r="P74" i="2" s="1"/>
  <c r="M74" i="2"/>
  <c r="N74" i="2" s="1"/>
  <c r="O105" i="2"/>
  <c r="P105" i="2" s="1"/>
  <c r="M105" i="2"/>
  <c r="N105" i="2" s="1"/>
  <c r="O230" i="2"/>
  <c r="P230" i="2" s="1"/>
  <c r="M230" i="2"/>
  <c r="N230" i="2" s="1"/>
  <c r="O307" i="2"/>
  <c r="P307" i="2" s="1"/>
  <c r="M307" i="2"/>
  <c r="N307" i="2" s="1"/>
  <c r="O269" i="2"/>
  <c r="P269" i="2" s="1"/>
  <c r="M269" i="2"/>
  <c r="N269" i="2" s="1"/>
  <c r="O48" i="2"/>
  <c r="P48" i="2" s="1"/>
  <c r="M48" i="2"/>
  <c r="N48" i="2" s="1"/>
  <c r="O232" i="2"/>
  <c r="P232" i="2" s="1"/>
  <c r="M232" i="2"/>
  <c r="N232" i="2" s="1"/>
  <c r="O30" i="2"/>
  <c r="P30" i="2" s="1"/>
  <c r="M30" i="2"/>
  <c r="N30" i="2" s="1"/>
  <c r="M281" i="2"/>
  <c r="N281" i="2" s="1"/>
  <c r="O281" i="2"/>
  <c r="P281" i="2" s="1"/>
  <c r="O313" i="2"/>
  <c r="P313" i="2" s="1"/>
  <c r="M313" i="2"/>
  <c r="N313" i="2" s="1"/>
  <c r="M124" i="2"/>
  <c r="N124" i="2" s="1"/>
  <c r="O124" i="2"/>
  <c r="P124" i="2" s="1"/>
  <c r="M49" i="2"/>
  <c r="N49" i="2" s="1"/>
  <c r="O49" i="2"/>
  <c r="P49" i="2" s="1"/>
  <c r="O85" i="2"/>
  <c r="P85" i="2" s="1"/>
  <c r="M85" i="2"/>
  <c r="N85" i="2" s="1"/>
  <c r="M227" i="2"/>
  <c r="N227" i="2" s="1"/>
  <c r="O227" i="2"/>
  <c r="P227" i="2" s="1"/>
  <c r="O149" i="2"/>
  <c r="P149" i="2" s="1"/>
  <c r="M149" i="2"/>
  <c r="N149" i="2" s="1"/>
  <c r="O61" i="2"/>
  <c r="P61" i="2" s="1"/>
  <c r="M61" i="2"/>
  <c r="N61" i="2" s="1"/>
  <c r="M216" i="2"/>
  <c r="N216" i="2" s="1"/>
  <c r="O216" i="2"/>
  <c r="P216" i="2" s="1"/>
  <c r="O154" i="2"/>
  <c r="P154" i="2" s="1"/>
  <c r="M154" i="2"/>
  <c r="N154" i="2" s="1"/>
  <c r="O190" i="2"/>
  <c r="P190" i="2" s="1"/>
  <c r="M190" i="2"/>
  <c r="N190" i="2" s="1"/>
  <c r="O328" i="2"/>
  <c r="P328" i="2" s="1"/>
  <c r="M328" i="2"/>
  <c r="N328" i="2" s="1"/>
  <c r="O42" i="2"/>
  <c r="P42" i="2" s="1"/>
  <c r="M42" i="2"/>
  <c r="N42" i="2" s="1"/>
  <c r="O178" i="2"/>
  <c r="P178" i="2" s="1"/>
  <c r="M178" i="2"/>
  <c r="N178" i="2" s="1"/>
  <c r="O165" i="2"/>
  <c r="P165" i="2" s="1"/>
  <c r="M165" i="2"/>
  <c r="N165" i="2" s="1"/>
  <c r="O157" i="2"/>
  <c r="P157" i="2" s="1"/>
  <c r="M157" i="2"/>
  <c r="N157" i="2" s="1"/>
  <c r="O139" i="2"/>
  <c r="P139" i="2" s="1"/>
  <c r="M139" i="2"/>
  <c r="N139" i="2" s="1"/>
  <c r="O337" i="2"/>
  <c r="P337" i="2" s="1"/>
  <c r="M337" i="2"/>
  <c r="N337" i="2" s="1"/>
  <c r="O312" i="2"/>
  <c r="P312" i="2" s="1"/>
  <c r="M312" i="2"/>
  <c r="N312" i="2" s="1"/>
  <c r="O302" i="2"/>
  <c r="P302" i="2" s="1"/>
  <c r="M302" i="2"/>
  <c r="N302" i="2" s="1"/>
  <c r="O141" i="2"/>
  <c r="P141" i="2" s="1"/>
  <c r="M141" i="2"/>
  <c r="N141" i="2" s="1"/>
  <c r="O97" i="2"/>
  <c r="P97" i="2" s="1"/>
  <c r="M97" i="2"/>
  <c r="N97" i="2" s="1"/>
  <c r="O110" i="2"/>
  <c r="P110" i="2" s="1"/>
  <c r="M110" i="2"/>
  <c r="N110" i="2" s="1"/>
  <c r="O214" i="2"/>
  <c r="P214" i="2" s="1"/>
  <c r="M214" i="2"/>
  <c r="N214" i="2" s="1"/>
  <c r="M234" i="2"/>
  <c r="N234" i="2" s="1"/>
  <c r="O234" i="2"/>
  <c r="P234" i="2" s="1"/>
  <c r="O346" i="2"/>
  <c r="P346" i="2" s="1"/>
  <c r="M346" i="2"/>
  <c r="N346" i="2" s="1"/>
  <c r="O287" i="2"/>
  <c r="P287" i="2" s="1"/>
  <c r="M287" i="2"/>
  <c r="N287" i="2" s="1"/>
  <c r="O272" i="2"/>
  <c r="P272" i="2" s="1"/>
  <c r="M272" i="2"/>
  <c r="N272" i="2" s="1"/>
  <c r="O183" i="2"/>
  <c r="P183" i="2" s="1"/>
  <c r="M183" i="2"/>
  <c r="N183" i="2" s="1"/>
  <c r="M153" i="2"/>
  <c r="N153" i="2" s="1"/>
  <c r="O153" i="2"/>
  <c r="P153" i="2" s="1"/>
  <c r="O323" i="2"/>
  <c r="P323" i="2" s="1"/>
  <c r="M323" i="2"/>
  <c r="N323" i="2" s="1"/>
  <c r="O35" i="2"/>
  <c r="P35" i="2" s="1"/>
  <c r="M35" i="2"/>
  <c r="N35" i="2" s="1"/>
  <c r="O335" i="2"/>
  <c r="P335" i="2" s="1"/>
  <c r="M335" i="2"/>
  <c r="N335" i="2" s="1"/>
  <c r="O256" i="2"/>
  <c r="P256" i="2" s="1"/>
  <c r="M256" i="2"/>
  <c r="N256" i="2" s="1"/>
  <c r="O73" i="2"/>
  <c r="P73" i="2" s="1"/>
  <c r="M73" i="2"/>
  <c r="N73" i="2" s="1"/>
  <c r="M184" i="2"/>
  <c r="N184" i="2" s="1"/>
  <c r="O184" i="2"/>
  <c r="P184" i="2" s="1"/>
  <c r="M229" i="2"/>
  <c r="N229" i="2" s="1"/>
  <c r="O229" i="2"/>
  <c r="P229" i="2" s="1"/>
  <c r="M75" i="2"/>
  <c r="N75" i="2" s="1"/>
  <c r="O75" i="2"/>
  <c r="P75" i="2" s="1"/>
  <c r="O66" i="2"/>
  <c r="P66" i="2" s="1"/>
  <c r="M66" i="2"/>
  <c r="N66" i="2" s="1"/>
  <c r="O245" i="2"/>
  <c r="P245" i="2" s="1"/>
  <c r="M245" i="2"/>
  <c r="N245" i="2" s="1"/>
  <c r="M121" i="2"/>
  <c r="N121" i="2" s="1"/>
  <c r="O121" i="2"/>
  <c r="P121" i="2" s="1"/>
  <c r="O303" i="2"/>
  <c r="P303" i="2" s="1"/>
  <c r="M303" i="2"/>
  <c r="N303" i="2" s="1"/>
  <c r="O96" i="2"/>
  <c r="P96" i="2" s="1"/>
  <c r="M96" i="2"/>
  <c r="N96" i="2" s="1"/>
  <c r="O259" i="2"/>
  <c r="P259" i="2" s="1"/>
  <c r="M259" i="2"/>
  <c r="N259" i="2" s="1"/>
  <c r="O128" i="2"/>
  <c r="P128" i="2" s="1"/>
  <c r="M128" i="2"/>
  <c r="N128" i="2" s="1"/>
  <c r="O222" i="2"/>
  <c r="P222" i="2" s="1"/>
  <c r="M222" i="2"/>
  <c r="N222" i="2" s="1"/>
  <c r="M228" i="2"/>
  <c r="N228" i="2" s="1"/>
  <c r="O228" i="2"/>
  <c r="P228" i="2" s="1"/>
  <c r="O220" i="2"/>
  <c r="P220" i="2" s="1"/>
  <c r="M220" i="2"/>
  <c r="N220" i="2" s="1"/>
  <c r="O112" i="2"/>
  <c r="P112" i="2" s="1"/>
  <c r="M112" i="2"/>
  <c r="N112" i="2" s="1"/>
  <c r="O151" i="2"/>
  <c r="P151" i="2" s="1"/>
  <c r="M151" i="2"/>
  <c r="N151" i="2" s="1"/>
  <c r="M189" i="2"/>
  <c r="N189" i="2" s="1"/>
  <c r="O189" i="2"/>
  <c r="P189" i="2" s="1"/>
  <c r="O288" i="2"/>
  <c r="P288" i="2" s="1"/>
  <c r="M288" i="2"/>
  <c r="N288" i="2" s="1"/>
  <c r="O144" i="2"/>
  <c r="P144" i="2" s="1"/>
  <c r="M144" i="2"/>
  <c r="N144" i="2" s="1"/>
  <c r="M156" i="2"/>
  <c r="N156" i="2" s="1"/>
  <c r="O156" i="2"/>
  <c r="P156" i="2" s="1"/>
  <c r="O336" i="2"/>
  <c r="P336" i="2" s="1"/>
  <c r="M336" i="2"/>
  <c r="N336" i="2" s="1"/>
  <c r="O342" i="2"/>
  <c r="P342" i="2" s="1"/>
  <c r="M342" i="2"/>
  <c r="N342" i="2" s="1"/>
  <c r="O212" i="2"/>
  <c r="P212" i="2" s="1"/>
  <c r="M212" i="2"/>
  <c r="N212" i="2" s="1"/>
  <c r="O238" i="2"/>
  <c r="P238" i="2" s="1"/>
  <c r="M238" i="2"/>
  <c r="N238" i="2" s="1"/>
  <c r="O38" i="2"/>
  <c r="P38" i="2" s="1"/>
  <c r="M38" i="2"/>
  <c r="N38" i="2" s="1"/>
  <c r="O113" i="2"/>
  <c r="P113" i="2" s="1"/>
  <c r="M113" i="2"/>
  <c r="N113" i="2" s="1"/>
  <c r="O100" i="2"/>
  <c r="P100" i="2" s="1"/>
  <c r="M100" i="2"/>
  <c r="N100" i="2" s="1"/>
  <c r="O276" i="2"/>
  <c r="P276" i="2" s="1"/>
  <c r="M276" i="2"/>
  <c r="N276" i="2" s="1"/>
  <c r="O273" i="2"/>
  <c r="P273" i="2" s="1"/>
  <c r="M273" i="2"/>
  <c r="N273" i="2" s="1"/>
  <c r="O181" i="2"/>
  <c r="P181" i="2" s="1"/>
  <c r="M181" i="2"/>
  <c r="N181" i="2" s="1"/>
  <c r="O294" i="2"/>
  <c r="P294" i="2" s="1"/>
  <c r="M294" i="2"/>
  <c r="N294" i="2" s="1"/>
  <c r="O114" i="2"/>
  <c r="P114" i="2" s="1"/>
  <c r="M114" i="2"/>
  <c r="N114" i="2" s="1"/>
  <c r="O210" i="2"/>
  <c r="P210" i="2" s="1"/>
  <c r="M210" i="2"/>
  <c r="N210" i="2" s="1"/>
  <c r="M57" i="2"/>
  <c r="N57" i="2" s="1"/>
  <c r="O57" i="2"/>
  <c r="P57" i="2" s="1"/>
  <c r="O82" i="2"/>
  <c r="P82" i="2" s="1"/>
  <c r="M82" i="2"/>
  <c r="N82" i="2" s="1"/>
  <c r="M92" i="2"/>
  <c r="N92" i="2" s="1"/>
  <c r="O92" i="2"/>
  <c r="P92" i="2" s="1"/>
  <c r="M60" i="2"/>
  <c r="N60" i="2" s="1"/>
  <c r="O60" i="2"/>
  <c r="P60" i="2" s="1"/>
  <c r="O253" i="2"/>
  <c r="P253" i="2" s="1"/>
  <c r="M253" i="2"/>
  <c r="N253" i="2" s="1"/>
  <c r="O45" i="2"/>
  <c r="P45" i="2" s="1"/>
  <c r="M45" i="2"/>
  <c r="N45" i="2" s="1"/>
  <c r="O347" i="2"/>
  <c r="P347" i="2" s="1"/>
  <c r="M347" i="2"/>
  <c r="N347" i="2" s="1"/>
  <c r="O136" i="2"/>
  <c r="P136" i="2" s="1"/>
  <c r="M136" i="2"/>
  <c r="N136" i="2" s="1"/>
  <c r="O208" i="2"/>
  <c r="P208" i="2" s="1"/>
  <c r="M208" i="2"/>
  <c r="N208" i="2" s="1"/>
  <c r="M322" i="2"/>
  <c r="N322" i="2" s="1"/>
  <c r="O322" i="2"/>
  <c r="P322" i="2" s="1"/>
  <c r="O295" i="2"/>
  <c r="P295" i="2" s="1"/>
  <c r="M295" i="2"/>
  <c r="N295" i="2" s="1"/>
  <c r="O297" i="2"/>
  <c r="P297" i="2" s="1"/>
  <c r="M297" i="2"/>
  <c r="N297" i="2" s="1"/>
  <c r="O308" i="2"/>
  <c r="P308" i="2" s="1"/>
  <c r="M308" i="2"/>
  <c r="N308" i="2" s="1"/>
  <c r="O171" i="2"/>
  <c r="P171" i="2" s="1"/>
  <c r="M171" i="2"/>
  <c r="N171" i="2" s="1"/>
  <c r="O63" i="2"/>
  <c r="P63" i="2" s="1"/>
  <c r="M63" i="2"/>
  <c r="N63" i="2" s="1"/>
  <c r="M257" i="2"/>
  <c r="N257" i="2" s="1"/>
  <c r="O257" i="2"/>
  <c r="P257" i="2" s="1"/>
  <c r="M280" i="2"/>
  <c r="N280" i="2" s="1"/>
  <c r="O280" i="2"/>
  <c r="P280" i="2" s="1"/>
  <c r="M331" i="2"/>
  <c r="N331" i="2" s="1"/>
  <c r="O331" i="2"/>
  <c r="P331" i="2" s="1"/>
  <c r="O327" i="2"/>
  <c r="P327" i="2" s="1"/>
  <c r="M327" i="2"/>
  <c r="N327" i="2" s="1"/>
  <c r="O158" i="2"/>
  <c r="P158" i="2" s="1"/>
  <c r="M158" i="2"/>
  <c r="N158" i="2" s="1"/>
  <c r="M285" i="2"/>
  <c r="N285" i="2" s="1"/>
  <c r="O285" i="2"/>
  <c r="P285" i="2" s="1"/>
  <c r="M88" i="2"/>
  <c r="N88" i="2" s="1"/>
  <c r="O88" i="2"/>
  <c r="P88" i="2" s="1"/>
  <c r="O352" i="2"/>
  <c r="P352" i="2" s="1"/>
  <c r="M352" i="2"/>
  <c r="N352" i="2" s="1"/>
  <c r="O138" i="2"/>
  <c r="P138" i="2" s="1"/>
  <c r="M138" i="2"/>
  <c r="N138" i="2" s="1"/>
  <c r="O179" i="2"/>
  <c r="P179" i="2" s="1"/>
  <c r="M179" i="2"/>
  <c r="N179" i="2" s="1"/>
  <c r="O275" i="2"/>
  <c r="P275" i="2" s="1"/>
  <c r="M275" i="2"/>
  <c r="N275" i="2" s="1"/>
  <c r="O137" i="2"/>
  <c r="P137" i="2" s="1"/>
  <c r="M137" i="2"/>
  <c r="N137" i="2" s="1"/>
  <c r="O251" i="2"/>
  <c r="P251" i="2" s="1"/>
  <c r="M251" i="2"/>
  <c r="N251" i="2" s="1"/>
  <c r="O292" i="2"/>
  <c r="P292" i="2" s="1"/>
  <c r="M292" i="2"/>
  <c r="N292" i="2" s="1"/>
  <c r="O203" i="2"/>
  <c r="P203" i="2" s="1"/>
  <c r="M203" i="2"/>
  <c r="N203" i="2" s="1"/>
  <c r="M166" i="2"/>
  <c r="N166" i="2" s="1"/>
  <c r="O166" i="2"/>
  <c r="P166" i="2" s="1"/>
  <c r="O236" i="2"/>
  <c r="P236" i="2" s="1"/>
  <c r="M236" i="2"/>
  <c r="N236" i="2" s="1"/>
  <c r="O202" i="2"/>
  <c r="P202" i="2" s="1"/>
  <c r="M202" i="2"/>
  <c r="N202" i="2" s="1"/>
  <c r="O186" i="2"/>
  <c r="P186" i="2" s="1"/>
  <c r="M186" i="2"/>
  <c r="N186" i="2" s="1"/>
  <c r="O205" i="2"/>
  <c r="P205" i="2" s="1"/>
  <c r="M205" i="2"/>
  <c r="N205" i="2" s="1"/>
  <c r="O213" i="2"/>
  <c r="P213" i="2" s="1"/>
  <c r="M213" i="2"/>
  <c r="N213" i="2" s="1"/>
  <c r="O117" i="2"/>
  <c r="P117" i="2" s="1"/>
  <c r="M117" i="2"/>
  <c r="N117" i="2" s="1"/>
  <c r="O161" i="2"/>
  <c r="P161" i="2" s="1"/>
  <c r="M161" i="2"/>
  <c r="N161" i="2" s="1"/>
  <c r="O341" i="2"/>
  <c r="P341" i="2" s="1"/>
  <c r="M341" i="2"/>
  <c r="N341" i="2" s="1"/>
  <c r="O306" i="2"/>
  <c r="P306" i="2" s="1"/>
  <c r="M306" i="2"/>
  <c r="N306" i="2" s="1"/>
  <c r="O102" i="2"/>
  <c r="P102" i="2" s="1"/>
  <c r="M102" i="2"/>
  <c r="N102" i="2" s="1"/>
  <c r="O330" i="2"/>
  <c r="P330" i="2" s="1"/>
  <c r="M330" i="2"/>
  <c r="N330" i="2" s="1"/>
  <c r="M235" i="2"/>
  <c r="N235" i="2" s="1"/>
  <c r="O235" i="2"/>
  <c r="P235" i="2" s="1"/>
  <c r="O123" i="2"/>
  <c r="P123" i="2" s="1"/>
  <c r="M123" i="2"/>
  <c r="N123" i="2" s="1"/>
  <c r="O282" i="2"/>
  <c r="P282" i="2" s="1"/>
  <c r="M282" i="2"/>
  <c r="N282" i="2" s="1"/>
  <c r="O155" i="2"/>
  <c r="P155" i="2" s="1"/>
  <c r="M155" i="2"/>
  <c r="N155" i="2" s="1"/>
  <c r="O260" i="2"/>
  <c r="P260" i="2" s="1"/>
  <c r="M260" i="2"/>
  <c r="N260" i="2" s="1"/>
  <c r="O196" i="2"/>
  <c r="P196" i="2" s="1"/>
  <c r="M196" i="2"/>
  <c r="N196" i="2" s="1"/>
  <c r="M194" i="2"/>
  <c r="N194" i="2" s="1"/>
  <c r="O194" i="2"/>
  <c r="P194" i="2" s="1"/>
  <c r="M261" i="2"/>
  <c r="N261" i="2" s="1"/>
  <c r="O261" i="2"/>
  <c r="P261" i="2" s="1"/>
  <c r="O177" i="2"/>
  <c r="P177" i="2" s="1"/>
  <c r="M177" i="2"/>
  <c r="N177" i="2" s="1"/>
  <c r="O135" i="2"/>
  <c r="P135" i="2" s="1"/>
  <c r="M135" i="2"/>
  <c r="N135" i="2" s="1"/>
  <c r="M199" i="2"/>
  <c r="N199" i="2" s="1"/>
  <c r="O199" i="2"/>
  <c r="P199" i="2" s="1"/>
  <c r="M125" i="2"/>
  <c r="N125" i="2" s="1"/>
  <c r="O125" i="2"/>
  <c r="P125" i="2" s="1"/>
  <c r="M34" i="2"/>
  <c r="N34" i="2" s="1"/>
  <c r="O34" i="2"/>
  <c r="P34" i="2" s="1"/>
  <c r="O116" i="2"/>
  <c r="P116" i="2" s="1"/>
  <c r="M116" i="2"/>
  <c r="N116" i="2" s="1"/>
  <c r="O343" i="2"/>
  <c r="P343" i="2" s="1"/>
  <c r="M343" i="2"/>
  <c r="N343" i="2" s="1"/>
  <c r="O197" i="2"/>
  <c r="P197" i="2" s="1"/>
  <c r="M197" i="2"/>
  <c r="N197" i="2" s="1"/>
  <c r="O305" i="2"/>
  <c r="P305" i="2" s="1"/>
  <c r="M305" i="2"/>
  <c r="N305" i="2" s="1"/>
  <c r="O310" i="2"/>
  <c r="P310" i="2" s="1"/>
  <c r="M310" i="2"/>
  <c r="N310" i="2" s="1"/>
  <c r="O321" i="2"/>
  <c r="P321" i="2" s="1"/>
  <c r="M321" i="2"/>
  <c r="N321" i="2" s="1"/>
  <c r="O316" i="2"/>
  <c r="P316" i="2" s="1"/>
  <c r="M316" i="2"/>
  <c r="N316" i="2" s="1"/>
  <c r="M217" i="2"/>
  <c r="N217" i="2" s="1"/>
  <c r="O217" i="2"/>
  <c r="P217" i="2" s="1"/>
  <c r="O351" i="2"/>
  <c r="P351" i="2" s="1"/>
  <c r="M351" i="2"/>
  <c r="N351" i="2" s="1"/>
  <c r="O271" i="2"/>
  <c r="P271" i="2" s="1"/>
  <c r="M271" i="2"/>
  <c r="N271" i="2" s="1"/>
  <c r="M325" i="2"/>
  <c r="N325" i="2" s="1"/>
  <c r="O325" i="2"/>
  <c r="P325" i="2" s="1"/>
  <c r="M209" i="2"/>
  <c r="N209" i="2" s="1"/>
  <c r="O209" i="2"/>
  <c r="P209" i="2" s="1"/>
  <c r="O170" i="2"/>
  <c r="P170" i="2" s="1"/>
  <c r="M170" i="2"/>
  <c r="N170" i="2" s="1"/>
  <c r="O274" i="2"/>
  <c r="P274" i="2" s="1"/>
  <c r="M274" i="2"/>
  <c r="N274" i="2" s="1"/>
  <c r="M226" i="2"/>
  <c r="N226" i="2" s="1"/>
  <c r="O226" i="2"/>
  <c r="P226" i="2" s="1"/>
  <c r="O143" i="2"/>
  <c r="P143" i="2" s="1"/>
  <c r="M143" i="2"/>
  <c r="N143" i="2" s="1"/>
  <c r="O247" i="2"/>
  <c r="P247" i="2" s="1"/>
  <c r="M247" i="2"/>
  <c r="N247" i="2" s="1"/>
  <c r="O201" i="2"/>
  <c r="P201" i="2" s="1"/>
  <c r="M201" i="2"/>
  <c r="N201" i="2" s="1"/>
  <c r="O107" i="2"/>
  <c r="P107" i="2" s="1"/>
  <c r="M107" i="2"/>
  <c r="N107" i="2" s="1"/>
  <c r="O91" i="2"/>
  <c r="P91" i="2" s="1"/>
  <c r="M91" i="2"/>
  <c r="N91" i="2" s="1"/>
  <c r="O309" i="2"/>
  <c r="P309" i="2" s="1"/>
  <c r="M309" i="2"/>
  <c r="N309" i="2" s="1"/>
  <c r="O270" i="2"/>
  <c r="P270" i="2" s="1"/>
  <c r="M270" i="2"/>
  <c r="N270" i="2" s="1"/>
  <c r="O326" i="2"/>
  <c r="P326" i="2" s="1"/>
  <c r="M326" i="2"/>
  <c r="N326" i="2" s="1"/>
  <c r="O72" i="2"/>
  <c r="P72" i="2" s="1"/>
  <c r="M72" i="2"/>
  <c r="N72" i="2" s="1"/>
  <c r="O296" i="2"/>
  <c r="P296" i="2" s="1"/>
  <c r="M296" i="2"/>
  <c r="N296" i="2" s="1"/>
  <c r="O90" i="2"/>
  <c r="P90" i="2" s="1"/>
  <c r="M90" i="2"/>
  <c r="N90" i="2" s="1"/>
  <c r="O93" i="2"/>
  <c r="P93" i="2" s="1"/>
  <c r="M93" i="2"/>
  <c r="N93" i="2" s="1"/>
  <c r="M318" i="2"/>
  <c r="N318" i="2" s="1"/>
  <c r="O318" i="2"/>
  <c r="P318" i="2" s="1"/>
  <c r="O237" i="2"/>
  <c r="P237" i="2" s="1"/>
  <c r="M237" i="2"/>
  <c r="N237" i="2" s="1"/>
  <c r="O69" i="2"/>
  <c r="P69" i="2" s="1"/>
  <c r="M69" i="2"/>
  <c r="N69" i="2" s="1"/>
  <c r="O198" i="2"/>
  <c r="P198" i="2" s="1"/>
  <c r="M198" i="2"/>
  <c r="N198" i="2" s="1"/>
  <c r="O320" i="2"/>
  <c r="P320" i="2" s="1"/>
  <c r="M320" i="2"/>
  <c r="N320" i="2" s="1"/>
  <c r="O70" i="2"/>
  <c r="P70" i="2" s="1"/>
  <c r="M70" i="2"/>
  <c r="N70" i="2" s="1"/>
  <c r="O239" i="2"/>
  <c r="P239" i="2" s="1"/>
  <c r="M239" i="2"/>
  <c r="N239" i="2" s="1"/>
  <c r="O99" i="2"/>
  <c r="P99" i="2" s="1"/>
  <c r="M99" i="2"/>
  <c r="N99" i="2" s="1"/>
  <c r="O255" i="2"/>
  <c r="P255" i="2" s="1"/>
  <c r="M255" i="2"/>
  <c r="N255" i="2" s="1"/>
  <c r="O348" i="2"/>
  <c r="P348" i="2" s="1"/>
  <c r="M348" i="2"/>
  <c r="N348" i="2" s="1"/>
  <c r="M258" i="2"/>
  <c r="N258" i="2" s="1"/>
  <c r="O258" i="2"/>
  <c r="P258" i="2" s="1"/>
  <c r="O204" i="2"/>
  <c r="P204" i="2" s="1"/>
  <c r="M204" i="2"/>
  <c r="N204" i="2" s="1"/>
  <c r="O340" i="2"/>
  <c r="P340" i="2" s="1"/>
  <c r="M340" i="2"/>
  <c r="N340" i="2" s="1"/>
  <c r="M289" i="2"/>
  <c r="N289" i="2" s="1"/>
  <c r="O289" i="2"/>
  <c r="P289" i="2" s="1"/>
  <c r="O162" i="2"/>
  <c r="P162" i="2" s="1"/>
  <c r="M162" i="2"/>
  <c r="N162" i="2" s="1"/>
  <c r="M193" i="2"/>
  <c r="N193" i="2" s="1"/>
  <c r="O193" i="2"/>
  <c r="P193" i="2" s="1"/>
  <c r="O101" i="2"/>
  <c r="P101" i="2" s="1"/>
  <c r="M101" i="2"/>
  <c r="N101" i="2" s="1"/>
  <c r="O301" i="2"/>
  <c r="P301" i="2" s="1"/>
  <c r="M301" i="2"/>
  <c r="N301" i="2" s="1"/>
  <c r="O146" i="2"/>
  <c r="P146" i="2" s="1"/>
  <c r="M146" i="2"/>
  <c r="N146" i="2" s="1"/>
  <c r="O278" i="2"/>
  <c r="P278" i="2" s="1"/>
  <c r="M278" i="2"/>
  <c r="N278" i="2" s="1"/>
  <c r="M103" i="2"/>
  <c r="N103" i="2" s="1"/>
  <c r="O103" i="2"/>
  <c r="P103" i="2" s="1"/>
  <c r="O111" i="2"/>
  <c r="P111" i="2" s="1"/>
  <c r="M111" i="2"/>
  <c r="N111" i="2" s="1"/>
  <c r="M277" i="2"/>
  <c r="N277" i="2" s="1"/>
  <c r="O277" i="2"/>
  <c r="P277" i="2" s="1"/>
  <c r="M106" i="2"/>
  <c r="N106" i="2" s="1"/>
  <c r="O106" i="2"/>
  <c r="P106" i="2" s="1"/>
  <c r="O133" i="2"/>
  <c r="P133" i="2" s="1"/>
  <c r="M133" i="2"/>
  <c r="N133" i="2" s="1"/>
  <c r="O173" i="2"/>
  <c r="P173" i="2" s="1"/>
  <c r="M173" i="2"/>
  <c r="N173" i="2" s="1"/>
  <c r="O148" i="2"/>
  <c r="P148" i="2" s="1"/>
  <c r="M148" i="2"/>
  <c r="N148" i="2" s="1"/>
  <c r="O192" i="2"/>
  <c r="P192" i="2" s="1"/>
  <c r="M192" i="2"/>
  <c r="N192" i="2" s="1"/>
  <c r="O59" i="2"/>
  <c r="P59" i="2" s="1"/>
  <c r="M59" i="2"/>
  <c r="N59" i="2" s="1"/>
  <c r="O98" i="2"/>
  <c r="P98" i="2" s="1"/>
  <c r="M98" i="2"/>
  <c r="N98" i="2" s="1"/>
  <c r="O150" i="2"/>
  <c r="P150" i="2" s="1"/>
  <c r="M150" i="2"/>
  <c r="N150" i="2" s="1"/>
  <c r="O182" i="2"/>
  <c r="P182" i="2" s="1"/>
  <c r="M182" i="2"/>
  <c r="N182" i="2" s="1"/>
  <c r="O129" i="2"/>
  <c r="P129" i="2" s="1"/>
  <c r="M129" i="2"/>
  <c r="N129" i="2" s="1"/>
  <c r="O244" i="2"/>
  <c r="P244" i="2" s="1"/>
  <c r="M244" i="2"/>
  <c r="N244" i="2" s="1"/>
  <c r="M120" i="2"/>
  <c r="N120" i="2" s="1"/>
  <c r="O120" i="2"/>
  <c r="P120" i="2" s="1"/>
  <c r="O132" i="2"/>
  <c r="P132" i="2" s="1"/>
  <c r="M132" i="2"/>
  <c r="N132" i="2" s="1"/>
  <c r="M122" i="2"/>
  <c r="N122" i="2" s="1"/>
  <c r="O122" i="2"/>
  <c r="P122" i="2" s="1"/>
  <c r="O175" i="2"/>
  <c r="P175" i="2" s="1"/>
  <c r="M175" i="2"/>
  <c r="N175" i="2" s="1"/>
  <c r="O168" i="2"/>
  <c r="P168" i="2" s="1"/>
  <c r="M168" i="2"/>
  <c r="N168" i="2" s="1"/>
  <c r="O84" i="2"/>
  <c r="P84" i="2" s="1"/>
  <c r="M84" i="2"/>
  <c r="N84" i="2" s="1"/>
  <c r="O167" i="2"/>
  <c r="P167" i="2" s="1"/>
  <c r="M167" i="2"/>
  <c r="N167" i="2" s="1"/>
  <c r="O76" i="2"/>
  <c r="P76" i="2" s="1"/>
  <c r="M76" i="2"/>
  <c r="N76" i="2" s="1"/>
  <c r="O329" i="2"/>
  <c r="P329" i="2" s="1"/>
  <c r="M329" i="2"/>
  <c r="N329" i="2" s="1"/>
  <c r="M94" i="2"/>
  <c r="N94" i="2" s="1"/>
  <c r="O94" i="2"/>
  <c r="P94" i="2" s="1"/>
  <c r="M225" i="2"/>
  <c r="N225" i="2" s="1"/>
  <c r="O225" i="2"/>
  <c r="P225" i="2" s="1"/>
  <c r="M87" i="2"/>
  <c r="N87" i="2" s="1"/>
  <c r="O87" i="2"/>
  <c r="P87" i="2" s="1"/>
  <c r="O319" i="2"/>
  <c r="P319" i="2" s="1"/>
  <c r="M319" i="2"/>
  <c r="N319" i="2" s="1"/>
  <c r="M89" i="2"/>
  <c r="N89" i="2" s="1"/>
  <c r="O89" i="2"/>
  <c r="P89" i="2" s="1"/>
  <c r="O300" i="2"/>
  <c r="P300" i="2" s="1"/>
  <c r="M300" i="2"/>
  <c r="N300" i="2" s="1"/>
  <c r="O354" i="2"/>
  <c r="P354" i="2" s="1"/>
  <c r="M354" i="2"/>
  <c r="N354" i="2" s="1"/>
  <c r="O333" i="2"/>
  <c r="P333" i="2" s="1"/>
  <c r="M333" i="2"/>
  <c r="N333" i="2" s="1"/>
  <c r="O279" i="2"/>
  <c r="P279" i="2" s="1"/>
  <c r="M279" i="2"/>
  <c r="N279" i="2" s="1"/>
  <c r="O284" i="2"/>
  <c r="P284" i="2" s="1"/>
  <c r="M284" i="2"/>
  <c r="N284" i="2" s="1"/>
  <c r="M31" i="2"/>
  <c r="N31" i="2" s="1"/>
  <c r="O31" i="2"/>
  <c r="P31" i="2" s="1"/>
  <c r="O317" i="2"/>
  <c r="P317" i="2" s="1"/>
  <c r="M317" i="2"/>
  <c r="N317" i="2" s="1"/>
  <c r="M268" i="2"/>
  <c r="N268" i="2" s="1"/>
  <c r="O268" i="2"/>
  <c r="P268" i="2" s="1"/>
  <c r="O315" i="2"/>
  <c r="P315" i="2" s="1"/>
  <c r="M315" i="2"/>
  <c r="N315" i="2" s="1"/>
  <c r="O160" i="2"/>
  <c r="P160" i="2" s="1"/>
  <c r="M160" i="2"/>
  <c r="N160" i="2" s="1"/>
  <c r="O246" i="2"/>
  <c r="P246" i="2" s="1"/>
  <c r="M246" i="2"/>
  <c r="N246" i="2" s="1"/>
  <c r="O304" i="2"/>
  <c r="P304" i="2" s="1"/>
  <c r="M304" i="2"/>
  <c r="N304" i="2" s="1"/>
  <c r="O187" i="2"/>
  <c r="P187" i="2" s="1"/>
  <c r="M187" i="2"/>
  <c r="N187" i="2" s="1"/>
  <c r="O241" i="2"/>
  <c r="P241" i="2" s="1"/>
  <c r="M241" i="2"/>
  <c r="N241" i="2" s="1"/>
  <c r="O180" i="2"/>
  <c r="P180" i="2" s="1"/>
  <c r="M180" i="2"/>
  <c r="N180" i="2" s="1"/>
  <c r="O119" i="2"/>
  <c r="P119" i="2" s="1"/>
  <c r="M119" i="2"/>
  <c r="N119" i="2" s="1"/>
  <c r="M221" i="2"/>
  <c r="N221" i="2" s="1"/>
  <c r="O221" i="2"/>
  <c r="P221" i="2" s="1"/>
  <c r="O263" i="2"/>
  <c r="P263" i="2" s="1"/>
  <c r="M263" i="2"/>
  <c r="N263" i="2" s="1"/>
  <c r="M46" i="2"/>
  <c r="N46" i="2" s="1"/>
  <c r="O46" i="2"/>
  <c r="P46" i="2" s="1"/>
  <c r="O191" i="2"/>
  <c r="P191" i="2" s="1"/>
  <c r="M191" i="2"/>
  <c r="N191" i="2" s="1"/>
  <c r="O142" i="2"/>
  <c r="P142" i="2" s="1"/>
  <c r="M142" i="2"/>
  <c r="N142" i="2" s="1"/>
  <c r="M211" i="2"/>
  <c r="N211" i="2" s="1"/>
  <c r="O211" i="2"/>
  <c r="P211" i="2" s="1"/>
  <c r="O47" i="2"/>
  <c r="P47" i="2" s="1"/>
  <c r="M47" i="2"/>
  <c r="N47" i="2" s="1"/>
  <c r="F6" i="6" l="1"/>
  <c r="F7" i="6"/>
  <c r="F4" i="6"/>
  <c r="F5" i="6"/>
</calcChain>
</file>

<file path=xl/sharedStrings.xml><?xml version="1.0" encoding="utf-8"?>
<sst xmlns="http://schemas.openxmlformats.org/spreadsheetml/2006/main" count="72" uniqueCount="66">
  <si>
    <t>Mini-Project 2: Zero-Coupon Bond (ZCB) Yield Curve</t>
  </si>
  <si>
    <t>Data</t>
  </si>
  <si>
    <t>353 U.S. Treasury notes and bonds quoted as of 9/4/2026 (maturities from 9/15/2026 out to 8/15/2056). Quoted bid/ask prices are Treasury 32nds-plus-eighths fractional quotes (e.g. a displayed 99.312 means 99 + (31 + 2/8)/32 = 99.9765625, not the literal decimal 99.312); both sides are decoded with that convention before use. The clean price is the decoded bid/ask midpoint. Accrued interest is computed from each bond's own semiannual coupon schedule using Excel's COUPDAYBS/COUPDAYS functions (Actual/Actual basis) and added to the clean price to obtain the dirty (invoice) price that equals the present value of the bond's cash flows.</t>
  </si>
  <si>
    <t>Cash-flow reconstruction</t>
  </si>
  <si>
    <t>For every bond, coupon dates were generated by stepping back six months at a time from the maturity date, preserving month-end dates whenever the maturity itself falls on the last day of a month (e.g. an 8/31 maturity generates 2/28 or 2/29, not 2/31-clipped-elsewhere dates). This gives a coupon of (coupon rate)/2 per $100 face every period, plus $100 principal at maturity. Across all 353 bonds this produces 245 distinct future payment dates spanning the full curve.</t>
  </si>
  <si>
    <t>Curve model</t>
  </si>
  <si>
    <t>Because the payment dates of different bonds do not fall on a common grid, a literal date-by-date bootstrap is not well identified, so the whole discount curve was estimated at once with the Nelson-Siegel-Svensson (NSS) functional form for the continuously-compounded zero rate:</t>
  </si>
  <si>
    <t>r(t) = β0 + β1·[(1-e^(-t/τ1))/(t/τ1)] + β2·[(1-e^(-t/τ1))/(t/τ1) - e^(-t/τ1)] + β3·[(1-e^(-t/τ2))/(t/τ2) - e^(-t/τ2)]</t>
  </si>
  <si>
    <t>Fitting</t>
  </si>
  <si>
    <t>The six NSS parameters (β0, β1, β2, β3, τ1, τ2) were chosen by nonlinear least squares (Python scipy, multistart with 60+ initial points converging to the same minimum) to minimize squared bond-price residuals against the corrected dirty prices. Repricing the 353 bonds with the fitted curve gives an RMSE of about $0.148 and a mean absolute error of about $0.089 per $100 face — well below the prior (mis-decoded) fit's $0.293 RMSE, because most of that earlier error was the quote-decoding bug, not curve-fitting noise. Quoted bid-ask spreads average about $0.045 (roughly one 32nd) and are not uniform across bonds (a mix of 1, 1.5 and 2 ticks), so residuals should still be read as a mix of smooth-curve approximation error and bond-specific richness/liquidity effects, not bid-ask noise alone.</t>
  </si>
  <si>
    <t>Output</t>
  </si>
  <si>
    <t>The fitted r(t) is evaluated (1) at each of the 245 distinct bond payment dates ('ZCB Curve - Payment Dates') and (2) on a smooth 0.1-year grid through 30 years ('ZCB Curve - Smooth Grid'). Discount factors are d(t)=exp(-r(t)t). Fitted zero rates rise from about 3.7% at the short end to roughly 5.3-5.4% around 20-25 years, with no negative segments. The raw Treasury quotes, decoded prices, and bond-level fit diagnostics are on 'Input Data'; the visible NSS parameters, validation metrics, and a note on what was corrected from the prior submission are on 'Fit Diagnostics'.</t>
  </si>
  <si>
    <t>Maturity</t>
  </si>
  <si>
    <t>Coupon (%)</t>
  </si>
  <si>
    <t>Bid (quoted)</t>
  </si>
  <si>
    <t>Asked (quoted)</t>
  </si>
  <si>
    <t>Asked Yield (%)</t>
  </si>
  <si>
    <t>Bid (decimal)</t>
  </si>
  <si>
    <t>Asked (decimal)</t>
  </si>
  <si>
    <t>Clean Price</t>
  </si>
  <si>
    <t>Accrued Int.</t>
  </si>
  <si>
    <t>Dirty Price</t>
  </si>
  <si>
    <t>t (years)</t>
  </si>
  <si>
    <t>Model Dirty Price</t>
  </si>
  <si>
    <t>Pricing Error</t>
  </si>
  <si>
    <t>Absolute Error</t>
  </si>
  <si>
    <t>Model Clean Price</t>
  </si>
  <si>
    <t>Inside Bid-Ask?</t>
  </si>
  <si>
    <t>Settlement Date</t>
  </si>
  <si>
    <t>Payment Date</t>
  </si>
  <si>
    <t>Continuously Compounded Zero Rate</t>
  </si>
  <si>
    <t>Discount Factor</t>
  </si>
  <si>
    <t>NSS Fit Diagnostics &amp; Validation</t>
  </si>
  <si>
    <t>NSS Parameter</t>
  </si>
  <si>
    <t>Value</t>
  </si>
  <si>
    <t>Interpretation</t>
  </si>
  <si>
    <t>Fit Metric</t>
  </si>
  <si>
    <t>Result</t>
  </si>
  <si>
    <t>β0</t>
  </si>
  <si>
    <t>Long-run level</t>
  </si>
  <si>
    <t>Price RMSE ($ per $100 face)</t>
  </si>
  <si>
    <t>β1</t>
  </si>
  <si>
    <t>Short-end slope</t>
  </si>
  <si>
    <t>Mean absolute error ($)</t>
  </si>
  <si>
    <t>β2</t>
  </si>
  <si>
    <t>First curvature term</t>
  </si>
  <si>
    <t>Maximum absolute error ($)</t>
  </si>
  <si>
    <t>β3</t>
  </si>
  <si>
    <t>Second curvature term</t>
  </si>
  <si>
    <t>Bonds priced inside bid-ask</t>
  </si>
  <si>
    <t>τ1</t>
  </si>
  <si>
    <t>Decay parameter 1 (years)</t>
  </si>
  <si>
    <t>Number of bonds</t>
  </si>
  <si>
    <t>τ2</t>
  </si>
  <si>
    <t>Decay parameter 2 (years)</t>
  </si>
  <si>
    <t>Validation notes</t>
  </si>
  <si>
    <t>Treasury quotes were decoded using the standard 32nds-plus-eighths convention (e.g. a quoted 99.312 means 99 + (31 + 2/8)/32 = 99.9765625), not a literal decimal reading. The literal-decimal reading used in the prior workbook understated most bid/ask prices by an average of about 0.34 points, with the largest distortion at the short end of the curve.</t>
  </si>
  <si>
    <t>Coupon payment dates were regenerated bond-by-bond, stepping back six months at a time from each bond's maturity and preserving month-end dates when the maturity itself falls on the last day of a month. This produces 245 distinct future payment dates across the 353 bonds (the prior workbook's 282-date table did not preserve month-end dates and is not used).</t>
  </si>
  <si>
    <t>Accrued interest uses Excel's COUPDAYBS/COUPDAYS functions (Actual/Actual, semiannual) off the settlement date in Input Data!R2, which read the same month-end-consistent coupon schedule as the payment-date list.</t>
  </si>
  <si>
    <t>The fitted curve was re-priced bond-by-bond by summing each bond's own discounted cash flows ('Cash Flows' sheet, 5,627 rows) against the live discount factors on 'ZCB Curve - Payment Dates' -- Model Dirty Price is a live SUMIF formula, not a pasted value. Minimizing summed squared price residuals (unweighted) against the corrected dirty prices, the reproduced RMSE is about $0.148 per $100 face, versus $0.293 for the prior (mis-decoded) fit. Six-parameter NSS fits are multi-modal; these parameters were selected from a multistart nonlinear least-squares search (60+ starting points converging to the same minimum) run outside Excel, since Excel has no native nonlinear solver -- the six parameters below are the only inputs in the workbook that are not native formulas.</t>
  </si>
  <si>
    <t>A price-based objective implicitly weights a given yield error by (price x modified duration), so it is more forgiving of short-maturity yield noise than a yield-based objective would be. That is a modeling trade-off, not a defect, and is documented here rather than left implicit.</t>
  </si>
  <si>
    <t>Model / assignment alignment</t>
  </si>
  <si>
    <t>The assignment (Lecture 2B, slide 35) asks for a detailed automated algorithm giving the continuously compounded discount rate for each bond payment date, in the form of a function and a graph, with a methodology write-up under one page. NSS is a valid smooth whole-curve approach for this; the workbook keeps the fitted parameters, curve formulas, quote decoding, and pricing diagnostics all visible and auditable.</t>
  </si>
  <si>
    <t>Input Data Row</t>
  </si>
  <si>
    <t>Cash Flow ($ per $100 face)</t>
  </si>
  <si>
    <t>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</si>
</sst>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  <numFmt numFmtId="165" formatCode="0.0000"/>
    <numFmt numFmtId="166" formatCode="0.000"/>
    <numFmt numFmtId="167" formatCode="0.0%"/>
    <numFmt numFmtId="168" formatCode="0.0000;[Red]\(0.0000\);\-"/>
    <numFmt numFmtId="169" formatCode="mm/dd/yyyy"/>
    <numFmt numFmtId="170" formatCode="0.0000%"/>
  </numFmts>
  <fonts count="15" x14ac:knownFonts="1">
    <font>
      <sz val="11"/>
      <color theme="1"/>
      <name val="Calibri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1"/>
    <xf numFmtId="43" fontId="4" fillId="0" borderId="1"/>
    <xf numFmtId="41" fontId="4" fillId="0" borderId="1"/>
    <xf numFmtId="44" fontId="4" fillId="0" borderId="1"/>
    <xf numFmtId="42" fontId="4" fillId="0" borderId="1"/>
    <xf numFmtId="9" fontId="4" fillId="0" borderId="1"/>
    <xf numFmtId="0" fontId="12" fillId="6" borderId="1"/>
    <xf numFmtId="0" fontId="11" fillId="0" borderId="1"/>
  </cellStyleXfs>
  <cellXfs count="43">
    <xf numFmtId="0" fontId="0" fillId="0" borderId="0" xfId="0" applyBorder="1"/>
    <xf numFmtId="0" fontId="7" fillId="3" borderId="0" xfId="0" applyFont="1" applyFill="1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  <xf numFmtId="167" fontId="0" fillId="0" borderId="0" xfId="0" applyNumberFormat="1" applyBorder="1"/>
    <xf numFmtId="1" fontId="0" fillId="0" borderId="0" xfId="0" applyNumberFormat="1" applyBorder="1"/>
    <xf numFmtId="0" fontId="11" fillId="0" borderId="1" xfId="7"/>
    <xf numFmtId="0" fontId="3" fillId="0" borderId="1" xfId="7" applyFont="1"/>
    <xf numFmtId="0" fontId="2" fillId="0" borderId="1" xfId="7" applyFont="1" applyAlignment="1">
      <alignment horizontal="left" vertical="center"/>
    </xf>
    <xf numFmtId="0" fontId="14" fillId="0" borderId="1" xfId="7" applyFont="1" applyAlignment="1">
      <alignment vertical="top" wrapText="1"/>
    </xf>
    <xf numFmtId="0" fontId="11" fillId="0" borderId="1" xfId="7" applyAlignment="1">
      <alignment wrapText="1"/>
    </xf>
    <xf numFmtId="0" fontId="2" fillId="0" borderId="1" xfId="7" applyFont="1" applyAlignment="1">
      <alignment horizontal="left" vertical="center" wrapText="1"/>
    </xf>
    <xf numFmtId="0" fontId="5" fillId="0" borderId="1" xfId="7" applyFont="1" applyAlignment="1">
      <alignment wrapText="1"/>
    </xf>
    <xf numFmtId="0" fontId="6" fillId="3" borderId="2" xfId="0" applyFont="1" applyFill="1" applyBorder="1" applyAlignment="1">
      <alignment horizontal="left" vertical="center"/>
    </xf>
    <xf numFmtId="168" fontId="1" fillId="0" borderId="2" xfId="0" applyNumberFormat="1" applyFont="1" applyBorder="1" applyAlignment="1">
      <alignment horizontal="left" vertical="center"/>
    </xf>
    <xf numFmtId="168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9" fontId="1" fillId="7" borderId="2" xfId="0" applyNumberFormat="1" applyFont="1" applyFill="1" applyBorder="1" applyAlignment="1">
      <alignment horizontal="left" vertical="center"/>
    </xf>
    <xf numFmtId="168" fontId="1" fillId="7" borderId="2" xfId="0" applyNumberFormat="1" applyFont="1" applyFill="1" applyBorder="1" applyAlignment="1">
      <alignment horizontal="left" vertical="center"/>
    </xf>
    <xf numFmtId="166" fontId="1" fillId="7" borderId="2" xfId="0" applyNumberFormat="1" applyFont="1" applyFill="1" applyBorder="1" applyAlignment="1">
      <alignment horizontal="left" vertical="center"/>
    </xf>
    <xf numFmtId="168" fontId="1" fillId="8" borderId="2" xfId="0" applyNumberFormat="1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169" fontId="0" fillId="9" borderId="2" xfId="0" applyNumberForma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16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0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9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13" fillId="6" borderId="1" xfId="6" applyFont="1" applyAlignment="1">
      <alignment horizontal="center" vertical="center"/>
    </xf>
    <xf numFmtId="0" fontId="11" fillId="0" borderId="1" xfId="7"/>
    <xf numFmtId="0" fontId="0" fillId="0" borderId="1" xfId="0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8" fillId="4" borderId="1" xfId="0" applyFont="1" applyFill="1" applyAlignment="1">
      <alignment horizontal="center" vertical="center"/>
    </xf>
    <xf numFmtId="0" fontId="0" fillId="0" borderId="0" xfId="0" applyBorder="1"/>
    <xf numFmtId="0" fontId="9" fillId="5" borderId="1" xfId="0" applyFont="1" applyFill="1"/>
  </cellXfs>
  <cellStyles count="8">
    <cellStyle name="Accent1 2" xfId="6" xr:uid="{00000000-0005-0000-0000-000006000000}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7" xr:uid="{00000000-0005-0000-0000-000007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Fitted ZCB Yield Curve (Continuously Compounded), as of 9/4/2026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409126708402416E-2"/>
          <c:y val="1.4983157469688759E-2"/>
          <c:w val="0.96079091537964167"/>
          <c:h val="0.91747075137874956"/>
        </c:manualLayout>
      </c:layout>
      <c:scatterChart>
        <c:scatterStyle val="lineMarker"/>
        <c:varyColors val="1"/>
        <c:ser>
          <c:idx val="0"/>
          <c:order val="0"/>
          <c:tx>
            <c:v>Zero rate</c:v>
          </c:tx>
          <c:spPr>
            <a:ln w="22000">
              <a:solidFill>
                <a:srgbClr val="4A7EBB"/>
              </a:solidFill>
              <a:prstDash val="solid"/>
            </a:ln>
          </c:spPr>
          <c:marker>
            <c:symbol val="none"/>
          </c:marker>
          <c:xVal>
            <c:numRef>
              <c:f>'ZCB Curve - Smooth Grid'!$A$2:$A$301</c:f>
              <c:numCache>
                <c:formatCode>General</c:formatCode>
                <c:ptCount val="3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</c:numCache>
            </c:numRef>
          </c:xVal>
          <c:yVal>
            <c:numRef>
              <c:f>'ZCB Curve - Smooth Grid'!$B$2:$B$301</c:f>
              <c:numCache>
                <c:formatCode>0.0000%</c:formatCode>
                <c:ptCount val="300"/>
                <c:pt idx="0">
                  <c:v>3.7933773206649979E-2</c:v>
                </c:pt>
                <c:pt idx="1">
                  <c:v>3.8405381401102667E-2</c:v>
                </c:pt>
                <c:pt idx="2">
                  <c:v>3.8848498667482793E-2</c:v>
                </c:pt>
                <c:pt idx="3">
                  <c:v>3.9264646125876101E-2</c:v>
                </c:pt>
                <c:pt idx="4">
                  <c:v>3.9655276047464987E-2</c:v>
                </c:pt>
                <c:pt idx="5">
                  <c:v>4.0021774694499121E-2</c:v>
                </c:pt>
                <c:pt idx="6">
                  <c:v>4.0365465048660794E-2</c:v>
                </c:pt>
                <c:pt idx="7">
                  <c:v>4.0687609432105074E-2</c:v>
                </c:pt>
                <c:pt idx="8">
                  <c:v>4.0989412025277658E-2</c:v>
                </c:pt>
                <c:pt idx="9">
                  <c:v>4.1272021285466365E-2</c:v>
                </c:pt>
                <c:pt idx="10">
                  <c:v>4.1536532269884879E-2</c:v>
                </c:pt>
                <c:pt idx="11">
                  <c:v>4.1783988866950506E-2</c:v>
                </c:pt>
                <c:pt idx="12">
                  <c:v>4.2015385939281988E-2</c:v>
                </c:pt>
                <c:pt idx="13">
                  <c:v>4.223167138180605E-2</c:v>
                </c:pt>
                <c:pt idx="14">
                  <c:v>4.243374809822964E-2</c:v>
                </c:pt>
                <c:pt idx="15">
                  <c:v>4.2622475899020421E-2</c:v>
                </c:pt>
                <c:pt idx="16">
                  <c:v>4.2798673323917805E-2</c:v>
                </c:pt>
                <c:pt idx="17">
                  <c:v>4.2963119391877705E-2</c:v>
                </c:pt>
                <c:pt idx="18">
                  <c:v>4.3116555281245021E-2</c:v>
                </c:pt>
                <c:pt idx="19">
                  <c:v>4.3259685942853308E-2</c:v>
                </c:pt>
                <c:pt idx="20">
                  <c:v>4.3393181648630853E-2</c:v>
                </c:pt>
                <c:pt idx="21">
                  <c:v>4.351767947820976E-2</c:v>
                </c:pt>
                <c:pt idx="22">
                  <c:v>4.363378474593306E-2</c:v>
                </c:pt>
                <c:pt idx="23">
                  <c:v>4.3742072370567639E-2</c:v>
                </c:pt>
                <c:pt idx="24">
                  <c:v>4.384308818993763E-2</c:v>
                </c:pt>
                <c:pt idx="25">
                  <c:v>4.393735022261798E-2</c:v>
                </c:pt>
                <c:pt idx="26">
                  <c:v>4.4025349878736728E-2</c:v>
                </c:pt>
                <c:pt idx="27">
                  <c:v>4.410755312186565E-2</c:v>
                </c:pt>
                <c:pt idx="28">
                  <c:v>4.4184401583895326E-2</c:v>
                </c:pt>
                <c:pt idx="29">
                  <c:v>4.4256313634730177E-2</c:v>
                </c:pt>
                <c:pt idx="30">
                  <c:v>4.4323685408552548E-2</c:v>
                </c:pt>
                <c:pt idx="31">
                  <c:v>4.4386891788356489E-2</c:v>
                </c:pt>
                <c:pt idx="32">
                  <c:v>4.4446287350374904E-2</c:v>
                </c:pt>
                <c:pt idx="33">
                  <c:v>4.45022072699649E-2</c:v>
                </c:pt>
                <c:pt idx="34">
                  <c:v>4.4554968190459281E-2</c:v>
                </c:pt>
                <c:pt idx="35">
                  <c:v>4.46048690564326E-2</c:v>
                </c:pt>
                <c:pt idx="36">
                  <c:v>4.4652191912772331E-2</c:v>
                </c:pt>
                <c:pt idx="37">
                  <c:v>4.4697202670899605E-2</c:v>
                </c:pt>
                <c:pt idx="38">
                  <c:v>4.4740151843424961E-2</c:v>
                </c:pt>
                <c:pt idx="39">
                  <c:v>4.4781275248479316E-2</c:v>
                </c:pt>
                <c:pt idx="40">
                  <c:v>4.482079468491456E-2</c:v>
                </c:pt>
                <c:pt idx="41">
                  <c:v>4.4858918579516779E-2</c:v>
                </c:pt>
                <c:pt idx="42">
                  <c:v>4.4895842607339698E-2</c:v>
                </c:pt>
                <c:pt idx="43">
                  <c:v>4.4931750286212671E-2</c:v>
                </c:pt>
                <c:pt idx="44">
                  <c:v>4.4966813546449179E-2</c:v>
                </c:pt>
                <c:pt idx="45">
                  <c:v>4.500119327673216E-2</c:v>
                </c:pt>
                <c:pt idx="46">
                  <c:v>4.5035039847120845E-2</c:v>
                </c:pt>
                <c:pt idx="47">
                  <c:v>4.5068493610086455E-2</c:v>
                </c:pt>
                <c:pt idx="48">
                  <c:v>4.5101685380447704E-2</c:v>
                </c:pt>
                <c:pt idx="49">
                  <c:v>4.5134736895044436E-2</c:v>
                </c:pt>
                <c:pt idx="50">
                  <c:v>4.5167761252956275E-2</c:v>
                </c:pt>
                <c:pt idx="51">
                  <c:v>4.5200863337040723E-2</c:v>
                </c:pt>
                <c:pt idx="52">
                  <c:v>4.5234140217536814E-2</c:v>
                </c:pt>
                <c:pt idx="53">
                  <c:v>4.5267681538448054E-2</c:v>
                </c:pt>
                <c:pt idx="54">
                  <c:v>4.5301569887397933E-2</c:v>
                </c:pt>
                <c:pt idx="55">
                  <c:v>4.5335881149615433E-2</c:v>
                </c:pt>
                <c:pt idx="56">
                  <c:v>4.5370684846689407E-2</c:v>
                </c:pt>
                <c:pt idx="57">
                  <c:v>4.5406044460704419E-2</c:v>
                </c:pt>
                <c:pt idx="58">
                  <c:v>4.5442017744343657E-2</c:v>
                </c:pt>
                <c:pt idx="59">
                  <c:v>4.5478657017526784E-2</c:v>
                </c:pt>
                <c:pt idx="60">
                  <c:v>4.5516009451124453E-2</c:v>
                </c:pt>
                <c:pt idx="61">
                  <c:v>4.5554117338272679E-2</c:v>
                </c:pt>
                <c:pt idx="62">
                  <c:v>4.5593018353788442E-2</c:v>
                </c:pt>
                <c:pt idx="63">
                  <c:v>4.5632745802169569E-2</c:v>
                </c:pt>
                <c:pt idx="64">
                  <c:v>4.5673328854641412E-2</c:v>
                </c:pt>
                <c:pt idx="65">
                  <c:v>4.5714792775697871E-2</c:v>
                </c:pt>
                <c:pt idx="66">
                  <c:v>4.5757159139563408E-2</c:v>
                </c:pt>
                <c:pt idx="67">
                  <c:v>4.5800446036986804E-2</c:v>
                </c:pt>
                <c:pt idx="68">
                  <c:v>4.5844668272764261E-2</c:v>
                </c:pt>
                <c:pt idx="69">
                  <c:v>4.5889837554370976E-2</c:v>
                </c:pt>
                <c:pt idx="70">
                  <c:v>4.5935962672063999E-2</c:v>
                </c:pt>
                <c:pt idx="71">
                  <c:v>4.5983049670810648E-2</c:v>
                </c:pt>
                <c:pt idx="72">
                  <c:v>4.603110201437656E-2</c:v>
                </c:pt>
                <c:pt idx="73">
                  <c:v>4.6080120741899135E-2</c:v>
                </c:pt>
                <c:pt idx="74">
                  <c:v>4.6130104617254676E-2</c:v>
                </c:pt>
                <c:pt idx="75">
                  <c:v>4.618105027152198E-2</c:v>
                </c:pt>
                <c:pt idx="76">
                  <c:v>4.6232952338824684E-2</c:v>
                </c:pt>
                <c:pt idx="77">
                  <c:v>4.6285803585831245E-2</c:v>
                </c:pt>
                <c:pt idx="78">
                  <c:v>4.6339595035176318E-2</c:v>
                </c:pt>
                <c:pt idx="79">
                  <c:v>4.6394316083057496E-2</c:v>
                </c:pt>
                <c:pt idx="80">
                  <c:v>4.6449954611251648E-2</c:v>
                </c:pt>
                <c:pt idx="81">
                  <c:v>4.6506497093785265E-2</c:v>
                </c:pt>
                <c:pt idx="82">
                  <c:v>4.6563928698484885E-2</c:v>
                </c:pt>
                <c:pt idx="83">
                  <c:v>4.6622233383622716E-2</c:v>
                </c:pt>
                <c:pt idx="84">
                  <c:v>4.6681393989864962E-2</c:v>
                </c:pt>
                <c:pt idx="85">
                  <c:v>4.6741392327723397E-2</c:v>
                </c:pt>
                <c:pt idx="86">
                  <c:v>4.680220926070075E-2</c:v>
                </c:pt>
                <c:pt idx="87">
                  <c:v>4.6863824784313515E-2</c:v>
                </c:pt>
                <c:pt idx="88">
                  <c:v>4.692621810116878E-2</c:v>
                </c:pt>
                <c:pt idx="89">
                  <c:v>4.6989367692264507E-2</c:v>
                </c:pt>
                <c:pt idx="90">
                  <c:v>4.705325138467574E-2</c:v>
                </c:pt>
                <c:pt idx="91">
                  <c:v>4.711784641578258E-2</c:v>
                </c:pt>
                <c:pt idx="92">
                  <c:v>4.7183129494189777E-2</c:v>
                </c:pt>
                <c:pt idx="93">
                  <c:v>4.7249076857481073E-2</c:v>
                </c:pt>
                <c:pt idx="94">
                  <c:v>4.7315664326947324E-2</c:v>
                </c:pt>
                <c:pt idx="95">
                  <c:v>4.7382867359419489E-2</c:v>
                </c:pt>
                <c:pt idx="96">
                  <c:v>4.7450661096334362E-2</c:v>
                </c:pt>
                <c:pt idx="97">
                  <c:v>4.7519020410153635E-2</c:v>
                </c:pt>
                <c:pt idx="98">
                  <c:v>4.7587919948254898E-2</c:v>
                </c:pt>
                <c:pt idx="99">
                  <c:v>4.7657334174404445E-2</c:v>
                </c:pt>
                <c:pt idx="100">
                  <c:v>4.7727237407922257E-2</c:v>
                </c:pt>
                <c:pt idx="101">
                  <c:v>4.7797603860638624E-2</c:v>
                </c:pt>
                <c:pt idx="102">
                  <c:v>4.7868407671744995E-2</c:v>
                </c:pt>
                <c:pt idx="103">
                  <c:v>4.793962294063138E-2</c:v>
                </c:pt>
                <c:pt idx="104">
                  <c:v>4.8011223757801785E-2</c:v>
                </c:pt>
                <c:pt idx="105">
                  <c:v>4.8083184233956522E-2</c:v>
                </c:pt>
                <c:pt idx="106">
                  <c:v>4.8155478527322278E-2</c:v>
                </c:pt>
                <c:pt idx="107">
                  <c:v>4.8228080869311851E-2</c:v>
                </c:pt>
                <c:pt idx="108">
                  <c:v>4.8300965588590677E-2</c:v>
                </c:pt>
                <c:pt idx="109">
                  <c:v>4.8374107133622432E-2</c:v>
                </c:pt>
                <c:pt idx="110">
                  <c:v>4.8447480093765649E-2</c:v>
                </c:pt>
                <c:pt idx="111">
                  <c:v>4.8521059218987653E-2</c:v>
                </c:pt>
                <c:pt idx="112">
                  <c:v>4.8594819438262299E-2</c:v>
                </c:pt>
                <c:pt idx="113">
                  <c:v>4.8668735876711812E-2</c:v>
                </c:pt>
                <c:pt idx="114">
                  <c:v>4.8742783871553869E-2</c:v>
                </c:pt>
                <c:pt idx="115">
                  <c:v>4.8816938986909704E-2</c:v>
                </c:pt>
                <c:pt idx="116">
                  <c:v>4.8891177027528841E-2</c:v>
                </c:pt>
                <c:pt idx="117">
                  <c:v>4.8965474051481751E-2</c:v>
                </c:pt>
                <c:pt idx="118">
                  <c:v>4.9039806381871498E-2</c:v>
                </c:pt>
                <c:pt idx="119">
                  <c:v>4.9114150617611159E-2</c:v>
                </c:pt>
                <c:pt idx="120">
                  <c:v>4.9188483643315087E-2</c:v>
                </c:pt>
                <c:pt idx="121">
                  <c:v>4.9262782638344521E-2</c:v>
                </c:pt>
                <c:pt idx="122">
                  <c:v>4.9337025085053589E-2</c:v>
                </c:pt>
                <c:pt idx="123">
                  <c:v>4.9411188776272749E-2</c:v>
                </c:pt>
                <c:pt idx="124">
                  <c:v>4.9485251822070087E-2</c:v>
                </c:pt>
                <c:pt idx="125">
                  <c:v>4.9559192655826478E-2</c:v>
                </c:pt>
                <c:pt idx="126">
                  <c:v>4.9632990039660513E-2</c:v>
                </c:pt>
                <c:pt idx="127">
                  <c:v>4.9706623069236164E-2</c:v>
                </c:pt>
                <c:pt idx="128">
                  <c:v>4.9780071177986204E-2</c:v>
                </c:pt>
                <c:pt idx="129">
                  <c:v>4.9853314140781806E-2</c:v>
                </c:pt>
                <c:pt idx="130">
                  <c:v>4.9926332077078125E-2</c:v>
                </c:pt>
                <c:pt idx="131">
                  <c:v>4.9999105453563758E-2</c:v>
                </c:pt>
                <c:pt idx="132">
                  <c:v>5.0071615086341385E-2</c:v>
                </c:pt>
                <c:pt idx="133">
                  <c:v>5.014384214266486E-2</c:v>
                </c:pt>
                <c:pt idx="134">
                  <c:v>5.0215768142258421E-2</c:v>
                </c:pt>
                <c:pt idx="135">
                  <c:v>5.0287374958240066E-2</c:v>
                </c:pt>
                <c:pt idx="136">
                  <c:v>5.0358644817672681E-2</c:v>
                </c:pt>
                <c:pt idx="137">
                  <c:v>5.0429560301764528E-2</c:v>
                </c:pt>
                <c:pt idx="138">
                  <c:v>5.0500104345738137E-2</c:v>
                </c:pt>
                <c:pt idx="139">
                  <c:v>5.0570260238389071E-2</c:v>
                </c:pt>
                <c:pt idx="140">
                  <c:v>5.0640011621351955E-2</c:v>
                </c:pt>
                <c:pt idx="141">
                  <c:v>5.0709342488091683E-2</c:v>
                </c:pt>
                <c:pt idx="142">
                  <c:v>5.0778237182637721E-2</c:v>
                </c:pt>
                <c:pt idx="143">
                  <c:v>5.0846680398076161E-2</c:v>
                </c:pt>
                <c:pt idx="144">
                  <c:v>5.0914657174817191E-2</c:v>
                </c:pt>
                <c:pt idx="145">
                  <c:v>5.0982152898650074E-2</c:v>
                </c:pt>
                <c:pt idx="146">
                  <c:v>5.1049153298601775E-2</c:v>
                </c:pt>
                <c:pt idx="147">
                  <c:v>5.1115644444612036E-2</c:v>
                </c:pt>
                <c:pt idx="148">
                  <c:v>5.1181612745037006E-2</c:v>
                </c:pt>
                <c:pt idx="149">
                  <c:v>5.1247044943994582E-2</c:v>
                </c:pt>
                <c:pt idx="150">
                  <c:v>5.1311928118561959E-2</c:v>
                </c:pt>
                <c:pt idx="151">
                  <c:v>5.1376249675837642E-2</c:v>
                </c:pt>
                <c:pt idx="152">
                  <c:v>5.1439997349877184E-2</c:v>
                </c:pt>
                <c:pt idx="153">
                  <c:v>5.1503159198513275E-2</c:v>
                </c:pt>
                <c:pt idx="154">
                  <c:v>5.1565723600069835E-2</c:v>
                </c:pt>
                <c:pt idx="155">
                  <c:v>5.1627679249978228E-2</c:v>
                </c:pt>
                <c:pt idx="156">
                  <c:v>5.1689015157305632E-2</c:v>
                </c:pt>
                <c:pt idx="157">
                  <c:v>5.1749720641201494E-2</c:v>
                </c:pt>
                <c:pt idx="158">
                  <c:v>5.1809785327272359E-2</c:v>
                </c:pt>
                <c:pt idx="159">
                  <c:v>5.1869199143890508E-2</c:v>
                </c:pt>
                <c:pt idx="160">
                  <c:v>5.192795231844409E-2</c:v>
                </c:pt>
                <c:pt idx="161">
                  <c:v>5.1986035373535008E-2</c:v>
                </c:pt>
                <c:pt idx="162">
                  <c:v>5.2043439123131419E-2</c:v>
                </c:pt>
                <c:pt idx="163">
                  <c:v>5.2100154668680142E-2</c:v>
                </c:pt>
                <c:pt idx="164">
                  <c:v>5.2156173395184746E-2</c:v>
                </c:pt>
                <c:pt idx="165">
                  <c:v>5.2211486967254819E-2</c:v>
                </c:pt>
                <c:pt idx="166">
                  <c:v>5.2266087325130994E-2</c:v>
                </c:pt>
                <c:pt idx="167">
                  <c:v>5.2319966680691339E-2</c:v>
                </c:pt>
                <c:pt idx="168">
                  <c:v>5.2373117513442369E-2</c:v>
                </c:pt>
                <c:pt idx="169">
                  <c:v>5.2425532566499802E-2</c:v>
                </c:pt>
                <c:pt idx="170">
                  <c:v>5.2477204842562887E-2</c:v>
                </c:pt>
                <c:pt idx="171">
                  <c:v>5.2528127599885836E-2</c:v>
                </c:pt>
                <c:pt idx="172">
                  <c:v>5.2578294348250343E-2</c:v>
                </c:pt>
                <c:pt idx="173">
                  <c:v>5.2627698844941312E-2</c:v>
                </c:pt>
                <c:pt idx="174">
                  <c:v>5.2676335090731267E-2</c:v>
                </c:pt>
                <c:pt idx="175">
                  <c:v>5.2724197325873155E-2</c:v>
                </c:pt>
                <c:pt idx="176">
                  <c:v>5.2771280026108133E-2</c:v>
                </c:pt>
                <c:pt idx="177">
                  <c:v>5.2817577898686789E-2</c:v>
                </c:pt>
                <c:pt idx="178">
                  <c:v>5.2863085878410147E-2</c:v>
                </c:pt>
                <c:pt idx="179">
                  <c:v>5.2907799123689335E-2</c:v>
                </c:pt>
                <c:pt idx="180">
                  <c:v>5.2951713012629034E-2</c:v>
                </c:pt>
                <c:pt idx="181">
                  <c:v>5.2994823139133881E-2</c:v>
                </c:pt>
                <c:pt idx="182">
                  <c:v>5.303712530904213E-2</c:v>
                </c:pt>
                <c:pt idx="183">
                  <c:v>5.3078615536286511E-2</c:v>
                </c:pt>
                <c:pt idx="184">
                  <c:v>5.3119290039084707E-2</c:v>
                </c:pt>
                <c:pt idx="185">
                  <c:v>5.3159145236160853E-2</c:v>
                </c:pt>
                <c:pt idx="186">
                  <c:v>5.3198177742999134E-2</c:v>
                </c:pt>
                <c:pt idx="187">
                  <c:v>5.3236384368130815E-2</c:v>
                </c:pt>
                <c:pt idx="188">
                  <c:v>5.3273762109456474E-2</c:v>
                </c:pt>
                <c:pt idx="189">
                  <c:v>5.3310308150603426E-2</c:v>
                </c:pt>
                <c:pt idx="190">
                  <c:v>5.3346019857319647E-2</c:v>
                </c:pt>
                <c:pt idx="191">
                  <c:v>5.3380894773906312E-2</c:v>
                </c:pt>
                <c:pt idx="192">
                  <c:v>5.3414930619687113E-2</c:v>
                </c:pt>
                <c:pt idx="193">
                  <c:v>5.3448125285518316E-2</c:v>
                </c:pt>
                <c:pt idx="194">
                  <c:v>5.3480476830337055E-2</c:v>
                </c:pt>
                <c:pt idx="195">
                  <c:v>5.3511983477750984E-2</c:v>
                </c:pt>
                <c:pt idx="196">
                  <c:v>5.354264361266823E-2</c:v>
                </c:pt>
                <c:pt idx="197">
                  <c:v>5.3572455777968417E-2</c:v>
                </c:pt>
                <c:pt idx="198">
                  <c:v>5.3601418671215734E-2</c:v>
                </c:pt>
                <c:pt idx="199">
                  <c:v>5.3629531141413861E-2</c:v>
                </c:pt>
                <c:pt idx="200">
                  <c:v>5.3656792185802486E-2</c:v>
                </c:pt>
                <c:pt idx="201">
                  <c:v>5.3683200946697159E-2</c:v>
                </c:pt>
                <c:pt idx="202">
                  <c:v>5.3708756708371233E-2</c:v>
                </c:pt>
                <c:pt idx="203">
                  <c:v>5.3733458893980415E-2</c:v>
                </c:pt>
                <c:pt idx="204">
                  <c:v>5.375730706253061E-2</c:v>
                </c:pt>
                <c:pt idx="205">
                  <c:v>5.3780300905888E-2</c:v>
                </c:pt>
                <c:pt idx="206">
                  <c:v>5.3802440245832625E-2</c:v>
                </c:pt>
                <c:pt idx="207">
                  <c:v>5.3823725031154471E-2</c:v>
                </c:pt>
                <c:pt idx="208">
                  <c:v>5.3844155334792108E-2</c:v>
                </c:pt>
                <c:pt idx="209">
                  <c:v>5.3863731351014542E-2</c:v>
                </c:pt>
                <c:pt idx="210">
                  <c:v>5.3882453392645233E-2</c:v>
                </c:pt>
                <c:pt idx="211">
                  <c:v>5.3900321888328773E-2</c:v>
                </c:pt>
                <c:pt idx="212">
                  <c:v>5.3917337379839329E-2</c:v>
                </c:pt>
                <c:pt idx="213">
                  <c:v>5.3933500519432027E-2</c:v>
                </c:pt>
                <c:pt idx="214">
                  <c:v>5.3948812067234869E-2</c:v>
                </c:pt>
                <c:pt idx="215">
                  <c:v>5.3963272888683619E-2</c:v>
                </c:pt>
                <c:pt idx="216">
                  <c:v>5.3976883951996957E-2</c:v>
                </c:pt>
                <c:pt idx="217">
                  <c:v>5.3989646325692711E-2</c:v>
                </c:pt>
                <c:pt idx="218">
                  <c:v>5.4001561176145726E-2</c:v>
                </c:pt>
                <c:pt idx="219">
                  <c:v>5.401262976518504E-2</c:v>
                </c:pt>
                <c:pt idx="220">
                  <c:v>5.4022853447731674E-2</c:v>
                </c:pt>
                <c:pt idx="221">
                  <c:v>5.4032233669476383E-2</c:v>
                </c:pt>
                <c:pt idx="222">
                  <c:v>5.4040771964596022E-2</c:v>
                </c:pt>
                <c:pt idx="223">
                  <c:v>5.4048469953509592E-2</c:v>
                </c:pt>
                <c:pt idx="224">
                  <c:v>5.4055329340672753E-2</c:v>
                </c:pt>
                <c:pt idx="225">
                  <c:v>5.406135191241046E-2</c:v>
                </c:pt>
                <c:pt idx="226">
                  <c:v>5.4066539534787655E-2</c:v>
                </c:pt>
                <c:pt idx="227">
                  <c:v>5.4070894151517016E-2</c:v>
                </c:pt>
                <c:pt idx="228">
                  <c:v>5.4074417781904208E-2</c:v>
                </c:pt>
                <c:pt idx="229">
                  <c:v>5.4077112518829525E-2</c:v>
                </c:pt>
                <c:pt idx="230">
                  <c:v>5.4078980526765678E-2</c:v>
                </c:pt>
                <c:pt idx="231">
                  <c:v>5.4080024039831573E-2</c:v>
                </c:pt>
                <c:pt idx="232">
                  <c:v>5.4080245359880978E-2</c:v>
                </c:pt>
                <c:pt idx="233">
                  <c:v>5.4079646854626712E-2</c:v>
                </c:pt>
                <c:pt idx="234">
                  <c:v>5.4078230955798924E-2</c:v>
                </c:pt>
                <c:pt idx="235">
                  <c:v>5.4076000157337364E-2</c:v>
                </c:pt>
                <c:pt idx="236">
                  <c:v>5.4072957013617376E-2</c:v>
                </c:pt>
                <c:pt idx="237">
                  <c:v>5.4069104137709156E-2</c:v>
                </c:pt>
                <c:pt idx="238">
                  <c:v>5.4064444199669284E-2</c:v>
                </c:pt>
                <c:pt idx="239">
                  <c:v>5.4058979924864935E-2</c:v>
                </c:pt>
                <c:pt idx="240">
                  <c:v>5.4052714092329812E-2</c:v>
                </c:pt>
                <c:pt idx="241">
                  <c:v>5.4045649533151302E-2</c:v>
                </c:pt>
                <c:pt idx="242">
                  <c:v>5.4037789128888396E-2</c:v>
                </c:pt>
                <c:pt idx="243">
                  <c:v>5.402913581002055E-2</c:v>
                </c:pt>
                <c:pt idx="244">
                  <c:v>5.4019692554426305E-2</c:v>
                </c:pt>
                <c:pt idx="245">
                  <c:v>5.4009462385891466E-2</c:v>
                </c:pt>
                <c:pt idx="246">
                  <c:v>5.3998448372646356E-2</c:v>
                </c:pt>
                <c:pt idx="247">
                  <c:v>5.3986653625932086E-2</c:v>
                </c:pt>
                <c:pt idx="248">
                  <c:v>5.397408129859467E-2</c:v>
                </c:pt>
                <c:pt idx="249">
                  <c:v>5.3960734583707495E-2</c:v>
                </c:pt>
                <c:pt idx="250">
                  <c:v>5.3946616713220798E-2</c:v>
                </c:pt>
                <c:pt idx="251">
                  <c:v>5.3931730956638099E-2</c:v>
                </c:pt>
                <c:pt idx="252">
                  <c:v>5.3916080619719586E-2</c:v>
                </c:pt>
                <c:pt idx="253">
                  <c:v>5.3899669043211154E-2</c:v>
                </c:pt>
                <c:pt idx="254">
                  <c:v>5.3882499601599777E-2</c:v>
                </c:pt>
                <c:pt idx="255">
                  <c:v>5.386457570189325E-2</c:v>
                </c:pt>
                <c:pt idx="256">
                  <c:v>5.3845900782425841E-2</c:v>
                </c:pt>
                <c:pt idx="257">
                  <c:v>5.3826478311687825E-2</c:v>
                </c:pt>
                <c:pt idx="258">
                  <c:v>5.380631178717922E-2</c:v>
                </c:pt>
                <c:pt idx="259">
                  <c:v>5.3785404734287105E-2</c:v>
                </c:pt>
                <c:pt idx="260">
                  <c:v>5.3763760705186583E-2</c:v>
                </c:pt>
                <c:pt idx="261">
                  <c:v>5.3741383277764315E-2</c:v>
                </c:pt>
                <c:pt idx="262">
                  <c:v>5.3718276054564501E-2</c:v>
                </c:pt>
                <c:pt idx="263">
                  <c:v>5.3694442661757366E-2</c:v>
                </c:pt>
                <c:pt idx="264">
                  <c:v>5.3669886748129003E-2</c:v>
                </c:pt>
                <c:pt idx="265">
                  <c:v>5.3644611984092913E-2</c:v>
                </c:pt>
                <c:pt idx="266">
                  <c:v>5.3618622060722147E-2</c:v>
                </c:pt>
                <c:pt idx="267">
                  <c:v>5.3591920688802579E-2</c:v>
                </c:pt>
                <c:pt idx="268">
                  <c:v>5.3564511597906032E-2</c:v>
                </c:pt>
                <c:pt idx="269">
                  <c:v>5.3536398535483594E-2</c:v>
                </c:pt>
                <c:pt idx="270">
                  <c:v>5.3507585265978416E-2</c:v>
                </c:pt>
                <c:pt idx="271">
                  <c:v>5.347807556995781E-2</c:v>
                </c:pt>
                <c:pt idx="272">
                  <c:v>5.3447873243263819E-2</c:v>
                </c:pt>
                <c:pt idx="273">
                  <c:v>5.3416982096183223E-2</c:v>
                </c:pt>
                <c:pt idx="274">
                  <c:v>5.3385405952634649E-2</c:v>
                </c:pt>
                <c:pt idx="275">
                  <c:v>5.3353148649374488E-2</c:v>
                </c:pt>
                <c:pt idx="276">
                  <c:v>5.3320214035220012E-2</c:v>
                </c:pt>
                <c:pt idx="277">
                  <c:v>5.3286605970289377E-2</c:v>
                </c:pt>
                <c:pt idx="278">
                  <c:v>5.3252328325259411E-2</c:v>
                </c:pt>
                <c:pt idx="279">
                  <c:v>5.3217384980638896E-2</c:v>
                </c:pt>
                <c:pt idx="280">
                  <c:v>5.3181779826059497E-2</c:v>
                </c:pt>
                <c:pt idx="281">
                  <c:v>5.3145516759581422E-2</c:v>
                </c:pt>
                <c:pt idx="282">
                  <c:v>5.3108599687015513E-2</c:v>
                </c:pt>
                <c:pt idx="283">
                  <c:v>5.3071032521260851E-2</c:v>
                </c:pt>
                <c:pt idx="284">
                  <c:v>5.3032819181656803E-2</c:v>
                </c:pt>
                <c:pt idx="285">
                  <c:v>5.2993963593350783E-2</c:v>
                </c:pt>
                <c:pt idx="286">
                  <c:v>5.2954469686679925E-2</c:v>
                </c:pt>
                <c:pt idx="287">
                  <c:v>5.2914341396567484E-2</c:v>
                </c:pt>
                <c:pt idx="288">
                  <c:v>5.2873582661932858E-2</c:v>
                </c:pt>
                <c:pt idx="289">
                  <c:v>5.2832197425115891E-2</c:v>
                </c:pt>
                <c:pt idx="290">
                  <c:v>5.2790189631314169E-2</c:v>
                </c:pt>
                <c:pt idx="291">
                  <c:v>5.2747563228033797E-2</c:v>
                </c:pt>
                <c:pt idx="292">
                  <c:v>5.2704322164553383E-2</c:v>
                </c:pt>
                <c:pt idx="293">
                  <c:v>5.2660470391400253E-2</c:v>
                </c:pt>
                <c:pt idx="294">
                  <c:v>5.2616011859839634E-2</c:v>
                </c:pt>
                <c:pt idx="295">
                  <c:v>5.2570950521375899E-2</c:v>
                </c:pt>
                <c:pt idx="296">
                  <c:v>5.2525290327265869E-2</c:v>
                </c:pt>
                <c:pt idx="297">
                  <c:v>5.2479035228043744E-2</c:v>
                </c:pt>
                <c:pt idx="298">
                  <c:v>5.2432189173057885E-2</c:v>
                </c:pt>
                <c:pt idx="299">
                  <c:v>5.2384756110018832E-2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5-4A3F-9893-1CA209F6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500"/>
                  <a:t>Maturity (years)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3.0000000000000006E-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500"/>
                  <a:t>Zero rate (continuously compounded)</a:t>
                </a:r>
              </a:p>
            </c:rich>
          </c:tx>
          <c:layout>
            <c:manualLayout>
              <c:xMode val="edge"/>
              <c:yMode val="edge"/>
              <c:x val="5.4141377578467449E-3"/>
              <c:y val="0.37373872294303295"/>
            </c:manualLayout>
          </c:layout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2469474" cy="9372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9"/>
  <sheetViews>
    <sheetView showGridLines="0" workbookViewId="0">
      <selection activeCell="B30" sqref="B30"/>
    </sheetView>
  </sheetViews>
  <sheetFormatPr defaultColWidth="8.7109375" defaultRowHeight="15" x14ac:dyDescent="0.25"/>
  <cols>
    <col min="1" max="1" width="8.7109375" style="7" customWidth="1"/>
    <col min="2" max="2" width="231.42578125" style="7" customWidth="1"/>
    <col min="3" max="3" width="5.42578125" style="7" customWidth="1"/>
    <col min="4" max="4" width="8.7109375" style="7" customWidth="1"/>
    <col min="5" max="16384" width="8.7109375" style="7"/>
  </cols>
  <sheetData>
    <row r="1" spans="2:2" ht="18" customHeight="1" x14ac:dyDescent="0.25">
      <c r="B1" s="34" t="s">
        <v>0</v>
      </c>
    </row>
    <row r="2" spans="2:2" ht="17.45" customHeight="1" x14ac:dyDescent="0.25">
      <c r="B2" s="35"/>
    </row>
    <row r="3" spans="2:2" ht="15" customHeight="1" x14ac:dyDescent="0.25">
      <c r="B3" s="8"/>
    </row>
    <row r="5" spans="2:2" ht="15" customHeight="1" x14ac:dyDescent="0.25">
      <c r="B5" s="9" t="s">
        <v>1</v>
      </c>
    </row>
    <row r="6" spans="2:2" ht="48" customHeight="1" x14ac:dyDescent="0.25">
      <c r="B6" s="10" t="s">
        <v>2</v>
      </c>
    </row>
    <row r="7" spans="2:2" x14ac:dyDescent="0.25">
      <c r="B7" s="11"/>
    </row>
    <row r="8" spans="2:2" ht="15" customHeight="1" x14ac:dyDescent="0.25">
      <c r="B8" s="12" t="s">
        <v>3</v>
      </c>
    </row>
    <row r="9" spans="2:2" ht="33.75" customHeight="1" x14ac:dyDescent="0.25">
      <c r="B9" s="10" t="s">
        <v>4</v>
      </c>
    </row>
    <row r="10" spans="2:2" x14ac:dyDescent="0.25">
      <c r="B10" s="11"/>
    </row>
    <row r="11" spans="2:2" ht="15" customHeight="1" x14ac:dyDescent="0.25">
      <c r="B11" s="12" t="s">
        <v>5</v>
      </c>
    </row>
    <row r="12" spans="2:2" ht="33.75" customHeight="1" x14ac:dyDescent="0.25">
      <c r="B12" s="10" t="s">
        <v>6</v>
      </c>
    </row>
    <row r="13" spans="2:2" x14ac:dyDescent="0.25">
      <c r="B13" s="13" t="s">
        <v>7</v>
      </c>
    </row>
    <row r="14" spans="2:2" ht="15" customHeight="1" x14ac:dyDescent="0.25"/>
    <row r="15" spans="2:2" ht="20.25" customHeight="1" x14ac:dyDescent="0.25">
      <c r="B15" s="12" t="s">
        <v>8</v>
      </c>
    </row>
    <row r="16" spans="2:2" ht="69" customHeight="1" x14ac:dyDescent="0.25">
      <c r="B16" s="10" t="s">
        <v>9</v>
      </c>
    </row>
    <row r="17" spans="2:2" x14ac:dyDescent="0.25">
      <c r="B17" s="11"/>
    </row>
    <row r="18" spans="2:2" ht="15" customHeight="1" x14ac:dyDescent="0.25">
      <c r="B18" s="12" t="s">
        <v>10</v>
      </c>
    </row>
    <row r="19" spans="2:2" ht="54" customHeight="1" x14ac:dyDescent="0.25">
      <c r="B19" s="10" t="s">
        <v>11</v>
      </c>
    </row>
  </sheetData>
  <mergeCells count="1"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4"/>
  <sheetViews>
    <sheetView showGridLines="0" workbookViewId="0">
      <selection activeCell="P2" sqref="P2"/>
    </sheetView>
  </sheetViews>
  <sheetFormatPr defaultColWidth="8.7109375" defaultRowHeight="15" x14ac:dyDescent="0.25"/>
  <cols>
    <col min="1" max="1" width="10.140625" bestFit="1" customWidth="1"/>
    <col min="2" max="2" width="11.140625" bestFit="1" customWidth="1"/>
    <col min="3" max="3" width="12" bestFit="1" customWidth="1"/>
    <col min="4" max="4" width="14.5703125" bestFit="1" customWidth="1"/>
    <col min="5" max="5" width="14.85546875" bestFit="1" customWidth="1"/>
    <col min="6" max="6" width="13.140625" bestFit="1" customWidth="1"/>
    <col min="7" max="7" width="15.5703125" bestFit="1" customWidth="1"/>
    <col min="8" max="8" width="11.5703125" bestFit="1" customWidth="1"/>
    <col min="9" max="9" width="11.85546875" bestFit="1" customWidth="1"/>
    <col min="10" max="10" width="10.42578125" bestFit="1" customWidth="1"/>
    <col min="11" max="11" width="8.140625" bestFit="1" customWidth="1"/>
    <col min="12" max="12" width="16.7109375" bestFit="1" customWidth="1"/>
    <col min="13" max="13" width="12.42578125" bestFit="1" customWidth="1"/>
    <col min="14" max="14" width="14" bestFit="1" customWidth="1"/>
    <col min="15" max="15" width="18" bestFit="1" customWidth="1"/>
    <col min="16" max="16" width="15" bestFit="1" customWidth="1"/>
    <col min="18" max="18" width="15.7109375" bestFit="1" customWidth="1"/>
  </cols>
  <sheetData>
    <row r="1" spans="1:18" ht="15" customHeight="1" x14ac:dyDescent="0.25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  <c r="P1" s="14" t="s">
        <v>27</v>
      </c>
      <c r="R1" s="22" t="s">
        <v>28</v>
      </c>
    </row>
    <row r="2" spans="1:18" ht="15" customHeight="1" x14ac:dyDescent="0.25">
      <c r="A2" s="18">
        <v>46280</v>
      </c>
      <c r="B2" s="19">
        <v>4.625</v>
      </c>
      <c r="C2" s="19">
        <v>100</v>
      </c>
      <c r="D2" s="19">
        <v>100.01</v>
      </c>
      <c r="E2" s="20">
        <v>2.9369999999999998</v>
      </c>
      <c r="F2" s="21">
        <f t="shared" ref="F2:F65" si="0">INT(C2)+INT(ROUND((C2-INT(C2))*1000,0)/10)/32+MOD(ROUND((C2-INT(C2))*1000,0),10)/256</f>
        <v>100</v>
      </c>
      <c r="G2" s="21">
        <f t="shared" ref="G2:G65" si="1">INT(D2)+INT(ROUND((D2-INT(D2))*1000,0)/10)/32+MOD(ROUND((D2-INT(D2))*1000,0),10)/256</f>
        <v>100.03125</v>
      </c>
      <c r="H2" s="15">
        <f t="shared" ref="H2:H65" si="2">(F2+G2)/2</f>
        <v>100.015625</v>
      </c>
      <c r="I2" s="15">
        <f t="shared" ref="I2:I65" si="3">(B2/2)*COUPDAYBS($R$2,A2,2,1)/COUPDAYS($R$2,A2,2,1)</f>
        <v>2.1742527173913042</v>
      </c>
      <c r="J2" s="16">
        <f t="shared" ref="J2:J65" si="4">H2+I2</f>
        <v>102.1898777173913</v>
      </c>
      <c r="K2" s="16">
        <f t="shared" ref="K2:K65" si="5">(A2-$R$2)/365</f>
        <v>3.0136986301369864E-2</v>
      </c>
      <c r="L2" s="16">
        <f>SUMIF('Cash Flows'!$A$2:$A$5628,ROW(),'Cash Flows'!$E$2:$E$5628)</f>
        <v>102.19681428472933</v>
      </c>
      <c r="M2" s="16">
        <f t="shared" ref="M2:M65" si="6">L2-J2</f>
        <v>6.9365673380303861E-3</v>
      </c>
      <c r="N2" s="16">
        <f t="shared" ref="N2:N65" si="7">ABS(M2)</f>
        <v>6.9365673380303861E-3</v>
      </c>
      <c r="O2" s="17">
        <f t="shared" ref="O2:O65" si="8">L2-I2</f>
        <v>100.02256156733803</v>
      </c>
      <c r="P2" s="17" t="str">
        <f t="shared" ref="P2:P65" si="9">IF(AND(O2&gt;=F2,O2&lt;=G2),"Yes","No")</f>
        <v>Yes</v>
      </c>
      <c r="R2" s="23">
        <v>46269</v>
      </c>
    </row>
    <row r="3" spans="1:18" ht="15" customHeight="1" x14ac:dyDescent="0.25">
      <c r="A3" s="18">
        <v>46295</v>
      </c>
      <c r="B3" s="19">
        <v>0.875</v>
      </c>
      <c r="C3" s="19">
        <v>99.256</v>
      </c>
      <c r="D3" s="19">
        <v>99.266000000000005</v>
      </c>
      <c r="E3" s="20">
        <v>3.625</v>
      </c>
      <c r="F3" s="21">
        <f t="shared" si="0"/>
        <v>99.8046875</v>
      </c>
      <c r="G3" s="21">
        <f t="shared" si="1"/>
        <v>99.8359375</v>
      </c>
      <c r="H3" s="15">
        <f t="shared" si="2"/>
        <v>99.8203125</v>
      </c>
      <c r="I3" s="15">
        <f t="shared" si="3"/>
        <v>0.37534153005464482</v>
      </c>
      <c r="J3" s="16">
        <f t="shared" si="4"/>
        <v>100.19565403005464</v>
      </c>
      <c r="K3" s="16">
        <f t="shared" si="5"/>
        <v>7.1232876712328766E-2</v>
      </c>
      <c r="L3" s="16">
        <f>SUMIF('Cash Flows'!$A$2:$A$5628,ROW(),'Cash Flows'!$E$2:$E$5628)</f>
        <v>100.16760386023725</v>
      </c>
      <c r="M3" s="16">
        <f t="shared" si="6"/>
        <v>-2.8050169817390724E-2</v>
      </c>
      <c r="N3" s="16">
        <f t="shared" si="7"/>
        <v>2.8050169817390724E-2</v>
      </c>
      <c r="O3" s="17">
        <f t="shared" si="8"/>
        <v>99.792262330182609</v>
      </c>
      <c r="P3" s="17" t="str">
        <f t="shared" si="9"/>
        <v>No</v>
      </c>
    </row>
    <row r="4" spans="1:18" ht="15" customHeight="1" x14ac:dyDescent="0.25">
      <c r="A4" s="18">
        <v>46295</v>
      </c>
      <c r="B4" s="19">
        <v>1.625</v>
      </c>
      <c r="C4" s="19">
        <v>99.275999999999996</v>
      </c>
      <c r="D4" s="19">
        <v>99.286000000000001</v>
      </c>
      <c r="E4" s="20">
        <v>3.3180000000000001</v>
      </c>
      <c r="F4" s="21">
        <f t="shared" si="0"/>
        <v>99.8671875</v>
      </c>
      <c r="G4" s="21">
        <f t="shared" si="1"/>
        <v>99.8984375</v>
      </c>
      <c r="H4" s="15">
        <f t="shared" si="2"/>
        <v>99.8828125</v>
      </c>
      <c r="I4" s="15">
        <f t="shared" si="3"/>
        <v>0.6970628415300546</v>
      </c>
      <c r="J4" s="16">
        <f t="shared" si="4"/>
        <v>100.57987534153006</v>
      </c>
      <c r="K4" s="16">
        <f t="shared" si="5"/>
        <v>7.1232876712328766E-2</v>
      </c>
      <c r="L4" s="16">
        <f>SUMIF('Cash Flows'!$A$2:$A$5628,ROW(),'Cash Flows'!$E$2:$E$5628)</f>
        <v>100.54159615840864</v>
      </c>
      <c r="M4" s="16">
        <f t="shared" si="6"/>
        <v>-3.8279183121417759E-2</v>
      </c>
      <c r="N4" s="16">
        <f t="shared" si="7"/>
        <v>3.8279183121417759E-2</v>
      </c>
      <c r="O4" s="17">
        <f t="shared" si="8"/>
        <v>99.844533316878582</v>
      </c>
      <c r="P4" s="17" t="str">
        <f t="shared" si="9"/>
        <v>No</v>
      </c>
    </row>
    <row r="5" spans="1:18" ht="15" customHeight="1" x14ac:dyDescent="0.25">
      <c r="A5" s="18">
        <v>46295</v>
      </c>
      <c r="B5" s="19">
        <v>3.5</v>
      </c>
      <c r="C5" s="19">
        <v>99.305999999999997</v>
      </c>
      <c r="D5" s="19">
        <v>99.316000000000003</v>
      </c>
      <c r="E5" s="20">
        <v>3.6030000000000002</v>
      </c>
      <c r="F5" s="21">
        <f t="shared" si="0"/>
        <v>99.9609375</v>
      </c>
      <c r="G5" s="21">
        <f t="shared" si="1"/>
        <v>99.9921875</v>
      </c>
      <c r="H5" s="15">
        <f t="shared" si="2"/>
        <v>99.9765625</v>
      </c>
      <c r="I5" s="15">
        <f t="shared" si="3"/>
        <v>1.5013661202185793</v>
      </c>
      <c r="J5" s="16">
        <f t="shared" si="4"/>
        <v>101.47792862021858</v>
      </c>
      <c r="K5" s="16">
        <f t="shared" si="5"/>
        <v>7.1232876712328766E-2</v>
      </c>
      <c r="L5" s="16">
        <f>SUMIF('Cash Flows'!$A$2:$A$5628,ROW(),'Cash Flows'!$E$2:$E$5628)</f>
        <v>101.47657690383711</v>
      </c>
      <c r="M5" s="16">
        <f t="shared" si="6"/>
        <v>-1.3517163814640298E-3</v>
      </c>
      <c r="N5" s="16">
        <f t="shared" si="7"/>
        <v>1.3517163814640298E-3</v>
      </c>
      <c r="O5" s="17">
        <f t="shared" si="8"/>
        <v>99.975210783618536</v>
      </c>
      <c r="P5" s="17" t="str">
        <f t="shared" si="9"/>
        <v>Yes</v>
      </c>
    </row>
    <row r="6" spans="1:18" ht="15" customHeight="1" x14ac:dyDescent="0.25">
      <c r="A6" s="18">
        <v>46310</v>
      </c>
      <c r="B6" s="19">
        <v>4.625</v>
      </c>
      <c r="C6" s="19">
        <v>100.02200000000001</v>
      </c>
      <c r="D6" s="19">
        <v>100.032</v>
      </c>
      <c r="E6" s="20">
        <v>3.5760000000000001</v>
      </c>
      <c r="F6" s="21">
        <f t="shared" si="0"/>
        <v>100.0703125</v>
      </c>
      <c r="G6" s="21">
        <f t="shared" si="1"/>
        <v>100.1015625</v>
      </c>
      <c r="H6" s="15">
        <f t="shared" si="2"/>
        <v>100.0859375</v>
      </c>
      <c r="I6" s="15">
        <f t="shared" si="3"/>
        <v>1.7943989071038251</v>
      </c>
      <c r="J6" s="16">
        <f t="shared" si="4"/>
        <v>101.88033640710383</v>
      </c>
      <c r="K6" s="16">
        <f t="shared" si="5"/>
        <v>0.11232876712328767</v>
      </c>
      <c r="L6" s="16">
        <f>SUMIF('Cash Flows'!$A$2:$A$5628,ROW(),'Cash Flows'!$E$2:$E$5628)</f>
        <v>101.87689774881477</v>
      </c>
      <c r="M6" s="16">
        <f t="shared" si="6"/>
        <v>-3.4386582890562067E-3</v>
      </c>
      <c r="N6" s="16">
        <f t="shared" si="7"/>
        <v>3.4386582890562067E-3</v>
      </c>
      <c r="O6" s="17">
        <f t="shared" si="8"/>
        <v>100.08249884171094</v>
      </c>
      <c r="P6" s="17" t="str">
        <f t="shared" si="9"/>
        <v>Yes</v>
      </c>
    </row>
    <row r="7" spans="1:18" ht="15" customHeight="1" x14ac:dyDescent="0.25">
      <c r="A7" s="18">
        <v>46326</v>
      </c>
      <c r="B7" s="19">
        <v>1.125</v>
      </c>
      <c r="C7" s="19">
        <v>99.186000000000007</v>
      </c>
      <c r="D7" s="19">
        <v>99.195999999999998</v>
      </c>
      <c r="E7" s="20">
        <v>3.8079999999999998</v>
      </c>
      <c r="F7" s="21">
        <f t="shared" si="0"/>
        <v>99.5859375</v>
      </c>
      <c r="G7" s="21">
        <f t="shared" si="1"/>
        <v>99.6171875</v>
      </c>
      <c r="H7" s="15">
        <f t="shared" si="2"/>
        <v>99.6015625</v>
      </c>
      <c r="I7" s="15">
        <f t="shared" si="3"/>
        <v>0.38824728260869568</v>
      </c>
      <c r="J7" s="16">
        <f t="shared" si="4"/>
        <v>99.989809782608702</v>
      </c>
      <c r="K7" s="16">
        <f t="shared" si="5"/>
        <v>0.15616438356164383</v>
      </c>
      <c r="L7" s="16">
        <f>SUMIF('Cash Flows'!$A$2:$A$5628,ROW(),'Cash Flows'!$E$2:$E$5628)</f>
        <v>99.964208546677852</v>
      </c>
      <c r="M7" s="16">
        <f t="shared" si="6"/>
        <v>-2.5601235930849953E-2</v>
      </c>
      <c r="N7" s="16">
        <f t="shared" si="7"/>
        <v>2.5601235930849953E-2</v>
      </c>
      <c r="O7" s="17">
        <f t="shared" si="8"/>
        <v>99.57596126406915</v>
      </c>
      <c r="P7" s="17" t="str">
        <f t="shared" si="9"/>
        <v>No</v>
      </c>
    </row>
    <row r="8" spans="1:18" ht="15" customHeight="1" x14ac:dyDescent="0.25">
      <c r="A8" s="18">
        <v>46326</v>
      </c>
      <c r="B8" s="19">
        <v>1.625</v>
      </c>
      <c r="C8" s="19">
        <v>99.212000000000003</v>
      </c>
      <c r="D8" s="19">
        <v>99.221999999999994</v>
      </c>
      <c r="E8" s="20">
        <v>3.7549999999999999</v>
      </c>
      <c r="F8" s="21">
        <f t="shared" si="0"/>
        <v>99.6640625</v>
      </c>
      <c r="G8" s="21">
        <f t="shared" si="1"/>
        <v>99.6953125</v>
      </c>
      <c r="H8" s="15">
        <f t="shared" si="2"/>
        <v>99.6796875</v>
      </c>
      <c r="I8" s="15">
        <f t="shared" si="3"/>
        <v>0.56080163043478259</v>
      </c>
      <c r="J8" s="16">
        <f t="shared" si="4"/>
        <v>100.24048913043478</v>
      </c>
      <c r="K8" s="16">
        <f t="shared" si="5"/>
        <v>0.15616438356164383</v>
      </c>
      <c r="L8" s="16">
        <f>SUMIF('Cash Flows'!$A$2:$A$5628,ROW(),'Cash Flows'!$E$2:$E$5628)</f>
        <v>100.21272118445705</v>
      </c>
      <c r="M8" s="16">
        <f t="shared" si="6"/>
        <v>-2.7767945977728914E-2</v>
      </c>
      <c r="N8" s="16">
        <f t="shared" si="7"/>
        <v>2.7767945977728914E-2</v>
      </c>
      <c r="O8" s="17">
        <f t="shared" si="8"/>
        <v>99.651919554022271</v>
      </c>
      <c r="P8" s="17" t="str">
        <f t="shared" si="9"/>
        <v>No</v>
      </c>
    </row>
    <row r="9" spans="1:18" ht="15" customHeight="1" x14ac:dyDescent="0.25">
      <c r="A9" s="18">
        <v>46326</v>
      </c>
      <c r="B9" s="19">
        <v>4.125</v>
      </c>
      <c r="C9" s="19">
        <v>100</v>
      </c>
      <c r="D9" s="19">
        <v>100.01</v>
      </c>
      <c r="E9" s="20">
        <v>3.8769999999999998</v>
      </c>
      <c r="F9" s="21">
        <f t="shared" si="0"/>
        <v>100</v>
      </c>
      <c r="G9" s="21">
        <f t="shared" si="1"/>
        <v>100.03125</v>
      </c>
      <c r="H9" s="15">
        <f t="shared" si="2"/>
        <v>100.015625</v>
      </c>
      <c r="I9" s="15">
        <f t="shared" si="3"/>
        <v>1.4235733695652173</v>
      </c>
      <c r="J9" s="16">
        <f t="shared" si="4"/>
        <v>101.43919836956522</v>
      </c>
      <c r="K9" s="16">
        <f t="shared" si="5"/>
        <v>0.15616438356164383</v>
      </c>
      <c r="L9" s="16">
        <f>SUMIF('Cash Flows'!$A$2:$A$5628,ROW(),'Cash Flows'!$E$2:$E$5628)</f>
        <v>101.45528437335298</v>
      </c>
      <c r="M9" s="16">
        <f t="shared" si="6"/>
        <v>1.6086003787762593E-2</v>
      </c>
      <c r="N9" s="16">
        <f t="shared" si="7"/>
        <v>1.6086003787762593E-2</v>
      </c>
      <c r="O9" s="17">
        <f t="shared" si="8"/>
        <v>100.03171100378776</v>
      </c>
      <c r="P9" s="17" t="str">
        <f t="shared" si="9"/>
        <v>No</v>
      </c>
    </row>
    <row r="10" spans="1:18" ht="15" customHeight="1" x14ac:dyDescent="0.25">
      <c r="A10" s="18">
        <v>46341</v>
      </c>
      <c r="B10" s="19">
        <v>2</v>
      </c>
      <c r="C10" s="19">
        <v>99.203999999999994</v>
      </c>
      <c r="D10" s="19">
        <v>99.213999999999999</v>
      </c>
      <c r="E10" s="20">
        <v>3.7869999999999999</v>
      </c>
      <c r="F10" s="21">
        <f t="shared" si="0"/>
        <v>99.640625</v>
      </c>
      <c r="G10" s="21">
        <f t="shared" si="1"/>
        <v>99.671875</v>
      </c>
      <c r="H10" s="15">
        <f t="shared" si="2"/>
        <v>99.65625</v>
      </c>
      <c r="I10" s="15">
        <f t="shared" si="3"/>
        <v>0.60869565217391308</v>
      </c>
      <c r="J10" s="16">
        <f t="shared" si="4"/>
        <v>100.26494565217391</v>
      </c>
      <c r="K10" s="16">
        <f t="shared" si="5"/>
        <v>0.19726027397260273</v>
      </c>
      <c r="L10" s="16">
        <f>SUMIF('Cash Flows'!$A$2:$A$5628,ROW(),'Cash Flows'!$E$2:$E$5628)</f>
        <v>100.23782096523253</v>
      </c>
      <c r="M10" s="16">
        <f t="shared" si="6"/>
        <v>-2.7124686941377263E-2</v>
      </c>
      <c r="N10" s="16">
        <f t="shared" si="7"/>
        <v>2.7124686941377263E-2</v>
      </c>
      <c r="O10" s="17">
        <f t="shared" si="8"/>
        <v>99.629125313058623</v>
      </c>
      <c r="P10" s="17" t="str">
        <f t="shared" si="9"/>
        <v>No</v>
      </c>
    </row>
    <row r="11" spans="1:18" ht="15" customHeight="1" x14ac:dyDescent="0.25">
      <c r="A11" s="18">
        <v>46341</v>
      </c>
      <c r="B11" s="19">
        <v>4.625</v>
      </c>
      <c r="C11" s="19">
        <v>100.04</v>
      </c>
      <c r="D11" s="19">
        <v>100.05</v>
      </c>
      <c r="E11" s="20">
        <v>3.7410000000000001</v>
      </c>
      <c r="F11" s="21">
        <f t="shared" si="0"/>
        <v>100.125</v>
      </c>
      <c r="G11" s="21">
        <f t="shared" si="1"/>
        <v>100.15625</v>
      </c>
      <c r="H11" s="15">
        <f t="shared" si="2"/>
        <v>100.140625</v>
      </c>
      <c r="I11" s="15">
        <f t="shared" si="3"/>
        <v>1.4076086956521738</v>
      </c>
      <c r="J11" s="16">
        <f t="shared" si="4"/>
        <v>101.54823369565217</v>
      </c>
      <c r="K11" s="16">
        <f t="shared" si="5"/>
        <v>0.19726027397260273</v>
      </c>
      <c r="L11" s="16">
        <f>SUMIF('Cash Flows'!$A$2:$A$5628,ROW(),'Cash Flows'!$E$2:$E$5628)</f>
        <v>101.54041641094409</v>
      </c>
      <c r="M11" s="16">
        <f t="shared" si="6"/>
        <v>-7.8172847080821839E-3</v>
      </c>
      <c r="N11" s="16">
        <f t="shared" si="7"/>
        <v>7.8172847080821839E-3</v>
      </c>
      <c r="O11" s="17">
        <f t="shared" si="8"/>
        <v>100.13280771529192</v>
      </c>
      <c r="P11" s="17" t="str">
        <f t="shared" si="9"/>
        <v>Yes</v>
      </c>
    </row>
    <row r="12" spans="1:18" ht="15" customHeight="1" x14ac:dyDescent="0.25">
      <c r="A12" s="18">
        <v>46341</v>
      </c>
      <c r="B12" s="19">
        <v>6.5</v>
      </c>
      <c r="C12" s="19">
        <v>100.13</v>
      </c>
      <c r="D12" s="19">
        <v>100.14</v>
      </c>
      <c r="E12" s="20">
        <v>4.0579999999999998</v>
      </c>
      <c r="F12" s="21">
        <f t="shared" si="0"/>
        <v>100.40625</v>
      </c>
      <c r="G12" s="21">
        <f t="shared" si="1"/>
        <v>100.4375</v>
      </c>
      <c r="H12" s="15">
        <f t="shared" si="2"/>
        <v>100.421875</v>
      </c>
      <c r="I12" s="15">
        <f t="shared" si="3"/>
        <v>1.9782608695652173</v>
      </c>
      <c r="J12" s="16">
        <f t="shared" si="4"/>
        <v>102.40013586956522</v>
      </c>
      <c r="K12" s="16">
        <f t="shared" si="5"/>
        <v>0.19726027397260273</v>
      </c>
      <c r="L12" s="16">
        <f>SUMIF('Cash Flows'!$A$2:$A$5628,ROW(),'Cash Flows'!$E$2:$E$5628)</f>
        <v>102.4708417293095</v>
      </c>
      <c r="M12" s="16">
        <f t="shared" si="6"/>
        <v>7.0705859744279564E-2</v>
      </c>
      <c r="N12" s="16">
        <f t="shared" si="7"/>
        <v>7.0705859744279564E-2</v>
      </c>
      <c r="O12" s="17">
        <f t="shared" si="8"/>
        <v>100.49258085974428</v>
      </c>
      <c r="P12" s="17" t="str">
        <f t="shared" si="9"/>
        <v>No</v>
      </c>
    </row>
    <row r="13" spans="1:18" ht="15" customHeight="1" x14ac:dyDescent="0.25">
      <c r="A13" s="18">
        <v>46356</v>
      </c>
      <c r="B13" s="19">
        <v>1.25</v>
      </c>
      <c r="C13" s="19">
        <v>99.126000000000005</v>
      </c>
      <c r="D13" s="19">
        <v>99.135999999999996</v>
      </c>
      <c r="E13" s="20">
        <v>3.7930000000000001</v>
      </c>
      <c r="F13" s="21">
        <f t="shared" si="0"/>
        <v>99.3984375</v>
      </c>
      <c r="G13" s="21">
        <f t="shared" si="1"/>
        <v>99.4296875</v>
      </c>
      <c r="H13" s="15">
        <f t="shared" si="2"/>
        <v>99.4140625</v>
      </c>
      <c r="I13" s="15">
        <f t="shared" si="3"/>
        <v>0.32786885245901637</v>
      </c>
      <c r="J13" s="16">
        <f t="shared" si="4"/>
        <v>99.741931352459019</v>
      </c>
      <c r="K13" s="16">
        <f t="shared" si="5"/>
        <v>0.23835616438356164</v>
      </c>
      <c r="L13" s="16">
        <f>SUMIF('Cash Flows'!$A$2:$A$5628,ROW(),'Cash Flows'!$E$2:$E$5628)</f>
        <v>99.70377543467248</v>
      </c>
      <c r="M13" s="16">
        <f t="shared" si="6"/>
        <v>-3.8155917786539817E-2</v>
      </c>
      <c r="N13" s="16">
        <f t="shared" si="7"/>
        <v>3.8155917786539817E-2</v>
      </c>
      <c r="O13" s="17">
        <f t="shared" si="8"/>
        <v>99.37590658221346</v>
      </c>
      <c r="P13" s="17" t="str">
        <f t="shared" si="9"/>
        <v>No</v>
      </c>
    </row>
    <row r="14" spans="1:18" ht="15" customHeight="1" x14ac:dyDescent="0.25">
      <c r="A14" s="18">
        <v>46356</v>
      </c>
      <c r="B14" s="19">
        <v>1.625</v>
      </c>
      <c r="C14" s="19">
        <v>99.156000000000006</v>
      </c>
      <c r="D14" s="19">
        <v>99.165999999999997</v>
      </c>
      <c r="E14" s="20">
        <v>3.7469999999999999</v>
      </c>
      <c r="F14" s="21">
        <f t="shared" si="0"/>
        <v>99.4921875</v>
      </c>
      <c r="G14" s="21">
        <f t="shared" si="1"/>
        <v>99.5234375</v>
      </c>
      <c r="H14" s="15">
        <f t="shared" si="2"/>
        <v>99.5078125</v>
      </c>
      <c r="I14" s="15">
        <f t="shared" si="3"/>
        <v>0.42622950819672129</v>
      </c>
      <c r="J14" s="16">
        <f t="shared" si="4"/>
        <v>99.934042008196727</v>
      </c>
      <c r="K14" s="16">
        <f t="shared" si="5"/>
        <v>0.23835616438356164</v>
      </c>
      <c r="L14" s="16">
        <f>SUMIF('Cash Flows'!$A$2:$A$5628,ROW(),'Cash Flows'!$E$2:$E$5628)</f>
        <v>99.889558867159451</v>
      </c>
      <c r="M14" s="16">
        <f t="shared" si="6"/>
        <v>-4.4483141037275686E-2</v>
      </c>
      <c r="N14" s="16">
        <f t="shared" si="7"/>
        <v>4.4483141037275686E-2</v>
      </c>
      <c r="O14" s="17">
        <f t="shared" si="8"/>
        <v>99.463329358962724</v>
      </c>
      <c r="P14" s="17" t="str">
        <f t="shared" si="9"/>
        <v>No</v>
      </c>
    </row>
    <row r="15" spans="1:18" ht="15" customHeight="1" x14ac:dyDescent="0.25">
      <c r="A15" s="18">
        <v>46356</v>
      </c>
      <c r="B15" s="19">
        <v>4.25</v>
      </c>
      <c r="C15" s="19">
        <v>100.02200000000001</v>
      </c>
      <c r="D15" s="19">
        <v>100.032</v>
      </c>
      <c r="E15" s="20">
        <v>3.774</v>
      </c>
      <c r="F15" s="21">
        <f t="shared" si="0"/>
        <v>100.0703125</v>
      </c>
      <c r="G15" s="21">
        <f t="shared" si="1"/>
        <v>100.1015625</v>
      </c>
      <c r="H15" s="15">
        <f t="shared" si="2"/>
        <v>100.0859375</v>
      </c>
      <c r="I15" s="15">
        <f t="shared" si="3"/>
        <v>1.1147540983606556</v>
      </c>
      <c r="J15" s="16">
        <f t="shared" si="4"/>
        <v>101.20069159836065</v>
      </c>
      <c r="K15" s="16">
        <f t="shared" si="5"/>
        <v>0.23835616438356164</v>
      </c>
      <c r="L15" s="16">
        <f>SUMIF('Cash Flows'!$A$2:$A$5628,ROW(),'Cash Flows'!$E$2:$E$5628)</f>
        <v>101.19004289456822</v>
      </c>
      <c r="M15" s="16">
        <f t="shared" si="6"/>
        <v>-1.0648703792426772E-2</v>
      </c>
      <c r="N15" s="16">
        <f t="shared" si="7"/>
        <v>1.0648703792426772E-2</v>
      </c>
      <c r="O15" s="17">
        <f t="shared" si="8"/>
        <v>100.07528879620757</v>
      </c>
      <c r="P15" s="17" t="str">
        <f t="shared" si="9"/>
        <v>Yes</v>
      </c>
    </row>
    <row r="16" spans="1:18" ht="15" customHeight="1" x14ac:dyDescent="0.25">
      <c r="A16" s="18">
        <v>46371</v>
      </c>
      <c r="B16" s="19">
        <v>4.375</v>
      </c>
      <c r="C16" s="19">
        <v>100.044</v>
      </c>
      <c r="D16" s="19">
        <v>100.054</v>
      </c>
      <c r="E16" s="20">
        <v>3.7050000000000001</v>
      </c>
      <c r="F16" s="21">
        <f t="shared" si="0"/>
        <v>100.140625</v>
      </c>
      <c r="G16" s="21">
        <f t="shared" si="1"/>
        <v>100.171875</v>
      </c>
      <c r="H16" s="15">
        <f t="shared" si="2"/>
        <v>100.15625</v>
      </c>
      <c r="I16" s="15">
        <f t="shared" si="3"/>
        <v>0.96823770491803274</v>
      </c>
      <c r="J16" s="16">
        <f t="shared" si="4"/>
        <v>101.12448770491804</v>
      </c>
      <c r="K16" s="16">
        <f t="shared" si="5"/>
        <v>0.27945205479452057</v>
      </c>
      <c r="L16" s="16">
        <f>SUMIF('Cash Flows'!$A$2:$A$5628,ROW(),'Cash Flows'!$E$2:$E$5628)</f>
        <v>101.08643746659865</v>
      </c>
      <c r="M16" s="16">
        <f t="shared" si="6"/>
        <v>-3.8050238319385699E-2</v>
      </c>
      <c r="N16" s="16">
        <f t="shared" si="7"/>
        <v>3.8050238319385699E-2</v>
      </c>
      <c r="O16" s="17">
        <f t="shared" si="8"/>
        <v>100.11819976168061</v>
      </c>
      <c r="P16" s="17" t="str">
        <f t="shared" si="9"/>
        <v>No</v>
      </c>
    </row>
    <row r="17" spans="1:16" ht="15" customHeight="1" x14ac:dyDescent="0.25">
      <c r="A17" s="18">
        <v>46387</v>
      </c>
      <c r="B17" s="19">
        <v>1.25</v>
      </c>
      <c r="C17" s="19">
        <v>99.052000000000007</v>
      </c>
      <c r="D17" s="19">
        <v>99.061999999999998</v>
      </c>
      <c r="E17" s="20">
        <v>3.8839999999999999</v>
      </c>
      <c r="F17" s="21">
        <f t="shared" si="0"/>
        <v>99.1640625</v>
      </c>
      <c r="G17" s="21">
        <f t="shared" si="1"/>
        <v>99.1953125</v>
      </c>
      <c r="H17" s="15">
        <f t="shared" si="2"/>
        <v>99.1796875</v>
      </c>
      <c r="I17" s="15">
        <f t="shared" si="3"/>
        <v>0.22418478260869565</v>
      </c>
      <c r="J17" s="16">
        <f t="shared" si="4"/>
        <v>99.403872282608702</v>
      </c>
      <c r="K17" s="16">
        <f t="shared" si="5"/>
        <v>0.32328767123287672</v>
      </c>
      <c r="L17" s="16">
        <f>SUMIF('Cash Flows'!$A$2:$A$5628,ROW(),'Cash Flows'!$E$2:$E$5628)</f>
        <v>99.365891078075009</v>
      </c>
      <c r="M17" s="16">
        <f t="shared" si="6"/>
        <v>-3.7981204533693358E-2</v>
      </c>
      <c r="N17" s="16">
        <f t="shared" si="7"/>
        <v>3.7981204533693358E-2</v>
      </c>
      <c r="O17" s="17">
        <f t="shared" si="8"/>
        <v>99.141706295466307</v>
      </c>
      <c r="P17" s="17" t="str">
        <f t="shared" si="9"/>
        <v>No</v>
      </c>
    </row>
    <row r="18" spans="1:16" ht="15" customHeight="1" x14ac:dyDescent="0.25">
      <c r="A18" s="18">
        <v>46387</v>
      </c>
      <c r="B18" s="19">
        <v>1.75</v>
      </c>
      <c r="C18" s="19">
        <v>99.102000000000004</v>
      </c>
      <c r="D18" s="19">
        <v>99.111999999999995</v>
      </c>
      <c r="E18" s="20">
        <v>3.8690000000000002</v>
      </c>
      <c r="F18" s="21">
        <f t="shared" si="0"/>
        <v>99.3203125</v>
      </c>
      <c r="G18" s="21">
        <f t="shared" si="1"/>
        <v>99.3515625</v>
      </c>
      <c r="H18" s="15">
        <f t="shared" si="2"/>
        <v>99.3359375</v>
      </c>
      <c r="I18" s="15">
        <f t="shared" si="3"/>
        <v>0.31385869565217389</v>
      </c>
      <c r="J18" s="16">
        <f t="shared" si="4"/>
        <v>99.649796195652172</v>
      </c>
      <c r="K18" s="16">
        <f t="shared" si="5"/>
        <v>0.32328767123287672</v>
      </c>
      <c r="L18" s="16">
        <f>SUMIF('Cash Flows'!$A$2:$A$5628,ROW(),'Cash Flows'!$E$2:$E$5628)</f>
        <v>99.612762857150969</v>
      </c>
      <c r="M18" s="16">
        <f t="shared" si="6"/>
        <v>-3.7033338501203161E-2</v>
      </c>
      <c r="N18" s="16">
        <f t="shared" si="7"/>
        <v>3.7033338501203161E-2</v>
      </c>
      <c r="O18" s="17">
        <f t="shared" si="8"/>
        <v>99.298904161498797</v>
      </c>
      <c r="P18" s="17" t="str">
        <f t="shared" si="9"/>
        <v>No</v>
      </c>
    </row>
    <row r="19" spans="1:16" ht="15" customHeight="1" x14ac:dyDescent="0.25">
      <c r="A19" s="18">
        <v>46387</v>
      </c>
      <c r="B19" s="19">
        <v>4.25</v>
      </c>
      <c r="C19" s="19">
        <v>100.024</v>
      </c>
      <c r="D19" s="19">
        <v>100.03400000000001</v>
      </c>
      <c r="E19" s="20">
        <v>3.8759999999999999</v>
      </c>
      <c r="F19" s="21">
        <f t="shared" si="0"/>
        <v>100.078125</v>
      </c>
      <c r="G19" s="21">
        <f t="shared" si="1"/>
        <v>100.109375</v>
      </c>
      <c r="H19" s="15">
        <f t="shared" si="2"/>
        <v>100.09375</v>
      </c>
      <c r="I19" s="15">
        <f t="shared" si="3"/>
        <v>0.76222826086956519</v>
      </c>
      <c r="J19" s="16">
        <f t="shared" si="4"/>
        <v>100.85597826086956</v>
      </c>
      <c r="K19" s="16">
        <f t="shared" si="5"/>
        <v>0.32328767123287672</v>
      </c>
      <c r="L19" s="16">
        <f>SUMIF('Cash Flows'!$A$2:$A$5628,ROW(),'Cash Flows'!$E$2:$E$5628)</f>
        <v>100.84712175253078</v>
      </c>
      <c r="M19" s="16">
        <f t="shared" si="6"/>
        <v>-8.8565083387805998E-3</v>
      </c>
      <c r="N19" s="16">
        <f t="shared" si="7"/>
        <v>8.8565083387805998E-3</v>
      </c>
      <c r="O19" s="17">
        <f t="shared" si="8"/>
        <v>100.08489349166122</v>
      </c>
      <c r="P19" s="17" t="str">
        <f t="shared" si="9"/>
        <v>Yes</v>
      </c>
    </row>
    <row r="20" spans="1:16" ht="15" customHeight="1" x14ac:dyDescent="0.25">
      <c r="A20" s="18">
        <v>46402</v>
      </c>
      <c r="B20" s="19">
        <v>4</v>
      </c>
      <c r="C20" s="19">
        <v>100.01</v>
      </c>
      <c r="D20" s="19">
        <v>100.02</v>
      </c>
      <c r="E20" s="20">
        <v>3.8069999999999999</v>
      </c>
      <c r="F20" s="21">
        <f t="shared" si="0"/>
        <v>100.03125</v>
      </c>
      <c r="G20" s="21">
        <f t="shared" si="1"/>
        <v>100.0625</v>
      </c>
      <c r="H20" s="15">
        <f t="shared" si="2"/>
        <v>100.046875</v>
      </c>
      <c r="I20" s="15">
        <f t="shared" si="3"/>
        <v>0.55434782608695654</v>
      </c>
      <c r="J20" s="16">
        <f t="shared" si="4"/>
        <v>100.60122282608695</v>
      </c>
      <c r="K20" s="16">
        <f t="shared" si="5"/>
        <v>0.36438356164383562</v>
      </c>
      <c r="L20" s="16">
        <f>SUMIF('Cash Flows'!$A$2:$A$5628,ROW(),'Cash Flows'!$E$2:$E$5628)</f>
        <v>100.5562898521263</v>
      </c>
      <c r="M20" s="16">
        <f t="shared" si="6"/>
        <v>-4.4932973960655431E-2</v>
      </c>
      <c r="N20" s="16">
        <f t="shared" si="7"/>
        <v>4.4932973960655431E-2</v>
      </c>
      <c r="O20" s="17">
        <f t="shared" si="8"/>
        <v>100.00194202603934</v>
      </c>
      <c r="P20" s="17" t="str">
        <f t="shared" si="9"/>
        <v>No</v>
      </c>
    </row>
    <row r="21" spans="1:16" ht="15" customHeight="1" x14ac:dyDescent="0.25">
      <c r="A21" s="18">
        <v>46418</v>
      </c>
      <c r="B21" s="19">
        <v>1.5</v>
      </c>
      <c r="C21" s="19">
        <v>99.004000000000005</v>
      </c>
      <c r="D21" s="19">
        <v>99.013999999999996</v>
      </c>
      <c r="E21" s="20">
        <v>3.9590000000000001</v>
      </c>
      <c r="F21" s="21">
        <f t="shared" si="0"/>
        <v>99.015625</v>
      </c>
      <c r="G21" s="21">
        <f t="shared" si="1"/>
        <v>99.046875</v>
      </c>
      <c r="H21" s="15">
        <f t="shared" si="2"/>
        <v>99.03125</v>
      </c>
      <c r="I21" s="15">
        <f t="shared" si="3"/>
        <v>0.14266304347826086</v>
      </c>
      <c r="J21" s="16">
        <f t="shared" si="4"/>
        <v>99.173913043478265</v>
      </c>
      <c r="K21" s="16">
        <f t="shared" si="5"/>
        <v>0.40821917808219177</v>
      </c>
      <c r="L21" s="16">
        <f>SUMIF('Cash Flows'!$A$2:$A$5628,ROW(),'Cash Flows'!$E$2:$E$5628)</f>
        <v>99.146733834486739</v>
      </c>
      <c r="M21" s="16">
        <f t="shared" si="6"/>
        <v>-2.7179208991526593E-2</v>
      </c>
      <c r="N21" s="16">
        <f t="shared" si="7"/>
        <v>2.7179208991526593E-2</v>
      </c>
      <c r="O21" s="17">
        <f t="shared" si="8"/>
        <v>99.004070791008473</v>
      </c>
      <c r="P21" s="17" t="str">
        <f t="shared" si="9"/>
        <v>No</v>
      </c>
    </row>
    <row r="22" spans="1:16" ht="15" customHeight="1" x14ac:dyDescent="0.25">
      <c r="A22" s="18">
        <v>46418</v>
      </c>
      <c r="B22" s="19">
        <v>4.125</v>
      </c>
      <c r="C22" s="19">
        <v>100.01</v>
      </c>
      <c r="D22" s="19">
        <v>100.02</v>
      </c>
      <c r="E22" s="20">
        <v>3.9550000000000001</v>
      </c>
      <c r="F22" s="21">
        <f t="shared" si="0"/>
        <v>100.03125</v>
      </c>
      <c r="G22" s="21">
        <f t="shared" si="1"/>
        <v>100.0625</v>
      </c>
      <c r="H22" s="15">
        <f t="shared" si="2"/>
        <v>100.046875</v>
      </c>
      <c r="I22" s="15">
        <f t="shared" si="3"/>
        <v>0.39232336956521741</v>
      </c>
      <c r="J22" s="16">
        <f t="shared" si="4"/>
        <v>100.43919836956522</v>
      </c>
      <c r="K22" s="16">
        <f t="shared" si="5"/>
        <v>0.40821917808219177</v>
      </c>
      <c r="L22" s="16">
        <f>SUMIF('Cash Flows'!$A$2:$A$5628,ROW(),'Cash Flows'!$E$2:$E$5628)</f>
        <v>100.43834761272757</v>
      </c>
      <c r="M22" s="16">
        <f t="shared" si="6"/>
        <v>-8.50756837650124E-4</v>
      </c>
      <c r="N22" s="16">
        <f t="shared" si="7"/>
        <v>8.50756837650124E-4</v>
      </c>
      <c r="O22" s="17">
        <f t="shared" si="8"/>
        <v>100.04602424316235</v>
      </c>
      <c r="P22" s="17" t="str">
        <f t="shared" si="9"/>
        <v>Yes</v>
      </c>
    </row>
    <row r="23" spans="1:16" ht="15" customHeight="1" x14ac:dyDescent="0.25">
      <c r="A23" s="18">
        <v>46433</v>
      </c>
      <c r="B23" s="19">
        <v>2.25</v>
      </c>
      <c r="C23" s="19">
        <v>99.081999999999994</v>
      </c>
      <c r="D23" s="19">
        <v>99.091999999999999</v>
      </c>
      <c r="E23" s="20">
        <v>3.9119999999999999</v>
      </c>
      <c r="F23" s="21">
        <f t="shared" si="0"/>
        <v>99.2578125</v>
      </c>
      <c r="G23" s="21">
        <f t="shared" si="1"/>
        <v>99.2890625</v>
      </c>
      <c r="H23" s="15">
        <f t="shared" si="2"/>
        <v>99.2734375</v>
      </c>
      <c r="I23" s="15">
        <f t="shared" si="3"/>
        <v>0.12228260869565218</v>
      </c>
      <c r="J23" s="16">
        <f t="shared" si="4"/>
        <v>99.395720108695656</v>
      </c>
      <c r="K23" s="16">
        <f t="shared" si="5"/>
        <v>0.44931506849315067</v>
      </c>
      <c r="L23" s="16">
        <f>SUMIF('Cash Flows'!$A$2:$A$5628,ROW(),'Cash Flows'!$E$2:$E$5628)</f>
        <v>99.347901850111327</v>
      </c>
      <c r="M23" s="16">
        <f t="shared" si="6"/>
        <v>-4.7818258584328532E-2</v>
      </c>
      <c r="N23" s="16">
        <f t="shared" si="7"/>
        <v>4.7818258584328532E-2</v>
      </c>
      <c r="O23" s="17">
        <f t="shared" si="8"/>
        <v>99.225619241415671</v>
      </c>
      <c r="P23" s="17" t="str">
        <f t="shared" si="9"/>
        <v>No</v>
      </c>
    </row>
    <row r="24" spans="1:16" ht="15" customHeight="1" x14ac:dyDescent="0.25">
      <c r="A24" s="18">
        <v>46433</v>
      </c>
      <c r="B24" s="19">
        <v>4.125</v>
      </c>
      <c r="C24" s="19">
        <v>100.012</v>
      </c>
      <c r="D24" s="19">
        <v>100.02200000000001</v>
      </c>
      <c r="E24" s="20">
        <v>3.9550000000000001</v>
      </c>
      <c r="F24" s="21">
        <f t="shared" si="0"/>
        <v>100.0390625</v>
      </c>
      <c r="G24" s="21">
        <f t="shared" si="1"/>
        <v>100.0703125</v>
      </c>
      <c r="H24" s="15">
        <f t="shared" si="2"/>
        <v>100.0546875</v>
      </c>
      <c r="I24" s="15">
        <f t="shared" si="3"/>
        <v>0.22418478260869565</v>
      </c>
      <c r="J24" s="16">
        <f t="shared" si="4"/>
        <v>100.2788722826087</v>
      </c>
      <c r="K24" s="16">
        <f t="shared" si="5"/>
        <v>0.44931506849315067</v>
      </c>
      <c r="L24" s="16">
        <f>SUMIF('Cash Flows'!$A$2:$A$5628,ROW(),'Cash Flows'!$E$2:$E$5628)</f>
        <v>100.2689268981655</v>
      </c>
      <c r="M24" s="16">
        <f t="shared" si="6"/>
        <v>-9.9453844431991456E-3</v>
      </c>
      <c r="N24" s="16">
        <f t="shared" si="7"/>
        <v>9.9453844431991456E-3</v>
      </c>
      <c r="O24" s="17">
        <f t="shared" si="8"/>
        <v>100.0447421155568</v>
      </c>
      <c r="P24" s="17" t="str">
        <f t="shared" si="9"/>
        <v>Yes</v>
      </c>
    </row>
    <row r="25" spans="1:16" ht="15" customHeight="1" x14ac:dyDescent="0.25">
      <c r="A25" s="18">
        <v>46433</v>
      </c>
      <c r="B25" s="19">
        <v>6.625</v>
      </c>
      <c r="C25" s="19">
        <v>101.03</v>
      </c>
      <c r="D25" s="19">
        <v>101.04</v>
      </c>
      <c r="E25" s="20">
        <v>3.9809999999999999</v>
      </c>
      <c r="F25" s="21">
        <f t="shared" si="0"/>
        <v>101.09375</v>
      </c>
      <c r="G25" s="21">
        <f t="shared" si="1"/>
        <v>101.125</v>
      </c>
      <c r="H25" s="15">
        <f t="shared" si="2"/>
        <v>101.109375</v>
      </c>
      <c r="I25" s="15">
        <f t="shared" si="3"/>
        <v>0.36005434782608697</v>
      </c>
      <c r="J25" s="16">
        <f t="shared" si="4"/>
        <v>101.46942934782609</v>
      </c>
      <c r="K25" s="16">
        <f t="shared" si="5"/>
        <v>0.44931506849315067</v>
      </c>
      <c r="L25" s="16">
        <f>SUMIF('Cash Flows'!$A$2:$A$5628,ROW(),'Cash Flows'!$E$2:$E$5628)</f>
        <v>101.49696029557109</v>
      </c>
      <c r="M25" s="16">
        <f t="shared" si="6"/>
        <v>2.7530947744992318E-2</v>
      </c>
      <c r="N25" s="16">
        <f t="shared" si="7"/>
        <v>2.7530947744992318E-2</v>
      </c>
      <c r="O25" s="17">
        <f t="shared" si="8"/>
        <v>101.13690594774499</v>
      </c>
      <c r="P25" s="17" t="str">
        <f t="shared" si="9"/>
        <v>No</v>
      </c>
    </row>
    <row r="26" spans="1:16" ht="15" customHeight="1" x14ac:dyDescent="0.25">
      <c r="A26" s="18">
        <v>46446</v>
      </c>
      <c r="B26" s="19">
        <v>1.125</v>
      </c>
      <c r="C26" s="19">
        <v>98.201999999999998</v>
      </c>
      <c r="D26" s="19">
        <v>98.212000000000003</v>
      </c>
      <c r="E26" s="20">
        <v>3.9740000000000002</v>
      </c>
      <c r="F26" s="21">
        <f t="shared" si="0"/>
        <v>98.6328125</v>
      </c>
      <c r="G26" s="21">
        <f t="shared" si="1"/>
        <v>98.6640625</v>
      </c>
      <c r="H26" s="15">
        <f t="shared" si="2"/>
        <v>98.6484375</v>
      </c>
      <c r="I26" s="15">
        <f t="shared" si="3"/>
        <v>1.2430939226519336E-2</v>
      </c>
      <c r="J26" s="16">
        <f t="shared" si="4"/>
        <v>98.660868439226519</v>
      </c>
      <c r="K26" s="16">
        <f t="shared" si="5"/>
        <v>0.48493150684931507</v>
      </c>
      <c r="L26" s="16">
        <f>SUMIF('Cash Flows'!$A$2:$A$5628,ROW(),'Cash Flows'!$E$2:$E$5628)</f>
        <v>98.650018209968948</v>
      </c>
      <c r="M26" s="16">
        <f t="shared" si="6"/>
        <v>-1.0850229257570732E-2</v>
      </c>
      <c r="N26" s="16">
        <f t="shared" si="7"/>
        <v>1.0850229257570732E-2</v>
      </c>
      <c r="O26" s="17">
        <f t="shared" si="8"/>
        <v>98.637587270742429</v>
      </c>
      <c r="P26" s="17" t="str">
        <f t="shared" si="9"/>
        <v>Yes</v>
      </c>
    </row>
    <row r="27" spans="1:16" ht="15" customHeight="1" x14ac:dyDescent="0.25">
      <c r="A27" s="18">
        <v>46446</v>
      </c>
      <c r="B27" s="19">
        <v>1.875</v>
      </c>
      <c r="C27" s="19">
        <v>99.001999999999995</v>
      </c>
      <c r="D27" s="19">
        <v>99.012</v>
      </c>
      <c r="E27" s="20">
        <v>3.923</v>
      </c>
      <c r="F27" s="21">
        <f t="shared" si="0"/>
        <v>99.0078125</v>
      </c>
      <c r="G27" s="21">
        <f t="shared" si="1"/>
        <v>99.0390625</v>
      </c>
      <c r="H27" s="15">
        <f t="shared" si="2"/>
        <v>99.0234375</v>
      </c>
      <c r="I27" s="15">
        <f t="shared" si="3"/>
        <v>2.0718232044198894E-2</v>
      </c>
      <c r="J27" s="16">
        <f t="shared" si="4"/>
        <v>99.044155732044203</v>
      </c>
      <c r="K27" s="16">
        <f t="shared" si="5"/>
        <v>0.48493150684931507</v>
      </c>
      <c r="L27" s="16">
        <f>SUMIF('Cash Flows'!$A$2:$A$5628,ROW(),'Cash Flows'!$E$2:$E$5628)</f>
        <v>99.017886519017935</v>
      </c>
      <c r="M27" s="16">
        <f t="shared" si="6"/>
        <v>-2.6269213026267835E-2</v>
      </c>
      <c r="N27" s="16">
        <f t="shared" si="7"/>
        <v>2.6269213026267835E-2</v>
      </c>
      <c r="O27" s="17">
        <f t="shared" si="8"/>
        <v>98.997168286973732</v>
      </c>
      <c r="P27" s="17" t="str">
        <f t="shared" si="9"/>
        <v>No</v>
      </c>
    </row>
    <row r="28" spans="1:16" ht="15" customHeight="1" x14ac:dyDescent="0.25">
      <c r="A28" s="18">
        <v>46446</v>
      </c>
      <c r="B28" s="19">
        <v>4.125</v>
      </c>
      <c r="C28" s="19">
        <v>100.01600000000001</v>
      </c>
      <c r="D28" s="19">
        <v>100.026</v>
      </c>
      <c r="E28" s="20">
        <v>3.94</v>
      </c>
      <c r="F28" s="21">
        <f t="shared" si="0"/>
        <v>100.0546875</v>
      </c>
      <c r="G28" s="21">
        <f t="shared" si="1"/>
        <v>100.0859375</v>
      </c>
      <c r="H28" s="15">
        <f t="shared" si="2"/>
        <v>100.0703125</v>
      </c>
      <c r="I28" s="15">
        <f t="shared" si="3"/>
        <v>4.5580110497237571E-2</v>
      </c>
      <c r="J28" s="16">
        <f t="shared" si="4"/>
        <v>100.11589261049724</v>
      </c>
      <c r="K28" s="16">
        <f t="shared" si="5"/>
        <v>0.48493150684931507</v>
      </c>
      <c r="L28" s="16">
        <f>SUMIF('Cash Flows'!$A$2:$A$5628,ROW(),'Cash Flows'!$E$2:$E$5628)</f>
        <v>100.12149144616488</v>
      </c>
      <c r="M28" s="16">
        <f t="shared" si="6"/>
        <v>5.5988356676408557E-3</v>
      </c>
      <c r="N28" s="16">
        <f t="shared" si="7"/>
        <v>5.5988356676408557E-3</v>
      </c>
      <c r="O28" s="17">
        <f t="shared" si="8"/>
        <v>100.07591133566764</v>
      </c>
      <c r="P28" s="17" t="str">
        <f t="shared" si="9"/>
        <v>Yes</v>
      </c>
    </row>
    <row r="29" spans="1:16" ht="15" customHeight="1" x14ac:dyDescent="0.25">
      <c r="A29" s="18">
        <v>46461</v>
      </c>
      <c r="B29" s="19">
        <v>4.25</v>
      </c>
      <c r="C29" s="19">
        <v>100.042</v>
      </c>
      <c r="D29" s="19">
        <v>100.05200000000001</v>
      </c>
      <c r="E29" s="20">
        <v>3.9260000000000002</v>
      </c>
      <c r="F29" s="21">
        <f t="shared" si="0"/>
        <v>100.1328125</v>
      </c>
      <c r="G29" s="21">
        <f t="shared" si="1"/>
        <v>100.1640625</v>
      </c>
      <c r="H29" s="15">
        <f t="shared" si="2"/>
        <v>100.1484375</v>
      </c>
      <c r="I29" s="15">
        <f t="shared" si="3"/>
        <v>1.997961956521739</v>
      </c>
      <c r="J29" s="16">
        <f t="shared" si="4"/>
        <v>102.14639945652173</v>
      </c>
      <c r="K29" s="16">
        <f t="shared" si="5"/>
        <v>0.52602739726027392</v>
      </c>
      <c r="L29" s="16">
        <f>SUMIF('Cash Flows'!$A$2:$A$5628,ROW(),'Cash Flows'!$E$2:$E$5628)</f>
        <v>102.13433565674271</v>
      </c>
      <c r="M29" s="16">
        <f t="shared" si="6"/>
        <v>-1.2063799779028272E-2</v>
      </c>
      <c r="N29" s="16">
        <f t="shared" si="7"/>
        <v>1.2063799779028272E-2</v>
      </c>
      <c r="O29" s="17">
        <f t="shared" si="8"/>
        <v>100.13637370022097</v>
      </c>
      <c r="P29" s="17" t="str">
        <f t="shared" si="9"/>
        <v>Yes</v>
      </c>
    </row>
    <row r="30" spans="1:16" ht="15" customHeight="1" x14ac:dyDescent="0.25">
      <c r="A30" s="18">
        <v>46477</v>
      </c>
      <c r="B30" s="19">
        <v>0.625</v>
      </c>
      <c r="C30" s="19">
        <v>98.042000000000002</v>
      </c>
      <c r="D30" s="19">
        <v>98.052000000000007</v>
      </c>
      <c r="E30" s="20">
        <v>3.9710000000000001</v>
      </c>
      <c r="F30" s="21">
        <f t="shared" si="0"/>
        <v>98.1328125</v>
      </c>
      <c r="G30" s="21">
        <f t="shared" si="1"/>
        <v>98.1640625</v>
      </c>
      <c r="H30" s="15">
        <f t="shared" si="2"/>
        <v>98.1484375</v>
      </c>
      <c r="I30" s="15">
        <f t="shared" si="3"/>
        <v>0.26810109289617484</v>
      </c>
      <c r="J30" s="16">
        <f t="shared" si="4"/>
        <v>98.416538592896174</v>
      </c>
      <c r="K30" s="16">
        <f t="shared" si="5"/>
        <v>0.56986301369863013</v>
      </c>
      <c r="L30" s="16">
        <f>SUMIF('Cash Flows'!$A$2:$A$5628,ROW(),'Cash Flows'!$E$2:$E$5628)</f>
        <v>98.36811404133374</v>
      </c>
      <c r="M30" s="16">
        <f t="shared" si="6"/>
        <v>-4.8424551562433749E-2</v>
      </c>
      <c r="N30" s="16">
        <f t="shared" si="7"/>
        <v>4.8424551562433749E-2</v>
      </c>
      <c r="O30" s="17">
        <f t="shared" si="8"/>
        <v>98.100012948437566</v>
      </c>
      <c r="P30" s="17" t="str">
        <f t="shared" si="9"/>
        <v>No</v>
      </c>
    </row>
    <row r="31" spans="1:16" ht="15" customHeight="1" x14ac:dyDescent="0.25">
      <c r="A31" s="18">
        <v>46477</v>
      </c>
      <c r="B31" s="19">
        <v>2.5</v>
      </c>
      <c r="C31" s="19">
        <v>99.052000000000007</v>
      </c>
      <c r="D31" s="19">
        <v>99.061999999999998</v>
      </c>
      <c r="E31" s="20">
        <v>3.964</v>
      </c>
      <c r="F31" s="21">
        <f t="shared" si="0"/>
        <v>99.1640625</v>
      </c>
      <c r="G31" s="21">
        <f t="shared" si="1"/>
        <v>99.1953125</v>
      </c>
      <c r="H31" s="15">
        <f t="shared" si="2"/>
        <v>99.1796875</v>
      </c>
      <c r="I31" s="15">
        <f t="shared" si="3"/>
        <v>1.0724043715846994</v>
      </c>
      <c r="J31" s="16">
        <f t="shared" si="4"/>
        <v>100.2520918715847</v>
      </c>
      <c r="K31" s="16">
        <f t="shared" si="5"/>
        <v>0.56986301369863013</v>
      </c>
      <c r="L31" s="16">
        <f>SUMIF('Cash Flows'!$A$2:$A$5628,ROW(),'Cash Flows'!$E$2:$E$5628)</f>
        <v>100.21951024277023</v>
      </c>
      <c r="M31" s="16">
        <f t="shared" si="6"/>
        <v>-3.2581628814469354E-2</v>
      </c>
      <c r="N31" s="16">
        <f t="shared" si="7"/>
        <v>3.2581628814469354E-2</v>
      </c>
      <c r="O31" s="17">
        <f t="shared" si="8"/>
        <v>99.147105871185531</v>
      </c>
      <c r="P31" s="17" t="str">
        <f t="shared" si="9"/>
        <v>No</v>
      </c>
    </row>
    <row r="32" spans="1:16" ht="15" customHeight="1" x14ac:dyDescent="0.25">
      <c r="A32" s="18">
        <v>46477</v>
      </c>
      <c r="B32" s="19">
        <v>3.875</v>
      </c>
      <c r="C32" s="19">
        <v>99.293999999999997</v>
      </c>
      <c r="D32" s="19">
        <v>99.304000000000002</v>
      </c>
      <c r="E32" s="20">
        <v>3.9569999999999999</v>
      </c>
      <c r="F32" s="21">
        <f t="shared" si="0"/>
        <v>99.921875</v>
      </c>
      <c r="G32" s="21">
        <f t="shared" si="1"/>
        <v>99.953125</v>
      </c>
      <c r="H32" s="15">
        <f t="shared" si="2"/>
        <v>99.9375</v>
      </c>
      <c r="I32" s="15">
        <f t="shared" si="3"/>
        <v>1.6622267759562841</v>
      </c>
      <c r="J32" s="16">
        <f t="shared" si="4"/>
        <v>101.59972677595628</v>
      </c>
      <c r="K32" s="16">
        <f t="shared" si="5"/>
        <v>0.56986301369863013</v>
      </c>
      <c r="L32" s="16">
        <f>SUMIF('Cash Flows'!$A$2:$A$5628,ROW(),'Cash Flows'!$E$2:$E$5628)</f>
        <v>101.57720079049032</v>
      </c>
      <c r="M32" s="16">
        <f t="shared" si="6"/>
        <v>-2.2525985465961185E-2</v>
      </c>
      <c r="N32" s="16">
        <f t="shared" si="7"/>
        <v>2.2525985465961185E-2</v>
      </c>
      <c r="O32" s="17">
        <f t="shared" si="8"/>
        <v>99.914974014534039</v>
      </c>
      <c r="P32" s="17" t="str">
        <f t="shared" si="9"/>
        <v>No</v>
      </c>
    </row>
    <row r="33" spans="1:16" ht="15" customHeight="1" x14ac:dyDescent="0.25">
      <c r="A33" s="18">
        <v>46492</v>
      </c>
      <c r="B33" s="19">
        <v>4.5</v>
      </c>
      <c r="C33" s="19">
        <v>100.08199999999999</v>
      </c>
      <c r="D33" s="19">
        <v>100.092</v>
      </c>
      <c r="E33" s="20">
        <v>4.0019999999999998</v>
      </c>
      <c r="F33" s="21">
        <f t="shared" si="0"/>
        <v>100.2578125</v>
      </c>
      <c r="G33" s="21">
        <f t="shared" si="1"/>
        <v>100.2890625</v>
      </c>
      <c r="H33" s="15">
        <f t="shared" si="2"/>
        <v>100.2734375</v>
      </c>
      <c r="I33" s="15">
        <f t="shared" si="3"/>
        <v>1.7459016393442623</v>
      </c>
      <c r="J33" s="16">
        <f t="shared" si="4"/>
        <v>102.01933913934427</v>
      </c>
      <c r="K33" s="16">
        <f t="shared" si="5"/>
        <v>0.61095890410958908</v>
      </c>
      <c r="L33" s="16">
        <f>SUMIF('Cash Flows'!$A$2:$A$5628,ROW(),'Cash Flows'!$E$2:$E$5628)</f>
        <v>102.01802187757096</v>
      </c>
      <c r="M33" s="16">
        <f t="shared" si="6"/>
        <v>-1.3172617733090419E-3</v>
      </c>
      <c r="N33" s="16">
        <f t="shared" si="7"/>
        <v>1.3172617733090419E-3</v>
      </c>
      <c r="O33" s="17">
        <f t="shared" si="8"/>
        <v>100.27212023822669</v>
      </c>
      <c r="P33" s="17" t="str">
        <f t="shared" si="9"/>
        <v>Yes</v>
      </c>
    </row>
    <row r="34" spans="1:16" ht="15" customHeight="1" x14ac:dyDescent="0.25">
      <c r="A34" s="18">
        <v>46507</v>
      </c>
      <c r="B34" s="19">
        <v>0.5</v>
      </c>
      <c r="C34" s="19">
        <v>97.24</v>
      </c>
      <c r="D34" s="19">
        <v>97.25</v>
      </c>
      <c r="E34" s="20">
        <v>4.024</v>
      </c>
      <c r="F34" s="21">
        <f t="shared" si="0"/>
        <v>97.75</v>
      </c>
      <c r="G34" s="21">
        <f t="shared" si="1"/>
        <v>97.78125</v>
      </c>
      <c r="H34" s="15">
        <f t="shared" si="2"/>
        <v>97.765625</v>
      </c>
      <c r="I34" s="15">
        <f t="shared" si="3"/>
        <v>0.17349726775956284</v>
      </c>
      <c r="J34" s="16">
        <f t="shared" si="4"/>
        <v>97.939122267759558</v>
      </c>
      <c r="K34" s="16">
        <f t="shared" si="5"/>
        <v>0.65205479452054793</v>
      </c>
      <c r="L34" s="16">
        <f>SUMIF('Cash Flows'!$A$2:$A$5628,ROW(),'Cash Flows'!$E$2:$E$5628)</f>
        <v>97.904434305079718</v>
      </c>
      <c r="M34" s="16">
        <f t="shared" si="6"/>
        <v>-3.4687962679839757E-2</v>
      </c>
      <c r="N34" s="16">
        <f t="shared" si="7"/>
        <v>3.4687962679839757E-2</v>
      </c>
      <c r="O34" s="17">
        <f t="shared" si="8"/>
        <v>97.73093703732016</v>
      </c>
      <c r="P34" s="17" t="str">
        <f t="shared" si="9"/>
        <v>No</v>
      </c>
    </row>
    <row r="35" spans="1:16" ht="15" customHeight="1" x14ac:dyDescent="0.25">
      <c r="A35" s="18">
        <v>46507</v>
      </c>
      <c r="B35" s="19">
        <v>2.75</v>
      </c>
      <c r="C35" s="19">
        <v>99.043999999999997</v>
      </c>
      <c r="D35" s="19">
        <v>99.054000000000002</v>
      </c>
      <c r="E35" s="20">
        <v>4.0609999999999999</v>
      </c>
      <c r="F35" s="21">
        <f t="shared" si="0"/>
        <v>99.140625</v>
      </c>
      <c r="G35" s="21">
        <f t="shared" si="1"/>
        <v>99.171875</v>
      </c>
      <c r="H35" s="15">
        <f t="shared" si="2"/>
        <v>99.15625</v>
      </c>
      <c r="I35" s="15">
        <f t="shared" si="3"/>
        <v>0.95423497267759561</v>
      </c>
      <c r="J35" s="16">
        <f t="shared" si="4"/>
        <v>100.1104849726776</v>
      </c>
      <c r="K35" s="16">
        <f t="shared" si="5"/>
        <v>0.65205479452054793</v>
      </c>
      <c r="L35" s="16">
        <f>SUMIF('Cash Flows'!$A$2:$A$5628,ROW(),'Cash Flows'!$E$2:$E$5628)</f>
        <v>100.11863057035501</v>
      </c>
      <c r="M35" s="16">
        <f t="shared" si="6"/>
        <v>8.1455976774122973E-3</v>
      </c>
      <c r="N35" s="16">
        <f t="shared" si="7"/>
        <v>8.1455976774122973E-3</v>
      </c>
      <c r="O35" s="17">
        <f t="shared" si="8"/>
        <v>99.164395597677412</v>
      </c>
      <c r="P35" s="17" t="str">
        <f t="shared" si="9"/>
        <v>Yes</v>
      </c>
    </row>
    <row r="36" spans="1:16" ht="15" customHeight="1" x14ac:dyDescent="0.25">
      <c r="A36" s="18">
        <v>46507</v>
      </c>
      <c r="B36" s="19">
        <v>3.75</v>
      </c>
      <c r="C36" s="19">
        <v>99.254000000000005</v>
      </c>
      <c r="D36" s="19">
        <v>99.263999999999996</v>
      </c>
      <c r="E36" s="20">
        <v>4.0170000000000003</v>
      </c>
      <c r="F36" s="21">
        <f t="shared" si="0"/>
        <v>99.796875</v>
      </c>
      <c r="G36" s="21">
        <f t="shared" si="1"/>
        <v>99.828125</v>
      </c>
      <c r="H36" s="15">
        <f t="shared" si="2"/>
        <v>99.8125</v>
      </c>
      <c r="I36" s="15">
        <f t="shared" si="3"/>
        <v>1.3012295081967213</v>
      </c>
      <c r="J36" s="16">
        <f t="shared" si="4"/>
        <v>101.11372950819673</v>
      </c>
      <c r="K36" s="16">
        <f t="shared" si="5"/>
        <v>0.65205479452054793</v>
      </c>
      <c r="L36" s="16">
        <f>SUMIF('Cash Flows'!$A$2:$A$5628,ROW(),'Cash Flows'!$E$2:$E$5628)</f>
        <v>101.10271779936626</v>
      </c>
      <c r="M36" s="16">
        <f t="shared" si="6"/>
        <v>-1.1011708830466205E-2</v>
      </c>
      <c r="N36" s="16">
        <f t="shared" si="7"/>
        <v>1.1011708830466205E-2</v>
      </c>
      <c r="O36" s="17">
        <f t="shared" si="8"/>
        <v>99.801488291169534</v>
      </c>
      <c r="P36" s="17" t="str">
        <f t="shared" si="9"/>
        <v>Yes</v>
      </c>
    </row>
    <row r="37" spans="1:16" ht="15" customHeight="1" x14ac:dyDescent="0.25">
      <c r="A37" s="18">
        <v>46522</v>
      </c>
      <c r="B37" s="19">
        <v>2.375</v>
      </c>
      <c r="C37" s="19">
        <v>98.262</v>
      </c>
      <c r="D37" s="19">
        <v>98.272000000000006</v>
      </c>
      <c r="E37" s="20">
        <v>4.0890000000000004</v>
      </c>
      <c r="F37" s="21">
        <f t="shared" si="0"/>
        <v>98.8203125</v>
      </c>
      <c r="G37" s="21">
        <f t="shared" si="1"/>
        <v>98.8515625</v>
      </c>
      <c r="H37" s="15">
        <f t="shared" si="2"/>
        <v>98.8359375</v>
      </c>
      <c r="I37" s="15">
        <f t="shared" si="3"/>
        <v>0.72282608695652173</v>
      </c>
      <c r="J37" s="16">
        <f t="shared" si="4"/>
        <v>99.558763586956516</v>
      </c>
      <c r="K37" s="16">
        <f t="shared" si="5"/>
        <v>0.69315068493150689</v>
      </c>
      <c r="L37" s="16">
        <f>SUMIF('Cash Flows'!$A$2:$A$5628,ROW(),'Cash Flows'!$E$2:$E$5628)</f>
        <v>99.575469178478443</v>
      </c>
      <c r="M37" s="16">
        <f t="shared" si="6"/>
        <v>1.6705591521926522E-2</v>
      </c>
      <c r="N37" s="16">
        <f t="shared" si="7"/>
        <v>1.6705591521926522E-2</v>
      </c>
      <c r="O37" s="17">
        <f t="shared" si="8"/>
        <v>98.852643091521927</v>
      </c>
      <c r="P37" s="17" t="str">
        <f t="shared" si="9"/>
        <v>No</v>
      </c>
    </row>
    <row r="38" spans="1:16" ht="15" customHeight="1" x14ac:dyDescent="0.25">
      <c r="A38" s="18">
        <v>46522</v>
      </c>
      <c r="B38" s="19">
        <v>4.5</v>
      </c>
      <c r="C38" s="19">
        <v>100.074</v>
      </c>
      <c r="D38" s="19">
        <v>100.084</v>
      </c>
      <c r="E38" s="20">
        <v>4.0949999999999998</v>
      </c>
      <c r="F38" s="21">
        <f t="shared" si="0"/>
        <v>100.234375</v>
      </c>
      <c r="G38" s="21">
        <f t="shared" si="1"/>
        <v>100.265625</v>
      </c>
      <c r="H38" s="15">
        <f t="shared" si="2"/>
        <v>100.25</v>
      </c>
      <c r="I38" s="15">
        <f t="shared" si="3"/>
        <v>1.3695652173913044</v>
      </c>
      <c r="J38" s="16">
        <f t="shared" si="4"/>
        <v>101.6195652173913</v>
      </c>
      <c r="K38" s="16">
        <f t="shared" si="5"/>
        <v>0.69315068493150689</v>
      </c>
      <c r="L38" s="16">
        <f>SUMIF('Cash Flows'!$A$2:$A$5628,ROW(),'Cash Flows'!$E$2:$E$5628)</f>
        <v>101.66314936378011</v>
      </c>
      <c r="M38" s="16">
        <f t="shared" si="6"/>
        <v>4.3584146388809586E-2</v>
      </c>
      <c r="N38" s="16">
        <f t="shared" si="7"/>
        <v>4.3584146388809586E-2</v>
      </c>
      <c r="O38" s="17">
        <f t="shared" si="8"/>
        <v>100.29358414638881</v>
      </c>
      <c r="P38" s="17" t="str">
        <f t="shared" si="9"/>
        <v>No</v>
      </c>
    </row>
    <row r="39" spans="1:16" ht="15" customHeight="1" x14ac:dyDescent="0.25">
      <c r="A39" s="18">
        <v>46538</v>
      </c>
      <c r="B39" s="19">
        <v>0.5</v>
      </c>
      <c r="C39" s="19">
        <v>97.14</v>
      </c>
      <c r="D39" s="19">
        <v>97.15</v>
      </c>
      <c r="E39" s="20">
        <v>4.069</v>
      </c>
      <c r="F39" s="21">
        <f t="shared" si="0"/>
        <v>97.4375</v>
      </c>
      <c r="G39" s="21">
        <f t="shared" si="1"/>
        <v>97.46875</v>
      </c>
      <c r="H39" s="15">
        <f t="shared" si="2"/>
        <v>97.453125</v>
      </c>
      <c r="I39" s="15">
        <f t="shared" si="3"/>
        <v>0.13114754098360656</v>
      </c>
      <c r="J39" s="16">
        <f t="shared" si="4"/>
        <v>97.584272540983605</v>
      </c>
      <c r="K39" s="16">
        <f t="shared" si="5"/>
        <v>0.73698630136986298</v>
      </c>
      <c r="L39" s="16">
        <f>SUMIF('Cash Flows'!$A$2:$A$5628,ROW(),'Cash Flows'!$E$2:$E$5628)</f>
        <v>97.550540876133653</v>
      </c>
      <c r="M39" s="16">
        <f t="shared" si="6"/>
        <v>-3.3731664849952381E-2</v>
      </c>
      <c r="N39" s="16">
        <f t="shared" si="7"/>
        <v>3.3731664849952381E-2</v>
      </c>
      <c r="O39" s="17">
        <f t="shared" si="8"/>
        <v>97.419393335150048</v>
      </c>
      <c r="P39" s="17" t="str">
        <f t="shared" si="9"/>
        <v>No</v>
      </c>
    </row>
    <row r="40" spans="1:16" ht="15" customHeight="1" x14ac:dyDescent="0.25">
      <c r="A40" s="18">
        <v>46538</v>
      </c>
      <c r="B40" s="19">
        <v>2.625</v>
      </c>
      <c r="C40" s="19">
        <v>98.302000000000007</v>
      </c>
      <c r="D40" s="19">
        <v>98.311999999999998</v>
      </c>
      <c r="E40" s="20">
        <v>4.0640000000000001</v>
      </c>
      <c r="F40" s="21">
        <f t="shared" si="0"/>
        <v>98.9453125</v>
      </c>
      <c r="G40" s="21">
        <f t="shared" si="1"/>
        <v>98.9765625</v>
      </c>
      <c r="H40" s="15">
        <f t="shared" si="2"/>
        <v>98.9609375</v>
      </c>
      <c r="I40" s="15">
        <f t="shared" si="3"/>
        <v>0.68852459016393441</v>
      </c>
      <c r="J40" s="16">
        <f t="shared" si="4"/>
        <v>99.649462090163937</v>
      </c>
      <c r="K40" s="16">
        <f t="shared" si="5"/>
        <v>0.73698630136986298</v>
      </c>
      <c r="L40" s="16">
        <f>SUMIF('Cash Flows'!$A$2:$A$5628,ROW(),'Cash Flows'!$E$2:$E$5628)</f>
        <v>99.634578064065551</v>
      </c>
      <c r="M40" s="16">
        <f t="shared" si="6"/>
        <v>-1.4884026098386016E-2</v>
      </c>
      <c r="N40" s="16">
        <f t="shared" si="7"/>
        <v>1.4884026098386016E-2</v>
      </c>
      <c r="O40" s="17">
        <f t="shared" si="8"/>
        <v>98.946053473901614</v>
      </c>
      <c r="P40" s="17" t="str">
        <f t="shared" si="9"/>
        <v>Yes</v>
      </c>
    </row>
    <row r="41" spans="1:16" ht="15" customHeight="1" x14ac:dyDescent="0.25">
      <c r="A41" s="18">
        <v>46538</v>
      </c>
      <c r="B41" s="19">
        <v>3.875</v>
      </c>
      <c r="C41" s="19">
        <v>99.262</v>
      </c>
      <c r="D41" s="19">
        <v>99.272000000000006</v>
      </c>
      <c r="E41" s="20">
        <v>4.0780000000000003</v>
      </c>
      <c r="F41" s="21">
        <f t="shared" si="0"/>
        <v>99.8203125</v>
      </c>
      <c r="G41" s="21">
        <f t="shared" si="1"/>
        <v>99.8515625</v>
      </c>
      <c r="H41" s="15">
        <f t="shared" si="2"/>
        <v>99.8359375</v>
      </c>
      <c r="I41" s="15">
        <f t="shared" si="3"/>
        <v>1.0163934426229508</v>
      </c>
      <c r="J41" s="16">
        <f t="shared" si="4"/>
        <v>100.85233094262296</v>
      </c>
      <c r="K41" s="16">
        <f t="shared" si="5"/>
        <v>0.73698630136986298</v>
      </c>
      <c r="L41" s="16">
        <f>SUMIF('Cash Flows'!$A$2:$A$5628,ROW(),'Cash Flows'!$E$2:$E$5628)</f>
        <v>100.8604822922608</v>
      </c>
      <c r="M41" s="16">
        <f t="shared" si="6"/>
        <v>8.1513496378420314E-3</v>
      </c>
      <c r="N41" s="16">
        <f t="shared" si="7"/>
        <v>8.1513496378420314E-3</v>
      </c>
      <c r="O41" s="17">
        <f t="shared" si="8"/>
        <v>99.844088849637842</v>
      </c>
      <c r="P41" s="17" t="str">
        <f t="shared" si="9"/>
        <v>Yes</v>
      </c>
    </row>
    <row r="42" spans="1:16" ht="15" customHeight="1" x14ac:dyDescent="0.25">
      <c r="A42" s="18">
        <v>46553</v>
      </c>
      <c r="B42" s="19">
        <v>4.625</v>
      </c>
      <c r="C42" s="19">
        <v>100.114</v>
      </c>
      <c r="D42" s="19">
        <v>100.124</v>
      </c>
      <c r="E42" s="20">
        <v>4.0949999999999998</v>
      </c>
      <c r="F42" s="21">
        <f t="shared" si="0"/>
        <v>100.359375</v>
      </c>
      <c r="G42" s="21">
        <f t="shared" si="1"/>
        <v>100.390625</v>
      </c>
      <c r="H42" s="15">
        <f t="shared" si="2"/>
        <v>100.375</v>
      </c>
      <c r="I42" s="15">
        <f t="shared" si="3"/>
        <v>1.0235655737704918</v>
      </c>
      <c r="J42" s="16">
        <f t="shared" si="4"/>
        <v>101.3985655737705</v>
      </c>
      <c r="K42" s="16">
        <f t="shared" si="5"/>
        <v>0.77808219178082194</v>
      </c>
      <c r="L42" s="16">
        <f>SUMIF('Cash Flows'!$A$2:$A$5628,ROW(),'Cash Flows'!$E$2:$E$5628)</f>
        <v>101.41700956011259</v>
      </c>
      <c r="M42" s="16">
        <f t="shared" si="6"/>
        <v>1.8443986342091989E-2</v>
      </c>
      <c r="N42" s="16">
        <f t="shared" si="7"/>
        <v>1.8443986342091989E-2</v>
      </c>
      <c r="O42" s="17">
        <f t="shared" si="8"/>
        <v>100.39344398634209</v>
      </c>
      <c r="P42" s="17" t="str">
        <f t="shared" si="9"/>
        <v>No</v>
      </c>
    </row>
    <row r="43" spans="1:16" ht="15" customHeight="1" x14ac:dyDescent="0.25">
      <c r="A43" s="18">
        <v>46568</v>
      </c>
      <c r="B43" s="19">
        <v>0.5</v>
      </c>
      <c r="C43" s="19">
        <v>97.034000000000006</v>
      </c>
      <c r="D43" s="19">
        <v>97.043999999999997</v>
      </c>
      <c r="E43" s="20">
        <v>4.1260000000000003</v>
      </c>
      <c r="F43" s="21">
        <f t="shared" si="0"/>
        <v>97.109375</v>
      </c>
      <c r="G43" s="21">
        <f t="shared" si="1"/>
        <v>97.140625</v>
      </c>
      <c r="H43" s="15">
        <f t="shared" si="2"/>
        <v>97.125</v>
      </c>
      <c r="I43" s="15">
        <f t="shared" si="3"/>
        <v>9.0163934426229511E-2</v>
      </c>
      <c r="J43" s="16">
        <f t="shared" si="4"/>
        <v>97.215163934426229</v>
      </c>
      <c r="K43" s="16">
        <f t="shared" si="5"/>
        <v>0.81917808219178079</v>
      </c>
      <c r="L43" s="16">
        <f>SUMIF('Cash Flows'!$A$2:$A$5628,ROW(),'Cash Flows'!$E$2:$E$5628)</f>
        <v>97.20575885949502</v>
      </c>
      <c r="M43" s="16">
        <f t="shared" si="6"/>
        <v>-9.405074931208901E-3</v>
      </c>
      <c r="N43" s="16">
        <f t="shared" si="7"/>
        <v>9.405074931208901E-3</v>
      </c>
      <c r="O43" s="17">
        <f t="shared" si="8"/>
        <v>97.115594925068791</v>
      </c>
      <c r="P43" s="17" t="str">
        <f t="shared" si="9"/>
        <v>Yes</v>
      </c>
    </row>
    <row r="44" spans="1:16" ht="15" customHeight="1" x14ac:dyDescent="0.25">
      <c r="A44" s="18">
        <v>46568</v>
      </c>
      <c r="B44" s="19">
        <v>3.25</v>
      </c>
      <c r="C44" s="19">
        <v>99.091999999999999</v>
      </c>
      <c r="D44" s="19">
        <v>99.102000000000004</v>
      </c>
      <c r="E44" s="20">
        <v>4.1070000000000002</v>
      </c>
      <c r="F44" s="21">
        <f t="shared" si="0"/>
        <v>99.2890625</v>
      </c>
      <c r="G44" s="21">
        <f t="shared" si="1"/>
        <v>99.3203125</v>
      </c>
      <c r="H44" s="15">
        <f t="shared" si="2"/>
        <v>99.3046875</v>
      </c>
      <c r="I44" s="15">
        <f t="shared" si="3"/>
        <v>0.58606557377049184</v>
      </c>
      <c r="J44" s="16">
        <f t="shared" si="4"/>
        <v>99.890753073770497</v>
      </c>
      <c r="K44" s="16">
        <f t="shared" si="5"/>
        <v>0.81917808219178079</v>
      </c>
      <c r="L44" s="16">
        <f>SUMIF('Cash Flows'!$A$2:$A$5628,ROW(),'Cash Flows'!$E$2:$E$5628)</f>
        <v>99.89341369165048</v>
      </c>
      <c r="M44" s="16">
        <f t="shared" si="6"/>
        <v>2.6606178799823965E-3</v>
      </c>
      <c r="N44" s="16">
        <f t="shared" si="7"/>
        <v>2.6606178799823965E-3</v>
      </c>
      <c r="O44" s="17">
        <f t="shared" si="8"/>
        <v>99.307348117879982</v>
      </c>
      <c r="P44" s="17" t="str">
        <f t="shared" si="9"/>
        <v>Yes</v>
      </c>
    </row>
    <row r="45" spans="1:16" ht="15" customHeight="1" x14ac:dyDescent="0.25">
      <c r="A45" s="18">
        <v>46568</v>
      </c>
      <c r="B45" s="19">
        <v>3.75</v>
      </c>
      <c r="C45" s="19">
        <v>99.212000000000003</v>
      </c>
      <c r="D45" s="19">
        <v>99.221999999999994</v>
      </c>
      <c r="E45" s="20">
        <v>4.1310000000000002</v>
      </c>
      <c r="F45" s="21">
        <f t="shared" si="0"/>
        <v>99.6640625</v>
      </c>
      <c r="G45" s="21">
        <f t="shared" si="1"/>
        <v>99.6953125</v>
      </c>
      <c r="H45" s="15">
        <f t="shared" si="2"/>
        <v>99.6796875</v>
      </c>
      <c r="I45" s="15">
        <f t="shared" si="3"/>
        <v>0.67622950819672134</v>
      </c>
      <c r="J45" s="16">
        <f t="shared" si="4"/>
        <v>100.35591700819673</v>
      </c>
      <c r="K45" s="16">
        <f t="shared" si="5"/>
        <v>0.81917808219178079</v>
      </c>
      <c r="L45" s="16">
        <f>SUMIF('Cash Flows'!$A$2:$A$5628,ROW(),'Cash Flows'!$E$2:$E$5628)</f>
        <v>100.38207820658783</v>
      </c>
      <c r="M45" s="16">
        <f t="shared" si="6"/>
        <v>2.6161198391108087E-2</v>
      </c>
      <c r="N45" s="16">
        <f t="shared" si="7"/>
        <v>2.6161198391108087E-2</v>
      </c>
      <c r="O45" s="17">
        <f t="shared" si="8"/>
        <v>99.705848698391108</v>
      </c>
      <c r="P45" s="17" t="str">
        <f t="shared" si="9"/>
        <v>No</v>
      </c>
    </row>
    <row r="46" spans="1:16" ht="15" customHeight="1" x14ac:dyDescent="0.25">
      <c r="A46" s="18">
        <v>46583</v>
      </c>
      <c r="B46" s="19">
        <v>4.375</v>
      </c>
      <c r="C46" s="19">
        <v>100.05</v>
      </c>
      <c r="D46" s="19">
        <v>100.06</v>
      </c>
      <c r="E46" s="20">
        <v>4.1429999999999998</v>
      </c>
      <c r="F46" s="21">
        <f t="shared" si="0"/>
        <v>100.15625</v>
      </c>
      <c r="G46" s="21">
        <f t="shared" si="1"/>
        <v>100.1875</v>
      </c>
      <c r="H46" s="15">
        <f t="shared" si="2"/>
        <v>100.171875</v>
      </c>
      <c r="I46" s="15">
        <f t="shared" si="3"/>
        <v>0.60631793478260865</v>
      </c>
      <c r="J46" s="16">
        <f t="shared" si="4"/>
        <v>100.77819293478261</v>
      </c>
      <c r="K46" s="16">
        <f t="shared" si="5"/>
        <v>0.86027397260273974</v>
      </c>
      <c r="L46" s="16">
        <f>SUMIF('Cash Flows'!$A$2:$A$5628,ROW(),'Cash Flows'!$E$2:$E$5628)</f>
        <v>100.81334362527429</v>
      </c>
      <c r="M46" s="16">
        <f t="shared" si="6"/>
        <v>3.5150690491676073E-2</v>
      </c>
      <c r="N46" s="16">
        <f t="shared" si="7"/>
        <v>3.5150690491676073E-2</v>
      </c>
      <c r="O46" s="17">
        <f t="shared" si="8"/>
        <v>100.20702569049168</v>
      </c>
      <c r="P46" s="17" t="str">
        <f t="shared" si="9"/>
        <v>No</v>
      </c>
    </row>
    <row r="47" spans="1:16" ht="15" customHeight="1" x14ac:dyDescent="0.25">
      <c r="A47" s="18">
        <v>46599</v>
      </c>
      <c r="B47" s="19">
        <v>0.375</v>
      </c>
      <c r="C47" s="19">
        <v>96.213999999999999</v>
      </c>
      <c r="D47" s="19">
        <v>96.224000000000004</v>
      </c>
      <c r="E47" s="20">
        <v>4.17</v>
      </c>
      <c r="F47" s="21">
        <f t="shared" si="0"/>
        <v>96.671875</v>
      </c>
      <c r="G47" s="21">
        <f t="shared" si="1"/>
        <v>96.703125</v>
      </c>
      <c r="H47" s="15">
        <f t="shared" si="2"/>
        <v>96.6875</v>
      </c>
      <c r="I47" s="15">
        <f t="shared" si="3"/>
        <v>3.5665760869565216E-2</v>
      </c>
      <c r="J47" s="16">
        <f t="shared" si="4"/>
        <v>96.723165760869563</v>
      </c>
      <c r="K47" s="16">
        <f t="shared" si="5"/>
        <v>0.90410958904109584</v>
      </c>
      <c r="L47" s="16">
        <f>SUMIF('Cash Flows'!$A$2:$A$5628,ROW(),'Cash Flows'!$E$2:$E$5628)</f>
        <v>96.726124884900059</v>
      </c>
      <c r="M47" s="16">
        <f t="shared" si="6"/>
        <v>2.9591240304966959E-3</v>
      </c>
      <c r="N47" s="16">
        <f t="shared" si="7"/>
        <v>2.9591240304966959E-3</v>
      </c>
      <c r="O47" s="17">
        <f t="shared" si="8"/>
        <v>96.690459124030497</v>
      </c>
      <c r="P47" s="17" t="str">
        <f t="shared" si="9"/>
        <v>Yes</v>
      </c>
    </row>
    <row r="48" spans="1:16" ht="15" customHeight="1" x14ac:dyDescent="0.25">
      <c r="A48" s="18">
        <v>46599</v>
      </c>
      <c r="B48" s="19">
        <v>2.75</v>
      </c>
      <c r="C48" s="19">
        <v>98.231999999999999</v>
      </c>
      <c r="D48" s="19">
        <v>98.242000000000004</v>
      </c>
      <c r="E48" s="20">
        <v>4.1769999999999996</v>
      </c>
      <c r="F48" s="21">
        <f t="shared" si="0"/>
        <v>98.7265625</v>
      </c>
      <c r="G48" s="21">
        <f t="shared" si="1"/>
        <v>98.7578125</v>
      </c>
      <c r="H48" s="15">
        <f t="shared" si="2"/>
        <v>98.7421875</v>
      </c>
      <c r="I48" s="15">
        <f t="shared" si="3"/>
        <v>0.26154891304347827</v>
      </c>
      <c r="J48" s="16">
        <f t="shared" si="4"/>
        <v>99.003736413043484</v>
      </c>
      <c r="K48" s="16">
        <f t="shared" si="5"/>
        <v>0.90410958904109584</v>
      </c>
      <c r="L48" s="16">
        <f>SUMIF('Cash Flows'!$A$2:$A$5628,ROW(),'Cash Flows'!$E$2:$E$5628)</f>
        <v>99.039013893235506</v>
      </c>
      <c r="M48" s="16">
        <f t="shared" si="6"/>
        <v>3.5277480192021926E-2</v>
      </c>
      <c r="N48" s="16">
        <f t="shared" si="7"/>
        <v>3.5277480192021926E-2</v>
      </c>
      <c r="O48" s="17">
        <f t="shared" si="8"/>
        <v>98.777464980192022</v>
      </c>
      <c r="P48" s="17" t="str">
        <f t="shared" si="9"/>
        <v>No</v>
      </c>
    </row>
    <row r="49" spans="1:16" ht="15" customHeight="1" x14ac:dyDescent="0.25">
      <c r="A49" s="18">
        <v>46599</v>
      </c>
      <c r="B49" s="19">
        <v>3.875</v>
      </c>
      <c r="C49" s="19">
        <v>99.225999999999999</v>
      </c>
      <c r="D49" s="19">
        <v>99.236000000000004</v>
      </c>
      <c r="E49" s="20">
        <v>4.1680000000000001</v>
      </c>
      <c r="F49" s="21">
        <f t="shared" si="0"/>
        <v>99.7109375</v>
      </c>
      <c r="G49" s="21">
        <f t="shared" si="1"/>
        <v>99.7421875</v>
      </c>
      <c r="H49" s="15">
        <f t="shared" si="2"/>
        <v>99.7265625</v>
      </c>
      <c r="I49" s="15">
        <f t="shared" si="3"/>
        <v>0.36854619565217389</v>
      </c>
      <c r="J49" s="16">
        <f t="shared" si="4"/>
        <v>100.09510869565217</v>
      </c>
      <c r="K49" s="16">
        <f t="shared" si="5"/>
        <v>0.90410958904109584</v>
      </c>
      <c r="L49" s="16">
        <f>SUMIF('Cash Flows'!$A$2:$A$5628,ROW(),'Cash Flows'!$E$2:$E$5628)</f>
        <v>100.13459289718388</v>
      </c>
      <c r="M49" s="16">
        <f t="shared" si="6"/>
        <v>3.9484201531706731E-2</v>
      </c>
      <c r="N49" s="16">
        <f t="shared" si="7"/>
        <v>3.9484201531706731E-2</v>
      </c>
      <c r="O49" s="17">
        <f t="shared" si="8"/>
        <v>99.766046701531707</v>
      </c>
      <c r="P49" s="17" t="str">
        <f t="shared" si="9"/>
        <v>No</v>
      </c>
    </row>
    <row r="50" spans="1:16" ht="15" customHeight="1" x14ac:dyDescent="0.25">
      <c r="A50" s="18">
        <v>46614</v>
      </c>
      <c r="B50" s="19">
        <v>2.25</v>
      </c>
      <c r="C50" s="19">
        <v>98.072000000000003</v>
      </c>
      <c r="D50" s="19">
        <v>98.081999999999994</v>
      </c>
      <c r="E50" s="20">
        <v>4.1680000000000001</v>
      </c>
      <c r="F50" s="21">
        <f t="shared" si="0"/>
        <v>98.2265625</v>
      </c>
      <c r="G50" s="21">
        <f t="shared" si="1"/>
        <v>98.2578125</v>
      </c>
      <c r="H50" s="15">
        <f t="shared" si="2"/>
        <v>98.2421875</v>
      </c>
      <c r="I50" s="15">
        <f t="shared" si="3"/>
        <v>0.12228260869565218</v>
      </c>
      <c r="J50" s="16">
        <f t="shared" si="4"/>
        <v>98.364470108695656</v>
      </c>
      <c r="K50" s="16">
        <f t="shared" si="5"/>
        <v>0.9452054794520548</v>
      </c>
      <c r="L50" s="16">
        <f>SUMIF('Cash Flows'!$A$2:$A$5628,ROW(),'Cash Flows'!$E$2:$E$5628)</f>
        <v>98.375292639284169</v>
      </c>
      <c r="M50" s="16">
        <f t="shared" si="6"/>
        <v>1.0822530588512791E-2</v>
      </c>
      <c r="N50" s="16">
        <f t="shared" si="7"/>
        <v>1.0822530588512791E-2</v>
      </c>
      <c r="O50" s="17">
        <f t="shared" si="8"/>
        <v>98.253010030588513</v>
      </c>
      <c r="P50" s="17" t="str">
        <f t="shared" si="9"/>
        <v>Yes</v>
      </c>
    </row>
    <row r="51" spans="1:16" ht="15" customHeight="1" x14ac:dyDescent="0.25">
      <c r="A51" s="18">
        <v>46614</v>
      </c>
      <c r="B51" s="19">
        <v>3.75</v>
      </c>
      <c r="C51" s="19">
        <v>99.186000000000007</v>
      </c>
      <c r="D51" s="19">
        <v>99.195999999999998</v>
      </c>
      <c r="E51" s="20">
        <v>4.1689999999999996</v>
      </c>
      <c r="F51" s="21">
        <f t="shared" si="0"/>
        <v>99.5859375</v>
      </c>
      <c r="G51" s="21">
        <f t="shared" si="1"/>
        <v>99.6171875</v>
      </c>
      <c r="H51" s="15">
        <f t="shared" si="2"/>
        <v>99.6015625</v>
      </c>
      <c r="I51" s="15">
        <f t="shared" si="3"/>
        <v>0.20380434782608695</v>
      </c>
      <c r="J51" s="16">
        <f t="shared" si="4"/>
        <v>99.805366847826093</v>
      </c>
      <c r="K51" s="16">
        <f t="shared" si="5"/>
        <v>0.9452054794520548</v>
      </c>
      <c r="L51" s="16">
        <f>SUMIF('Cash Flows'!$A$2:$A$5628,ROW(),'Cash Flows'!$E$2:$E$5628)</f>
        <v>99.833522288963252</v>
      </c>
      <c r="M51" s="16">
        <f t="shared" si="6"/>
        <v>2.8155441137158732E-2</v>
      </c>
      <c r="N51" s="16">
        <f t="shared" si="7"/>
        <v>2.8155441137158732E-2</v>
      </c>
      <c r="O51" s="17">
        <f t="shared" si="8"/>
        <v>99.629717941137159</v>
      </c>
      <c r="P51" s="17" t="str">
        <f t="shared" si="9"/>
        <v>No</v>
      </c>
    </row>
    <row r="52" spans="1:16" ht="15" customHeight="1" x14ac:dyDescent="0.25">
      <c r="A52" s="18">
        <v>46614</v>
      </c>
      <c r="B52" s="19">
        <v>6.375</v>
      </c>
      <c r="C52" s="19">
        <v>101.29600000000001</v>
      </c>
      <c r="D52" s="19">
        <v>101.306</v>
      </c>
      <c r="E52" s="20">
        <v>4.21</v>
      </c>
      <c r="F52" s="21">
        <f t="shared" si="0"/>
        <v>101.9296875</v>
      </c>
      <c r="G52" s="21">
        <f t="shared" si="1"/>
        <v>101.9609375</v>
      </c>
      <c r="H52" s="15">
        <f t="shared" si="2"/>
        <v>101.9453125</v>
      </c>
      <c r="I52" s="15">
        <f t="shared" si="3"/>
        <v>0.34646739130434784</v>
      </c>
      <c r="J52" s="16">
        <f t="shared" si="4"/>
        <v>102.29177989130434</v>
      </c>
      <c r="K52" s="16">
        <f t="shared" si="5"/>
        <v>0.9452054794520548</v>
      </c>
      <c r="L52" s="16">
        <f>SUMIF('Cash Flows'!$A$2:$A$5628,ROW(),'Cash Flows'!$E$2:$E$5628)</f>
        <v>102.38542417590166</v>
      </c>
      <c r="M52" s="16">
        <f t="shared" si="6"/>
        <v>9.3644284597317551E-2</v>
      </c>
      <c r="N52" s="16">
        <f t="shared" si="7"/>
        <v>9.3644284597317551E-2</v>
      </c>
      <c r="O52" s="17">
        <f t="shared" si="8"/>
        <v>102.03895678459732</v>
      </c>
      <c r="P52" s="17" t="str">
        <f t="shared" si="9"/>
        <v>No</v>
      </c>
    </row>
    <row r="53" spans="1:16" ht="15" customHeight="1" x14ac:dyDescent="0.25">
      <c r="A53" s="18">
        <v>46630</v>
      </c>
      <c r="B53" s="19">
        <v>0.5</v>
      </c>
      <c r="C53" s="19">
        <v>96.144000000000005</v>
      </c>
      <c r="D53" s="19">
        <v>96.153999999999996</v>
      </c>
      <c r="E53" s="20">
        <v>4.2069999999999999</v>
      </c>
      <c r="F53" s="21">
        <f t="shared" si="0"/>
        <v>96.453125</v>
      </c>
      <c r="G53" s="21">
        <f t="shared" si="1"/>
        <v>96.484375</v>
      </c>
      <c r="H53" s="15">
        <f t="shared" si="2"/>
        <v>96.46875</v>
      </c>
      <c r="I53" s="15">
        <f t="shared" si="3"/>
        <v>5.5248618784530384E-3</v>
      </c>
      <c r="J53" s="16">
        <f t="shared" si="4"/>
        <v>96.474274861878456</v>
      </c>
      <c r="K53" s="16">
        <f t="shared" si="5"/>
        <v>0.989041095890411</v>
      </c>
      <c r="L53" s="16">
        <f>SUMIF('Cash Flows'!$A$2:$A$5628,ROW(),'Cash Flows'!$E$2:$E$5628)</f>
        <v>96.488499968341472</v>
      </c>
      <c r="M53" s="16">
        <f t="shared" si="6"/>
        <v>1.4225106463015891E-2</v>
      </c>
      <c r="N53" s="16">
        <f t="shared" si="7"/>
        <v>1.4225106463015891E-2</v>
      </c>
      <c r="O53" s="17">
        <f t="shared" si="8"/>
        <v>96.482975106463016</v>
      </c>
      <c r="P53" s="17" t="str">
        <f t="shared" si="9"/>
        <v>Yes</v>
      </c>
    </row>
    <row r="54" spans="1:16" ht="15" customHeight="1" x14ac:dyDescent="0.25">
      <c r="A54" s="18">
        <v>46630</v>
      </c>
      <c r="B54" s="19">
        <v>3.125</v>
      </c>
      <c r="C54" s="19">
        <v>98.304000000000002</v>
      </c>
      <c r="D54" s="19">
        <v>98.313999999999993</v>
      </c>
      <c r="E54" s="20">
        <v>4.1950000000000003</v>
      </c>
      <c r="F54" s="21">
        <f t="shared" si="0"/>
        <v>98.953125</v>
      </c>
      <c r="G54" s="21">
        <f t="shared" si="1"/>
        <v>98.984375</v>
      </c>
      <c r="H54" s="15">
        <f t="shared" si="2"/>
        <v>98.96875</v>
      </c>
      <c r="I54" s="15">
        <f t="shared" si="3"/>
        <v>3.4530386740331494E-2</v>
      </c>
      <c r="J54" s="16">
        <f t="shared" si="4"/>
        <v>99.003280386740329</v>
      </c>
      <c r="K54" s="16">
        <f t="shared" si="5"/>
        <v>0.989041095890411</v>
      </c>
      <c r="L54" s="16">
        <f>SUMIF('Cash Flows'!$A$2:$A$5628,ROW(),'Cash Flows'!$E$2:$E$5628)</f>
        <v>99.036081657873567</v>
      </c>
      <c r="M54" s="16">
        <f t="shared" si="6"/>
        <v>3.2801271133237719E-2</v>
      </c>
      <c r="N54" s="16">
        <f t="shared" si="7"/>
        <v>3.2801271133237719E-2</v>
      </c>
      <c r="O54" s="17">
        <f t="shared" si="8"/>
        <v>99.001551271133238</v>
      </c>
      <c r="P54" s="17" t="str">
        <f t="shared" si="9"/>
        <v>No</v>
      </c>
    </row>
    <row r="55" spans="1:16" ht="15" customHeight="1" x14ac:dyDescent="0.25">
      <c r="A55" s="18">
        <v>46630</v>
      </c>
      <c r="B55" s="19">
        <v>3.625</v>
      </c>
      <c r="C55" s="19">
        <v>99.135999999999996</v>
      </c>
      <c r="D55" s="19">
        <v>99.146000000000001</v>
      </c>
      <c r="E55" s="20">
        <v>4.1929999999999996</v>
      </c>
      <c r="F55" s="21">
        <f t="shared" si="0"/>
        <v>99.4296875</v>
      </c>
      <c r="G55" s="21">
        <f t="shared" si="1"/>
        <v>99.4609375</v>
      </c>
      <c r="H55" s="15">
        <f t="shared" si="2"/>
        <v>99.4453125</v>
      </c>
      <c r="I55" s="15">
        <f t="shared" si="3"/>
        <v>4.0055248618784532E-2</v>
      </c>
      <c r="J55" s="16">
        <f t="shared" si="4"/>
        <v>99.485367748618785</v>
      </c>
      <c r="K55" s="16">
        <f t="shared" si="5"/>
        <v>0.989041095890411</v>
      </c>
      <c r="L55" s="16">
        <f>SUMIF('Cash Flows'!$A$2:$A$5628,ROW(),'Cash Flows'!$E$2:$E$5628)</f>
        <v>99.521335313022533</v>
      </c>
      <c r="M55" s="16">
        <f t="shared" si="6"/>
        <v>3.5967564403748042E-2</v>
      </c>
      <c r="N55" s="16">
        <f t="shared" si="7"/>
        <v>3.5967564403748042E-2</v>
      </c>
      <c r="O55" s="17">
        <f t="shared" si="8"/>
        <v>99.481280064403748</v>
      </c>
      <c r="P55" s="17" t="str">
        <f t="shared" si="9"/>
        <v>No</v>
      </c>
    </row>
    <row r="56" spans="1:16" ht="15" customHeight="1" x14ac:dyDescent="0.25">
      <c r="A56" s="18">
        <v>46645</v>
      </c>
      <c r="B56" s="19">
        <v>3.375</v>
      </c>
      <c r="C56" s="19">
        <v>99.054000000000002</v>
      </c>
      <c r="D56" s="19">
        <v>99.063999999999993</v>
      </c>
      <c r="E56" s="20">
        <v>4.181</v>
      </c>
      <c r="F56" s="21">
        <f t="shared" si="0"/>
        <v>99.171875</v>
      </c>
      <c r="G56" s="21">
        <f t="shared" si="1"/>
        <v>99.203125</v>
      </c>
      <c r="H56" s="15">
        <f t="shared" si="2"/>
        <v>99.1875</v>
      </c>
      <c r="I56" s="15">
        <f t="shared" si="3"/>
        <v>1.5866168478260869</v>
      </c>
      <c r="J56" s="16">
        <f t="shared" si="4"/>
        <v>100.77411684782609</v>
      </c>
      <c r="K56" s="16">
        <f t="shared" si="5"/>
        <v>1.0301369863013699</v>
      </c>
      <c r="L56" s="16">
        <f>SUMIF('Cash Flows'!$A$2:$A$5628,ROW(),'Cash Flows'!$E$2:$E$5628)</f>
        <v>100.78493002112414</v>
      </c>
      <c r="M56" s="16">
        <f t="shared" si="6"/>
        <v>1.0813173298046763E-2</v>
      </c>
      <c r="N56" s="16">
        <f t="shared" si="7"/>
        <v>1.0813173298046763E-2</v>
      </c>
      <c r="O56" s="17">
        <f t="shared" si="8"/>
        <v>99.198313173298047</v>
      </c>
      <c r="P56" s="17" t="str">
        <f t="shared" si="9"/>
        <v>Yes</v>
      </c>
    </row>
    <row r="57" spans="1:16" ht="15" customHeight="1" x14ac:dyDescent="0.25">
      <c r="A57" s="18">
        <v>46660</v>
      </c>
      <c r="B57" s="19">
        <v>0.375</v>
      </c>
      <c r="C57" s="19">
        <v>96.012</v>
      </c>
      <c r="D57" s="19">
        <v>96.022000000000006</v>
      </c>
      <c r="E57" s="20">
        <v>4.2039999999999997</v>
      </c>
      <c r="F57" s="21">
        <f t="shared" si="0"/>
        <v>96.0390625</v>
      </c>
      <c r="G57" s="21">
        <f t="shared" si="1"/>
        <v>96.0703125</v>
      </c>
      <c r="H57" s="15">
        <f t="shared" si="2"/>
        <v>96.0546875</v>
      </c>
      <c r="I57" s="15">
        <f t="shared" si="3"/>
        <v>0.16086065573770492</v>
      </c>
      <c r="J57" s="16">
        <f t="shared" si="4"/>
        <v>96.215548155737707</v>
      </c>
      <c r="K57" s="16">
        <f t="shared" si="5"/>
        <v>1.0712328767123287</v>
      </c>
      <c r="L57" s="16">
        <f>SUMIF('Cash Flows'!$A$2:$A$5628,ROW(),'Cash Flows'!$E$2:$E$5628)</f>
        <v>96.205395788868884</v>
      </c>
      <c r="M57" s="16">
        <f t="shared" si="6"/>
        <v>-1.0152366868823037E-2</v>
      </c>
      <c r="N57" s="16">
        <f t="shared" si="7"/>
        <v>1.0152366868823037E-2</v>
      </c>
      <c r="O57" s="17">
        <f t="shared" si="8"/>
        <v>96.044535133131177</v>
      </c>
      <c r="P57" s="17" t="str">
        <f t="shared" si="9"/>
        <v>Yes</v>
      </c>
    </row>
    <row r="58" spans="1:16" ht="15" customHeight="1" x14ac:dyDescent="0.25">
      <c r="A58" s="18">
        <v>46660</v>
      </c>
      <c r="B58" s="19">
        <v>3.5</v>
      </c>
      <c r="C58" s="19">
        <v>99.075999999999993</v>
      </c>
      <c r="D58" s="19">
        <v>99.085999999999999</v>
      </c>
      <c r="E58" s="20">
        <v>4.2060000000000004</v>
      </c>
      <c r="F58" s="21">
        <f t="shared" si="0"/>
        <v>99.2421875</v>
      </c>
      <c r="G58" s="21">
        <f t="shared" si="1"/>
        <v>99.2734375</v>
      </c>
      <c r="H58" s="15">
        <f t="shared" si="2"/>
        <v>99.2578125</v>
      </c>
      <c r="I58" s="15">
        <f t="shared" si="3"/>
        <v>1.5013661202185793</v>
      </c>
      <c r="J58" s="16">
        <f t="shared" si="4"/>
        <v>100.75917862021858</v>
      </c>
      <c r="K58" s="16">
        <f t="shared" si="5"/>
        <v>1.0712328767123287</v>
      </c>
      <c r="L58" s="16">
        <f>SUMIF('Cash Flows'!$A$2:$A$5628,ROW(),'Cash Flows'!$E$2:$E$5628)</f>
        <v>100.78567740576575</v>
      </c>
      <c r="M58" s="16">
        <f t="shared" si="6"/>
        <v>2.6498785547175885E-2</v>
      </c>
      <c r="N58" s="16">
        <f t="shared" si="7"/>
        <v>2.6498785547175885E-2</v>
      </c>
      <c r="O58" s="17">
        <f t="shared" si="8"/>
        <v>99.284311285547176</v>
      </c>
      <c r="P58" s="17" t="str">
        <f t="shared" si="9"/>
        <v>No</v>
      </c>
    </row>
    <row r="59" spans="1:16" ht="15" customHeight="1" x14ac:dyDescent="0.25">
      <c r="A59" s="18">
        <v>46660</v>
      </c>
      <c r="B59" s="19">
        <v>4.125</v>
      </c>
      <c r="C59" s="19">
        <v>99.284000000000006</v>
      </c>
      <c r="D59" s="19">
        <v>99.293999999999997</v>
      </c>
      <c r="E59" s="20">
        <v>4.1989999999999998</v>
      </c>
      <c r="F59" s="21">
        <f t="shared" si="0"/>
        <v>99.890625</v>
      </c>
      <c r="G59" s="21">
        <f t="shared" si="1"/>
        <v>99.921875</v>
      </c>
      <c r="H59" s="15">
        <f t="shared" si="2"/>
        <v>99.90625</v>
      </c>
      <c r="I59" s="15">
        <f t="shared" si="3"/>
        <v>1.7694672131147542</v>
      </c>
      <c r="J59" s="16">
        <f t="shared" si="4"/>
        <v>101.67571721311475</v>
      </c>
      <c r="K59" s="16">
        <f t="shared" si="5"/>
        <v>1.0712328767123287</v>
      </c>
      <c r="L59" s="16">
        <f>SUMIF('Cash Flows'!$A$2:$A$5628,ROW(),'Cash Flows'!$E$2:$E$5628)</f>
        <v>101.70173372914512</v>
      </c>
      <c r="M59" s="16">
        <f t="shared" si="6"/>
        <v>2.6016516030367143E-2</v>
      </c>
      <c r="N59" s="16">
        <f t="shared" si="7"/>
        <v>2.6016516030367143E-2</v>
      </c>
      <c r="O59" s="17">
        <f t="shared" si="8"/>
        <v>99.932266516030367</v>
      </c>
      <c r="P59" s="17" t="str">
        <f t="shared" si="9"/>
        <v>No</v>
      </c>
    </row>
    <row r="60" spans="1:16" ht="15" customHeight="1" x14ac:dyDescent="0.25">
      <c r="A60" s="18">
        <v>46675</v>
      </c>
      <c r="B60" s="19">
        <v>3.875</v>
      </c>
      <c r="C60" s="19">
        <v>99.186000000000007</v>
      </c>
      <c r="D60" s="19">
        <v>99.195999999999998</v>
      </c>
      <c r="E60" s="20">
        <v>4.2309999999999999</v>
      </c>
      <c r="F60" s="21">
        <f t="shared" si="0"/>
        <v>99.5859375</v>
      </c>
      <c r="G60" s="21">
        <f t="shared" si="1"/>
        <v>99.6171875</v>
      </c>
      <c r="H60" s="15">
        <f t="shared" si="2"/>
        <v>99.6015625</v>
      </c>
      <c r="I60" s="15">
        <f t="shared" si="3"/>
        <v>1.5034153005464481</v>
      </c>
      <c r="J60" s="16">
        <f t="shared" si="4"/>
        <v>101.10497780054645</v>
      </c>
      <c r="K60" s="16">
        <f t="shared" si="5"/>
        <v>1.1123287671232878</v>
      </c>
      <c r="L60" s="16">
        <f>SUMIF('Cash Flows'!$A$2:$A$5628,ROW(),'Cash Flows'!$E$2:$E$5628)</f>
        <v>101.1515251876246</v>
      </c>
      <c r="M60" s="16">
        <f t="shared" si="6"/>
        <v>4.6547387078149427E-2</v>
      </c>
      <c r="N60" s="16">
        <f t="shared" si="7"/>
        <v>4.6547387078149427E-2</v>
      </c>
      <c r="O60" s="17">
        <f t="shared" si="8"/>
        <v>99.648109887078149</v>
      </c>
      <c r="P60" s="17" t="str">
        <f t="shared" si="9"/>
        <v>No</v>
      </c>
    </row>
    <row r="61" spans="1:16" ht="15" customHeight="1" x14ac:dyDescent="0.25">
      <c r="A61" s="18">
        <v>46691</v>
      </c>
      <c r="B61" s="19">
        <v>0.5</v>
      </c>
      <c r="C61" s="19">
        <v>95.26</v>
      </c>
      <c r="D61" s="19">
        <v>95.27</v>
      </c>
      <c r="E61" s="20">
        <v>4.26</v>
      </c>
      <c r="F61" s="21">
        <f t="shared" si="0"/>
        <v>95.8125</v>
      </c>
      <c r="G61" s="21">
        <f t="shared" si="1"/>
        <v>95.84375</v>
      </c>
      <c r="H61" s="15">
        <f t="shared" si="2"/>
        <v>95.828125</v>
      </c>
      <c r="I61" s="15">
        <f t="shared" si="3"/>
        <v>0.17349726775956284</v>
      </c>
      <c r="J61" s="16">
        <f t="shared" si="4"/>
        <v>96.001622267759558</v>
      </c>
      <c r="K61" s="16">
        <f t="shared" si="5"/>
        <v>1.1561643835616437</v>
      </c>
      <c r="L61" s="16">
        <f>SUMIF('Cash Flows'!$A$2:$A$5628,ROW(),'Cash Flows'!$E$2:$E$5628)</f>
        <v>96.025773938960654</v>
      </c>
      <c r="M61" s="16">
        <f t="shared" si="6"/>
        <v>2.4151671201096292E-2</v>
      </c>
      <c r="N61" s="16">
        <f t="shared" si="7"/>
        <v>2.4151671201096292E-2</v>
      </c>
      <c r="O61" s="17">
        <f t="shared" si="8"/>
        <v>95.852276671201096</v>
      </c>
      <c r="P61" s="17" t="str">
        <f t="shared" si="9"/>
        <v>No</v>
      </c>
    </row>
    <row r="62" spans="1:16" ht="15" customHeight="1" x14ac:dyDescent="0.25">
      <c r="A62" s="18">
        <v>46691</v>
      </c>
      <c r="B62" s="19">
        <v>3.5</v>
      </c>
      <c r="C62" s="19">
        <v>99.043999999999997</v>
      </c>
      <c r="D62" s="19">
        <v>99.054000000000002</v>
      </c>
      <c r="E62" s="20">
        <v>4.2460000000000004</v>
      </c>
      <c r="F62" s="21">
        <f t="shared" si="0"/>
        <v>99.140625</v>
      </c>
      <c r="G62" s="21">
        <f t="shared" si="1"/>
        <v>99.171875</v>
      </c>
      <c r="H62" s="15">
        <f t="shared" si="2"/>
        <v>99.15625</v>
      </c>
      <c r="I62" s="15">
        <f t="shared" si="3"/>
        <v>1.21448087431694</v>
      </c>
      <c r="J62" s="16">
        <f t="shared" si="4"/>
        <v>100.37073087431693</v>
      </c>
      <c r="K62" s="16">
        <f t="shared" si="5"/>
        <v>1.1561643835616437</v>
      </c>
      <c r="L62" s="16">
        <f>SUMIF('Cash Flows'!$A$2:$A$5628,ROW(),'Cash Flows'!$E$2:$E$5628)</f>
        <v>100.40746799992638</v>
      </c>
      <c r="M62" s="16">
        <f t="shared" si="6"/>
        <v>3.673712560944864E-2</v>
      </c>
      <c r="N62" s="16">
        <f t="shared" si="7"/>
        <v>3.673712560944864E-2</v>
      </c>
      <c r="O62" s="17">
        <f t="shared" si="8"/>
        <v>99.192987125609449</v>
      </c>
      <c r="P62" s="17" t="str">
        <f t="shared" si="9"/>
        <v>No</v>
      </c>
    </row>
    <row r="63" spans="1:16" ht="15" customHeight="1" x14ac:dyDescent="0.25">
      <c r="A63" s="18">
        <v>46691</v>
      </c>
      <c r="B63" s="19">
        <v>4.125</v>
      </c>
      <c r="C63" s="19">
        <v>99.263999999999996</v>
      </c>
      <c r="D63" s="19">
        <v>99.274000000000001</v>
      </c>
      <c r="E63" s="20">
        <v>4.2480000000000002</v>
      </c>
      <c r="F63" s="21">
        <f t="shared" si="0"/>
        <v>99.828125</v>
      </c>
      <c r="G63" s="21">
        <f t="shared" si="1"/>
        <v>99.859375</v>
      </c>
      <c r="H63" s="15">
        <f t="shared" si="2"/>
        <v>99.84375</v>
      </c>
      <c r="I63" s="15">
        <f t="shared" si="3"/>
        <v>1.4313524590163935</v>
      </c>
      <c r="J63" s="16">
        <f t="shared" si="4"/>
        <v>101.2751024590164</v>
      </c>
      <c r="K63" s="16">
        <f t="shared" si="5"/>
        <v>1.1561643835616437</v>
      </c>
      <c r="L63" s="16">
        <f>SUMIF('Cash Flows'!$A$2:$A$5628,ROW(),'Cash Flows'!$E$2:$E$5628)</f>
        <v>101.32032092929424</v>
      </c>
      <c r="M63" s="16">
        <f t="shared" si="6"/>
        <v>4.5218470277845313E-2</v>
      </c>
      <c r="N63" s="16">
        <f t="shared" si="7"/>
        <v>4.5218470277845313E-2</v>
      </c>
      <c r="O63" s="17">
        <f t="shared" si="8"/>
        <v>99.888968470277845</v>
      </c>
      <c r="P63" s="17" t="str">
        <f t="shared" si="9"/>
        <v>No</v>
      </c>
    </row>
    <row r="64" spans="1:16" ht="15" customHeight="1" x14ac:dyDescent="0.25">
      <c r="A64" s="18">
        <v>46706</v>
      </c>
      <c r="B64" s="19">
        <v>2.25</v>
      </c>
      <c r="C64" s="19">
        <v>97.212000000000003</v>
      </c>
      <c r="D64" s="19">
        <v>97.221999999999994</v>
      </c>
      <c r="E64" s="20">
        <v>4.2629999999999999</v>
      </c>
      <c r="F64" s="21">
        <f t="shared" si="0"/>
        <v>97.6640625</v>
      </c>
      <c r="G64" s="21">
        <f t="shared" si="1"/>
        <v>97.6953125</v>
      </c>
      <c r="H64" s="15">
        <f t="shared" si="2"/>
        <v>97.6796875</v>
      </c>
      <c r="I64" s="15">
        <f t="shared" si="3"/>
        <v>0.68478260869565222</v>
      </c>
      <c r="J64" s="16">
        <f t="shared" si="4"/>
        <v>98.364470108695656</v>
      </c>
      <c r="K64" s="16">
        <f t="shared" si="5"/>
        <v>1.1972602739726028</v>
      </c>
      <c r="L64" s="16">
        <f>SUMIF('Cash Flows'!$A$2:$A$5628,ROW(),'Cash Flows'!$E$2:$E$5628)</f>
        <v>98.401614669717276</v>
      </c>
      <c r="M64" s="16">
        <f t="shared" si="6"/>
        <v>3.7144561021619893E-2</v>
      </c>
      <c r="N64" s="16">
        <f t="shared" si="7"/>
        <v>3.7144561021619893E-2</v>
      </c>
      <c r="O64" s="17">
        <f t="shared" si="8"/>
        <v>97.71683206102162</v>
      </c>
      <c r="P64" s="17" t="str">
        <f t="shared" si="9"/>
        <v>No</v>
      </c>
    </row>
    <row r="65" spans="1:16" ht="15" customHeight="1" x14ac:dyDescent="0.25">
      <c r="A65" s="18">
        <v>46706</v>
      </c>
      <c r="B65" s="19">
        <v>4.125</v>
      </c>
      <c r="C65" s="19">
        <v>99.26</v>
      </c>
      <c r="D65" s="19">
        <v>99.27</v>
      </c>
      <c r="E65" s="20">
        <v>4.2569999999999997</v>
      </c>
      <c r="F65" s="21">
        <f t="shared" si="0"/>
        <v>99.8125</v>
      </c>
      <c r="G65" s="21">
        <f t="shared" si="1"/>
        <v>99.84375</v>
      </c>
      <c r="H65" s="15">
        <f t="shared" si="2"/>
        <v>99.828125</v>
      </c>
      <c r="I65" s="15">
        <f t="shared" si="3"/>
        <v>1.2554347826086956</v>
      </c>
      <c r="J65" s="16">
        <f t="shared" si="4"/>
        <v>101.0835597826087</v>
      </c>
      <c r="K65" s="16">
        <f t="shared" si="5"/>
        <v>1.1972602739726028</v>
      </c>
      <c r="L65" s="16">
        <f>SUMIF('Cash Flows'!$A$2:$A$5628,ROW(),'Cash Flows'!$E$2:$E$5628)</f>
        <v>101.13544496812554</v>
      </c>
      <c r="M65" s="16">
        <f t="shared" si="6"/>
        <v>5.1885185516837851E-2</v>
      </c>
      <c r="N65" s="16">
        <f t="shared" si="7"/>
        <v>5.1885185516837851E-2</v>
      </c>
      <c r="O65" s="17">
        <f t="shared" si="8"/>
        <v>99.880010185516838</v>
      </c>
      <c r="P65" s="17" t="str">
        <f t="shared" si="9"/>
        <v>No</v>
      </c>
    </row>
    <row r="66" spans="1:16" ht="15" customHeight="1" x14ac:dyDescent="0.25">
      <c r="A66" s="18">
        <v>46706</v>
      </c>
      <c r="B66" s="19">
        <v>6.125</v>
      </c>
      <c r="C66" s="19">
        <v>102.026</v>
      </c>
      <c r="D66" s="19">
        <v>102.036</v>
      </c>
      <c r="E66" s="20">
        <v>4.2670000000000003</v>
      </c>
      <c r="F66" s="21">
        <f t="shared" ref="F66:F129" si="10">INT(C66)+INT(ROUND((C66-INT(C66))*1000,0)/10)/32+MOD(ROUND((C66-INT(C66))*1000,0),10)/256</f>
        <v>102.0859375</v>
      </c>
      <c r="G66" s="21">
        <f t="shared" ref="G66:G129" si="11">INT(D66)+INT(ROUND((D66-INT(D66))*1000,0)/10)/32+MOD(ROUND((D66-INT(D66))*1000,0),10)/256</f>
        <v>102.1171875</v>
      </c>
      <c r="H66" s="15">
        <f t="shared" ref="H66:H129" si="12">(F66+G66)/2</f>
        <v>102.1015625</v>
      </c>
      <c r="I66" s="15">
        <f t="shared" ref="I66:I129" si="13">(B66/2)*COUPDAYBS($R$2,A66,2,1)/COUPDAYS($R$2,A66,2,1)</f>
        <v>1.8641304347826086</v>
      </c>
      <c r="J66" s="16">
        <f t="shared" ref="J66:J129" si="14">H66+I66</f>
        <v>103.96569293478261</v>
      </c>
      <c r="K66" s="16">
        <f t="shared" ref="K66:K129" si="15">(A66-$R$2)/365</f>
        <v>1.1972602739726028</v>
      </c>
      <c r="L66" s="16">
        <f>SUMIF('Cash Flows'!$A$2:$A$5628,ROW(),'Cash Flows'!$E$2:$E$5628)</f>
        <v>104.05153061976102</v>
      </c>
      <c r="M66" s="16">
        <f t="shared" ref="M66:M129" si="16">L66-J66</f>
        <v>8.5837684978415041E-2</v>
      </c>
      <c r="N66" s="16">
        <f t="shared" ref="N66:N129" si="17">ABS(M66)</f>
        <v>8.5837684978415041E-2</v>
      </c>
      <c r="O66" s="17">
        <f t="shared" ref="O66:O129" si="18">L66-I66</f>
        <v>102.18740018497842</v>
      </c>
      <c r="P66" s="17" t="str">
        <f t="shared" ref="P66:P129" si="19">IF(AND(O66&gt;=F66,O66&lt;=G66),"Yes","No")</f>
        <v>No</v>
      </c>
    </row>
    <row r="67" spans="1:16" ht="15" customHeight="1" x14ac:dyDescent="0.25">
      <c r="A67" s="18">
        <v>46721</v>
      </c>
      <c r="B67" s="19">
        <v>0.625</v>
      </c>
      <c r="C67" s="19">
        <v>95.212000000000003</v>
      </c>
      <c r="D67" s="19">
        <v>95.221999999999994</v>
      </c>
      <c r="E67" s="20">
        <v>4.2629999999999999</v>
      </c>
      <c r="F67" s="21">
        <f t="shared" si="10"/>
        <v>95.6640625</v>
      </c>
      <c r="G67" s="21">
        <f t="shared" si="11"/>
        <v>95.6953125</v>
      </c>
      <c r="H67" s="15">
        <f t="shared" si="12"/>
        <v>95.6796875</v>
      </c>
      <c r="I67" s="15">
        <f t="shared" si="13"/>
        <v>0.16393442622950818</v>
      </c>
      <c r="J67" s="16">
        <f t="shared" si="14"/>
        <v>95.843621926229503</v>
      </c>
      <c r="K67" s="16">
        <f t="shared" si="15"/>
        <v>1.2383561643835617</v>
      </c>
      <c r="L67" s="16">
        <f>SUMIF('Cash Flows'!$A$2:$A$5628,ROW(),'Cash Flows'!$E$2:$E$5628)</f>
        <v>95.856063954010821</v>
      </c>
      <c r="M67" s="16">
        <f t="shared" si="16"/>
        <v>1.2442027781318643E-2</v>
      </c>
      <c r="N67" s="16">
        <f t="shared" si="17"/>
        <v>1.2442027781318643E-2</v>
      </c>
      <c r="O67" s="17">
        <f t="shared" si="18"/>
        <v>95.692129527781319</v>
      </c>
      <c r="P67" s="17" t="str">
        <f t="shared" si="19"/>
        <v>Yes</v>
      </c>
    </row>
    <row r="68" spans="1:16" ht="15" customHeight="1" x14ac:dyDescent="0.25">
      <c r="A68" s="18">
        <v>46721</v>
      </c>
      <c r="B68" s="19">
        <v>3.375</v>
      </c>
      <c r="C68" s="19">
        <v>98.29</v>
      </c>
      <c r="D68" s="19">
        <v>98.3</v>
      </c>
      <c r="E68" s="20">
        <v>4.2690000000000001</v>
      </c>
      <c r="F68" s="21">
        <f t="shared" si="10"/>
        <v>98.90625</v>
      </c>
      <c r="G68" s="21">
        <f t="shared" si="11"/>
        <v>98.9375</v>
      </c>
      <c r="H68" s="15">
        <f t="shared" si="12"/>
        <v>98.921875</v>
      </c>
      <c r="I68" s="15">
        <f t="shared" si="13"/>
        <v>0.88524590163934425</v>
      </c>
      <c r="J68" s="16">
        <f t="shared" si="14"/>
        <v>99.807120901639351</v>
      </c>
      <c r="K68" s="16">
        <f t="shared" si="15"/>
        <v>1.2383561643835617</v>
      </c>
      <c r="L68" s="16">
        <f>SUMIF('Cash Flows'!$A$2:$A$5628,ROW(),'Cash Flows'!$E$2:$E$5628)</f>
        <v>99.85856631552825</v>
      </c>
      <c r="M68" s="16">
        <f t="shared" si="16"/>
        <v>5.1445413888899338E-2</v>
      </c>
      <c r="N68" s="16">
        <f t="shared" si="17"/>
        <v>5.1445413888899338E-2</v>
      </c>
      <c r="O68" s="17">
        <f t="shared" si="18"/>
        <v>98.973320413888899</v>
      </c>
      <c r="P68" s="17" t="str">
        <f t="shared" si="19"/>
        <v>No</v>
      </c>
    </row>
    <row r="69" spans="1:16" ht="15" customHeight="1" x14ac:dyDescent="0.25">
      <c r="A69" s="18">
        <v>46721</v>
      </c>
      <c r="B69" s="19">
        <v>3.875</v>
      </c>
      <c r="C69" s="19">
        <v>99.16</v>
      </c>
      <c r="D69" s="19">
        <v>99.17</v>
      </c>
      <c r="E69" s="20">
        <v>4.2670000000000003</v>
      </c>
      <c r="F69" s="21">
        <f t="shared" si="10"/>
        <v>99.5</v>
      </c>
      <c r="G69" s="21">
        <f t="shared" si="11"/>
        <v>99.53125</v>
      </c>
      <c r="H69" s="15">
        <f t="shared" si="12"/>
        <v>99.515625</v>
      </c>
      <c r="I69" s="15">
        <f t="shared" si="13"/>
        <v>1.0163934426229508</v>
      </c>
      <c r="J69" s="16">
        <f t="shared" si="14"/>
        <v>100.53201844262296</v>
      </c>
      <c r="K69" s="16">
        <f t="shared" si="15"/>
        <v>1.2383561643835617</v>
      </c>
      <c r="L69" s="16">
        <f>SUMIF('Cash Flows'!$A$2:$A$5628,ROW(),'Cash Flows'!$E$2:$E$5628)</f>
        <v>100.58629401762234</v>
      </c>
      <c r="M69" s="16">
        <f t="shared" si="16"/>
        <v>5.4275574999380183E-2</v>
      </c>
      <c r="N69" s="16">
        <f t="shared" si="17"/>
        <v>5.4275574999380183E-2</v>
      </c>
      <c r="O69" s="17">
        <f t="shared" si="18"/>
        <v>99.56990057499938</v>
      </c>
      <c r="P69" s="17" t="str">
        <f t="shared" si="19"/>
        <v>No</v>
      </c>
    </row>
    <row r="70" spans="1:16" ht="15" customHeight="1" x14ac:dyDescent="0.25">
      <c r="A70" s="18">
        <v>46736</v>
      </c>
      <c r="B70" s="19">
        <v>4</v>
      </c>
      <c r="C70" s="19">
        <v>99.2</v>
      </c>
      <c r="D70" s="19">
        <v>99.21</v>
      </c>
      <c r="E70" s="20">
        <v>4.2770000000000001</v>
      </c>
      <c r="F70" s="21">
        <f t="shared" si="10"/>
        <v>99.625</v>
      </c>
      <c r="G70" s="21">
        <f t="shared" si="11"/>
        <v>99.65625</v>
      </c>
      <c r="H70" s="15">
        <f t="shared" si="12"/>
        <v>99.640625</v>
      </c>
      <c r="I70" s="15">
        <f t="shared" si="13"/>
        <v>0.88524590163934425</v>
      </c>
      <c r="J70" s="16">
        <f t="shared" si="14"/>
        <v>100.52587090163935</v>
      </c>
      <c r="K70" s="16">
        <f t="shared" si="15"/>
        <v>1.2794520547945205</v>
      </c>
      <c r="L70" s="16">
        <f>SUMIF('Cash Flows'!$A$2:$A$5628,ROW(),'Cash Flows'!$E$2:$E$5628)</f>
        <v>100.58333631592244</v>
      </c>
      <c r="M70" s="16">
        <f t="shared" si="16"/>
        <v>5.7465414283086602E-2</v>
      </c>
      <c r="N70" s="16">
        <f t="shared" si="17"/>
        <v>5.7465414283086602E-2</v>
      </c>
      <c r="O70" s="17">
        <f t="shared" si="18"/>
        <v>99.698090414283087</v>
      </c>
      <c r="P70" s="17" t="str">
        <f t="shared" si="19"/>
        <v>No</v>
      </c>
    </row>
    <row r="71" spans="1:16" ht="15" customHeight="1" x14ac:dyDescent="0.25">
      <c r="A71" s="18">
        <v>46752</v>
      </c>
      <c r="B71" s="19">
        <v>0.625</v>
      </c>
      <c r="C71" s="19">
        <v>95.111999999999995</v>
      </c>
      <c r="D71" s="19">
        <v>95.122</v>
      </c>
      <c r="E71" s="20">
        <v>4.2869999999999999</v>
      </c>
      <c r="F71" s="21">
        <f t="shared" si="10"/>
        <v>95.3515625</v>
      </c>
      <c r="G71" s="21">
        <f t="shared" si="11"/>
        <v>95.3828125</v>
      </c>
      <c r="H71" s="15">
        <f t="shared" si="12"/>
        <v>95.3671875</v>
      </c>
      <c r="I71" s="15">
        <f t="shared" si="13"/>
        <v>0.11270491803278689</v>
      </c>
      <c r="J71" s="16">
        <f t="shared" si="14"/>
        <v>95.47989241803279</v>
      </c>
      <c r="K71" s="16">
        <f t="shared" si="15"/>
        <v>1.3232876712328767</v>
      </c>
      <c r="L71" s="16">
        <f>SUMIF('Cash Flows'!$A$2:$A$5628,ROW(),'Cash Flows'!$E$2:$E$5628)</f>
        <v>95.491778383309622</v>
      </c>
      <c r="M71" s="16">
        <f t="shared" si="16"/>
        <v>1.1885965276832167E-2</v>
      </c>
      <c r="N71" s="16">
        <f t="shared" si="17"/>
        <v>1.1885965276832167E-2</v>
      </c>
      <c r="O71" s="17">
        <f t="shared" si="18"/>
        <v>95.379073465276832</v>
      </c>
      <c r="P71" s="17" t="str">
        <f t="shared" si="19"/>
        <v>Yes</v>
      </c>
    </row>
    <row r="72" spans="1:16" ht="15" customHeight="1" x14ac:dyDescent="0.25">
      <c r="A72" s="18">
        <v>46752</v>
      </c>
      <c r="B72" s="19">
        <v>3.375</v>
      </c>
      <c r="C72" s="19">
        <v>98.26</v>
      </c>
      <c r="D72" s="19">
        <v>98.27</v>
      </c>
      <c r="E72" s="20">
        <v>4.2889999999999997</v>
      </c>
      <c r="F72" s="21">
        <f t="shared" si="10"/>
        <v>98.8125</v>
      </c>
      <c r="G72" s="21">
        <f t="shared" si="11"/>
        <v>98.84375</v>
      </c>
      <c r="H72" s="15">
        <f t="shared" si="12"/>
        <v>98.828125</v>
      </c>
      <c r="I72" s="15">
        <f t="shared" si="13"/>
        <v>0.60860655737704916</v>
      </c>
      <c r="J72" s="16">
        <f t="shared" si="14"/>
        <v>99.436731557377044</v>
      </c>
      <c r="K72" s="16">
        <f t="shared" si="15"/>
        <v>1.3232876712328767</v>
      </c>
      <c r="L72" s="16">
        <f>SUMIF('Cash Flows'!$A$2:$A$5628,ROW(),'Cash Flows'!$E$2:$E$5628)</f>
        <v>99.479982031833956</v>
      </c>
      <c r="M72" s="16">
        <f t="shared" si="16"/>
        <v>4.3250474456911547E-2</v>
      </c>
      <c r="N72" s="16">
        <f t="shared" si="17"/>
        <v>4.3250474456911547E-2</v>
      </c>
      <c r="O72" s="17">
        <f t="shared" si="18"/>
        <v>98.871375474456912</v>
      </c>
      <c r="P72" s="17" t="str">
        <f t="shared" si="19"/>
        <v>No</v>
      </c>
    </row>
    <row r="73" spans="1:16" ht="15" customHeight="1" x14ac:dyDescent="0.25">
      <c r="A73" s="18">
        <v>46752</v>
      </c>
      <c r="B73" s="19">
        <v>3.875</v>
      </c>
      <c r="C73" s="19">
        <v>99.14</v>
      </c>
      <c r="D73" s="19">
        <v>99.15</v>
      </c>
      <c r="E73" s="20">
        <v>4.2930000000000001</v>
      </c>
      <c r="F73" s="21">
        <f t="shared" si="10"/>
        <v>99.4375</v>
      </c>
      <c r="G73" s="21">
        <f t="shared" si="11"/>
        <v>99.46875</v>
      </c>
      <c r="H73" s="15">
        <f t="shared" si="12"/>
        <v>99.453125</v>
      </c>
      <c r="I73" s="15">
        <f t="shared" si="13"/>
        <v>0.69877049180327866</v>
      </c>
      <c r="J73" s="16">
        <f t="shared" si="14"/>
        <v>100.15189549180327</v>
      </c>
      <c r="K73" s="16">
        <f t="shared" si="15"/>
        <v>1.3232876712328767</v>
      </c>
      <c r="L73" s="16">
        <f>SUMIF('Cash Flows'!$A$2:$A$5628,ROW(),'Cash Flows'!$E$2:$E$5628)</f>
        <v>100.20510996792929</v>
      </c>
      <c r="M73" s="16">
        <f t="shared" si="16"/>
        <v>5.3214476126015597E-2</v>
      </c>
      <c r="N73" s="16">
        <f t="shared" si="17"/>
        <v>5.3214476126015597E-2</v>
      </c>
      <c r="O73" s="17">
        <f t="shared" si="18"/>
        <v>99.506339476126016</v>
      </c>
      <c r="P73" s="17" t="str">
        <f t="shared" si="19"/>
        <v>No</v>
      </c>
    </row>
    <row r="74" spans="1:16" ht="15" customHeight="1" x14ac:dyDescent="0.25">
      <c r="A74" s="18">
        <v>46767</v>
      </c>
      <c r="B74" s="19">
        <v>4.25</v>
      </c>
      <c r="C74" s="19">
        <v>99.284000000000006</v>
      </c>
      <c r="D74" s="19">
        <v>99.293999999999997</v>
      </c>
      <c r="E74" s="20">
        <v>4.3070000000000004</v>
      </c>
      <c r="F74" s="21">
        <f t="shared" si="10"/>
        <v>99.890625</v>
      </c>
      <c r="G74" s="21">
        <f t="shared" si="11"/>
        <v>99.921875</v>
      </c>
      <c r="H74" s="15">
        <f t="shared" si="12"/>
        <v>99.90625</v>
      </c>
      <c r="I74" s="15">
        <f t="shared" si="13"/>
        <v>0.58899456521739135</v>
      </c>
      <c r="J74" s="16">
        <f t="shared" si="14"/>
        <v>100.49524456521739</v>
      </c>
      <c r="K74" s="16">
        <f t="shared" si="15"/>
        <v>1.3643835616438356</v>
      </c>
      <c r="L74" s="16">
        <f>SUMIF('Cash Flows'!$A$2:$A$5628,ROW(),'Cash Flows'!$E$2:$E$5628)</f>
        <v>100.56320233798066</v>
      </c>
      <c r="M74" s="16">
        <f t="shared" si="16"/>
        <v>6.7957772763264757E-2</v>
      </c>
      <c r="N74" s="16">
        <f t="shared" si="17"/>
        <v>6.7957772763264757E-2</v>
      </c>
      <c r="O74" s="17">
        <f t="shared" si="18"/>
        <v>99.974207772763265</v>
      </c>
      <c r="P74" s="17" t="str">
        <f t="shared" si="19"/>
        <v>No</v>
      </c>
    </row>
    <row r="75" spans="1:16" ht="15" customHeight="1" x14ac:dyDescent="0.25">
      <c r="A75" s="18">
        <v>46783</v>
      </c>
      <c r="B75" s="19">
        <v>0.75</v>
      </c>
      <c r="C75" s="19">
        <v>95.063999999999993</v>
      </c>
      <c r="D75" s="19">
        <v>95.073999999999998</v>
      </c>
      <c r="E75" s="20">
        <v>4.3079999999999998</v>
      </c>
      <c r="F75" s="21">
        <f t="shared" si="10"/>
        <v>95.203125</v>
      </c>
      <c r="G75" s="21">
        <f t="shared" si="11"/>
        <v>95.234375</v>
      </c>
      <c r="H75" s="15">
        <f t="shared" si="12"/>
        <v>95.21875</v>
      </c>
      <c r="I75" s="15">
        <f t="shared" si="13"/>
        <v>7.1331521739130432E-2</v>
      </c>
      <c r="J75" s="16">
        <f t="shared" si="14"/>
        <v>95.290081521739125</v>
      </c>
      <c r="K75" s="16">
        <f t="shared" si="15"/>
        <v>1.4082191780821918</v>
      </c>
      <c r="L75" s="16">
        <f>SUMIF('Cash Flows'!$A$2:$A$5628,ROW(),'Cash Flows'!$E$2:$E$5628)</f>
        <v>95.307777982174343</v>
      </c>
      <c r="M75" s="16">
        <f t="shared" si="16"/>
        <v>1.7696460435217887E-2</v>
      </c>
      <c r="N75" s="16">
        <f t="shared" si="17"/>
        <v>1.7696460435217887E-2</v>
      </c>
      <c r="O75" s="17">
        <f t="shared" si="18"/>
        <v>95.236446460435218</v>
      </c>
      <c r="P75" s="17" t="str">
        <f t="shared" si="19"/>
        <v>No</v>
      </c>
    </row>
    <row r="76" spans="1:16" ht="15" customHeight="1" x14ac:dyDescent="0.25">
      <c r="A76" s="18">
        <v>46783</v>
      </c>
      <c r="B76" s="19">
        <v>3.5</v>
      </c>
      <c r="C76" s="19">
        <v>98.284000000000006</v>
      </c>
      <c r="D76" s="19">
        <v>98.293999999999997</v>
      </c>
      <c r="E76" s="20">
        <v>4.3029999999999999</v>
      </c>
      <c r="F76" s="21">
        <f t="shared" si="10"/>
        <v>98.890625</v>
      </c>
      <c r="G76" s="21">
        <f t="shared" si="11"/>
        <v>98.921875</v>
      </c>
      <c r="H76" s="15">
        <f t="shared" si="12"/>
        <v>98.90625</v>
      </c>
      <c r="I76" s="15">
        <f t="shared" si="13"/>
        <v>0.3328804347826087</v>
      </c>
      <c r="J76" s="16">
        <f t="shared" si="14"/>
        <v>99.239130434782609</v>
      </c>
      <c r="K76" s="16">
        <f t="shared" si="15"/>
        <v>1.4082191780821918</v>
      </c>
      <c r="L76" s="16">
        <f>SUMIF('Cash Flows'!$A$2:$A$5628,ROW(),'Cash Flows'!$E$2:$E$5628)</f>
        <v>99.281440703874452</v>
      </c>
      <c r="M76" s="16">
        <f t="shared" si="16"/>
        <v>4.2310269091842656E-2</v>
      </c>
      <c r="N76" s="16">
        <f t="shared" si="17"/>
        <v>4.2310269091842656E-2</v>
      </c>
      <c r="O76" s="17">
        <f t="shared" si="18"/>
        <v>98.948560269091843</v>
      </c>
      <c r="P76" s="17" t="str">
        <f t="shared" si="19"/>
        <v>No</v>
      </c>
    </row>
    <row r="77" spans="1:16" ht="15" customHeight="1" x14ac:dyDescent="0.25">
      <c r="A77" s="18">
        <v>46798</v>
      </c>
      <c r="B77" s="19">
        <v>2.75</v>
      </c>
      <c r="C77" s="19">
        <v>97.263999999999996</v>
      </c>
      <c r="D77" s="19">
        <v>97.274000000000001</v>
      </c>
      <c r="E77" s="20">
        <v>4.3029999999999999</v>
      </c>
      <c r="F77" s="21">
        <f t="shared" si="10"/>
        <v>97.828125</v>
      </c>
      <c r="G77" s="21">
        <f t="shared" si="11"/>
        <v>97.859375</v>
      </c>
      <c r="H77" s="15">
        <f t="shared" si="12"/>
        <v>97.84375</v>
      </c>
      <c r="I77" s="15">
        <f t="shared" si="13"/>
        <v>0.14945652173913043</v>
      </c>
      <c r="J77" s="16">
        <f t="shared" si="14"/>
        <v>97.993206521739125</v>
      </c>
      <c r="K77" s="16">
        <f t="shared" si="15"/>
        <v>1.4493150684931506</v>
      </c>
      <c r="L77" s="16">
        <f>SUMIF('Cash Flows'!$A$2:$A$5628,ROW(),'Cash Flows'!$E$2:$E$5628)</f>
        <v>98.01569222888439</v>
      </c>
      <c r="M77" s="16">
        <f t="shared" si="16"/>
        <v>2.2485707145264655E-2</v>
      </c>
      <c r="N77" s="16">
        <f t="shared" si="17"/>
        <v>2.2485707145264655E-2</v>
      </c>
      <c r="O77" s="17">
        <f t="shared" si="18"/>
        <v>97.866235707145265</v>
      </c>
      <c r="P77" s="17" t="str">
        <f t="shared" si="19"/>
        <v>No</v>
      </c>
    </row>
    <row r="78" spans="1:16" ht="15" customHeight="1" x14ac:dyDescent="0.25">
      <c r="A78" s="18">
        <v>46798</v>
      </c>
      <c r="B78" s="19">
        <v>4.25</v>
      </c>
      <c r="C78" s="19">
        <v>99.284000000000006</v>
      </c>
      <c r="D78" s="19">
        <v>99.293999999999997</v>
      </c>
      <c r="E78" s="20">
        <v>4.3049999999999997</v>
      </c>
      <c r="F78" s="21">
        <f t="shared" si="10"/>
        <v>99.890625</v>
      </c>
      <c r="G78" s="21">
        <f t="shared" si="11"/>
        <v>99.921875</v>
      </c>
      <c r="H78" s="15">
        <f t="shared" si="12"/>
        <v>99.90625</v>
      </c>
      <c r="I78" s="15">
        <f t="shared" si="13"/>
        <v>0.23097826086956522</v>
      </c>
      <c r="J78" s="16">
        <f t="shared" si="14"/>
        <v>100.13722826086956</v>
      </c>
      <c r="K78" s="16">
        <f t="shared" si="15"/>
        <v>1.4493150684931506</v>
      </c>
      <c r="L78" s="16">
        <f>SUMIF('Cash Flows'!$A$2:$A$5628,ROW(),'Cash Flows'!$E$2:$E$5628)</f>
        <v>100.17929009955834</v>
      </c>
      <c r="M78" s="16">
        <f t="shared" si="16"/>
        <v>4.2061838688780995E-2</v>
      </c>
      <c r="N78" s="16">
        <f t="shared" si="17"/>
        <v>4.2061838688780995E-2</v>
      </c>
      <c r="O78" s="17">
        <f t="shared" si="18"/>
        <v>99.948311838688781</v>
      </c>
      <c r="P78" s="17" t="str">
        <f t="shared" si="19"/>
        <v>No</v>
      </c>
    </row>
    <row r="79" spans="1:16" ht="15" customHeight="1" x14ac:dyDescent="0.25">
      <c r="A79" s="18">
        <v>46812</v>
      </c>
      <c r="B79" s="19">
        <v>1.125</v>
      </c>
      <c r="C79" s="19">
        <v>95.146000000000001</v>
      </c>
      <c r="D79" s="19">
        <v>95.156000000000006</v>
      </c>
      <c r="E79" s="20">
        <v>4.306</v>
      </c>
      <c r="F79" s="21">
        <f t="shared" si="10"/>
        <v>95.4609375</v>
      </c>
      <c r="G79" s="21">
        <f t="shared" si="11"/>
        <v>95.4921875</v>
      </c>
      <c r="H79" s="15">
        <f t="shared" si="12"/>
        <v>95.4765625</v>
      </c>
      <c r="I79" s="15">
        <f t="shared" si="13"/>
        <v>1.2430939226519336E-2</v>
      </c>
      <c r="J79" s="16">
        <f t="shared" si="14"/>
        <v>95.488993439226519</v>
      </c>
      <c r="K79" s="16">
        <f t="shared" si="15"/>
        <v>1.4876712328767123</v>
      </c>
      <c r="L79" s="16">
        <f>SUMIF('Cash Flows'!$A$2:$A$5628,ROW(),'Cash Flows'!$E$2:$E$5628)</f>
        <v>95.505561232371363</v>
      </c>
      <c r="M79" s="16">
        <f t="shared" si="16"/>
        <v>1.6567793144844245E-2</v>
      </c>
      <c r="N79" s="16">
        <f t="shared" si="17"/>
        <v>1.6567793144844245E-2</v>
      </c>
      <c r="O79" s="17">
        <f t="shared" si="18"/>
        <v>95.493130293144844</v>
      </c>
      <c r="P79" s="17" t="str">
        <f t="shared" si="19"/>
        <v>No</v>
      </c>
    </row>
    <row r="80" spans="1:16" ht="15" customHeight="1" x14ac:dyDescent="0.25">
      <c r="A80" s="18">
        <v>46812</v>
      </c>
      <c r="B80" s="19">
        <v>3.375</v>
      </c>
      <c r="C80" s="19">
        <v>98.212000000000003</v>
      </c>
      <c r="D80" s="19">
        <v>98.221999999999994</v>
      </c>
      <c r="E80" s="20">
        <v>4.2949999999999999</v>
      </c>
      <c r="F80" s="21">
        <f t="shared" si="10"/>
        <v>98.6640625</v>
      </c>
      <c r="G80" s="21">
        <f t="shared" si="11"/>
        <v>98.6953125</v>
      </c>
      <c r="H80" s="15">
        <f t="shared" si="12"/>
        <v>98.6796875</v>
      </c>
      <c r="I80" s="15">
        <f t="shared" si="13"/>
        <v>3.7292817679558013E-2</v>
      </c>
      <c r="J80" s="16">
        <f t="shared" si="14"/>
        <v>98.716980317679557</v>
      </c>
      <c r="K80" s="16">
        <f t="shared" si="15"/>
        <v>1.4876712328767123</v>
      </c>
      <c r="L80" s="16">
        <f>SUMIF('Cash Flows'!$A$2:$A$5628,ROW(),'Cash Flows'!$E$2:$E$5628)</f>
        <v>98.745416060994899</v>
      </c>
      <c r="M80" s="16">
        <f t="shared" si="16"/>
        <v>2.8435743315341711E-2</v>
      </c>
      <c r="N80" s="16">
        <f t="shared" si="17"/>
        <v>2.8435743315341711E-2</v>
      </c>
      <c r="O80" s="17">
        <f t="shared" si="18"/>
        <v>98.708123243315342</v>
      </c>
      <c r="P80" s="17" t="str">
        <f t="shared" si="19"/>
        <v>No</v>
      </c>
    </row>
    <row r="81" spans="1:16" ht="15" customHeight="1" x14ac:dyDescent="0.25">
      <c r="A81" s="18">
        <v>46812</v>
      </c>
      <c r="B81" s="19">
        <v>4</v>
      </c>
      <c r="C81" s="19">
        <v>99.164000000000001</v>
      </c>
      <c r="D81" s="19">
        <v>99.174000000000007</v>
      </c>
      <c r="E81" s="20">
        <v>4.319</v>
      </c>
      <c r="F81" s="21">
        <f t="shared" si="10"/>
        <v>99.515625</v>
      </c>
      <c r="G81" s="21">
        <f t="shared" si="11"/>
        <v>99.546875</v>
      </c>
      <c r="H81" s="15">
        <f t="shared" si="12"/>
        <v>99.53125</v>
      </c>
      <c r="I81" s="15">
        <f t="shared" si="13"/>
        <v>4.4198895027624308E-2</v>
      </c>
      <c r="J81" s="16">
        <f t="shared" si="14"/>
        <v>99.57544889502762</v>
      </c>
      <c r="K81" s="16">
        <f t="shared" si="15"/>
        <v>1.4876712328767123</v>
      </c>
      <c r="L81" s="16">
        <f>SUMIF('Cash Flows'!$A$2:$A$5628,ROW(),'Cash Flows'!$E$2:$E$5628)</f>
        <v>99.645375735612546</v>
      </c>
      <c r="M81" s="16">
        <f t="shared" si="16"/>
        <v>6.9926840584926708E-2</v>
      </c>
      <c r="N81" s="16">
        <f t="shared" si="17"/>
        <v>6.9926840584926708E-2</v>
      </c>
      <c r="O81" s="17">
        <f t="shared" si="18"/>
        <v>99.601176840584927</v>
      </c>
      <c r="P81" s="17" t="str">
        <f t="shared" si="19"/>
        <v>No</v>
      </c>
    </row>
    <row r="82" spans="1:16" ht="15" customHeight="1" x14ac:dyDescent="0.25">
      <c r="A82" s="18">
        <v>46827</v>
      </c>
      <c r="B82" s="19">
        <v>3.875</v>
      </c>
      <c r="C82" s="19">
        <v>99.103999999999999</v>
      </c>
      <c r="D82" s="19">
        <v>99.114000000000004</v>
      </c>
      <c r="E82" s="20">
        <v>4.3150000000000004</v>
      </c>
      <c r="F82" s="21">
        <f t="shared" si="10"/>
        <v>99.328125</v>
      </c>
      <c r="G82" s="21">
        <f t="shared" si="11"/>
        <v>99.359375</v>
      </c>
      <c r="H82" s="15">
        <f t="shared" si="12"/>
        <v>99.34375</v>
      </c>
      <c r="I82" s="15">
        <f t="shared" si="13"/>
        <v>1.8216711956521738</v>
      </c>
      <c r="J82" s="16">
        <f t="shared" si="14"/>
        <v>101.16542119565217</v>
      </c>
      <c r="K82" s="16">
        <f t="shared" si="15"/>
        <v>1.5287671232876712</v>
      </c>
      <c r="L82" s="16">
        <f>SUMIF('Cash Flows'!$A$2:$A$5628,ROW(),'Cash Flows'!$E$2:$E$5628)</f>
        <v>101.21575717775524</v>
      </c>
      <c r="M82" s="16">
        <f t="shared" si="16"/>
        <v>5.0335982103064225E-2</v>
      </c>
      <c r="N82" s="16">
        <f t="shared" si="17"/>
        <v>5.0335982103064225E-2</v>
      </c>
      <c r="O82" s="17">
        <f t="shared" si="18"/>
        <v>99.394085982103064</v>
      </c>
      <c r="P82" s="17" t="str">
        <f t="shared" si="19"/>
        <v>No</v>
      </c>
    </row>
    <row r="83" spans="1:16" ht="15" customHeight="1" x14ac:dyDescent="0.25">
      <c r="A83" s="18">
        <v>46843</v>
      </c>
      <c r="B83" s="19">
        <v>1.25</v>
      </c>
      <c r="C83" s="19">
        <v>95.116</v>
      </c>
      <c r="D83" s="19">
        <v>95.126000000000005</v>
      </c>
      <c r="E83" s="20">
        <v>4.3319999999999999</v>
      </c>
      <c r="F83" s="21">
        <f t="shared" si="10"/>
        <v>95.3671875</v>
      </c>
      <c r="G83" s="21">
        <f t="shared" si="11"/>
        <v>95.3984375</v>
      </c>
      <c r="H83" s="15">
        <f t="shared" si="12"/>
        <v>95.3828125</v>
      </c>
      <c r="I83" s="15">
        <f t="shared" si="13"/>
        <v>0.53620218579234968</v>
      </c>
      <c r="J83" s="16">
        <f t="shared" si="14"/>
        <v>95.919014685792348</v>
      </c>
      <c r="K83" s="16">
        <f t="shared" si="15"/>
        <v>1.5726027397260274</v>
      </c>
      <c r="L83" s="16">
        <f>SUMIF('Cash Flows'!$A$2:$A$5628,ROW(),'Cash Flows'!$E$2:$E$5628)</f>
        <v>95.94094827830709</v>
      </c>
      <c r="M83" s="16">
        <f t="shared" si="16"/>
        <v>2.1933592514741918E-2</v>
      </c>
      <c r="N83" s="16">
        <f t="shared" si="17"/>
        <v>2.1933592514741918E-2</v>
      </c>
      <c r="O83" s="17">
        <f t="shared" si="18"/>
        <v>95.404746092514742</v>
      </c>
      <c r="P83" s="17" t="str">
        <f t="shared" si="19"/>
        <v>No</v>
      </c>
    </row>
    <row r="84" spans="1:16" ht="15" customHeight="1" x14ac:dyDescent="0.25">
      <c r="A84" s="18">
        <v>46843</v>
      </c>
      <c r="B84" s="19">
        <v>3.625</v>
      </c>
      <c r="C84" s="19">
        <v>98.292000000000002</v>
      </c>
      <c r="D84" s="19">
        <v>98.302000000000007</v>
      </c>
      <c r="E84" s="20">
        <v>4.33</v>
      </c>
      <c r="F84" s="21">
        <f t="shared" si="10"/>
        <v>98.9140625</v>
      </c>
      <c r="G84" s="21">
        <f t="shared" si="11"/>
        <v>98.9453125</v>
      </c>
      <c r="H84" s="15">
        <f t="shared" si="12"/>
        <v>98.9296875</v>
      </c>
      <c r="I84" s="15">
        <f t="shared" si="13"/>
        <v>1.5549863387978142</v>
      </c>
      <c r="J84" s="16">
        <f t="shared" si="14"/>
        <v>100.48467383879782</v>
      </c>
      <c r="K84" s="16">
        <f t="shared" si="15"/>
        <v>1.5726027397260274</v>
      </c>
      <c r="L84" s="16">
        <f>SUMIF('Cash Flows'!$A$2:$A$5628,ROW(),'Cash Flows'!$E$2:$E$5628)</f>
        <v>100.53256347298687</v>
      </c>
      <c r="M84" s="16">
        <f t="shared" si="16"/>
        <v>4.788963418904757E-2</v>
      </c>
      <c r="N84" s="16">
        <f t="shared" si="17"/>
        <v>4.788963418904757E-2</v>
      </c>
      <c r="O84" s="17">
        <f t="shared" si="18"/>
        <v>98.977577134189048</v>
      </c>
      <c r="P84" s="17" t="str">
        <f t="shared" si="19"/>
        <v>No</v>
      </c>
    </row>
    <row r="85" spans="1:16" ht="15" customHeight="1" x14ac:dyDescent="0.25">
      <c r="A85" s="18">
        <v>46843</v>
      </c>
      <c r="B85" s="19">
        <v>3.875</v>
      </c>
      <c r="C85" s="19">
        <v>99.091999999999999</v>
      </c>
      <c r="D85" s="19">
        <v>99.102000000000004</v>
      </c>
      <c r="E85" s="20">
        <v>4.3289999999999997</v>
      </c>
      <c r="F85" s="21">
        <f t="shared" si="10"/>
        <v>99.2890625</v>
      </c>
      <c r="G85" s="21">
        <f t="shared" si="11"/>
        <v>99.3203125</v>
      </c>
      <c r="H85" s="15">
        <f t="shared" si="12"/>
        <v>99.3046875</v>
      </c>
      <c r="I85" s="15">
        <f t="shared" si="13"/>
        <v>1.6622267759562841</v>
      </c>
      <c r="J85" s="16">
        <f t="shared" si="14"/>
        <v>100.96691427595628</v>
      </c>
      <c r="K85" s="16">
        <f t="shared" si="15"/>
        <v>1.5726027397260274</v>
      </c>
      <c r="L85" s="16">
        <f>SUMIF('Cash Flows'!$A$2:$A$5628,ROW(),'Cash Flows'!$E$2:$E$5628)</f>
        <v>101.01589138821632</v>
      </c>
      <c r="M85" s="16">
        <f t="shared" si="16"/>
        <v>4.8977112260033095E-2</v>
      </c>
      <c r="N85" s="16">
        <f t="shared" si="17"/>
        <v>4.8977112260033095E-2</v>
      </c>
      <c r="O85" s="17">
        <f t="shared" si="18"/>
        <v>99.353664612260033</v>
      </c>
      <c r="P85" s="17" t="str">
        <f t="shared" si="19"/>
        <v>No</v>
      </c>
    </row>
    <row r="86" spans="1:16" ht="15" customHeight="1" x14ac:dyDescent="0.25">
      <c r="A86" s="18">
        <v>46858</v>
      </c>
      <c r="B86" s="19">
        <v>3.75</v>
      </c>
      <c r="C86" s="19">
        <v>99.022000000000006</v>
      </c>
      <c r="D86" s="19">
        <v>99.031999999999996</v>
      </c>
      <c r="E86" s="20">
        <v>4.335</v>
      </c>
      <c r="F86" s="21">
        <f t="shared" si="10"/>
        <v>99.0703125</v>
      </c>
      <c r="G86" s="21">
        <f t="shared" si="11"/>
        <v>99.1015625</v>
      </c>
      <c r="H86" s="15">
        <f t="shared" si="12"/>
        <v>99.0859375</v>
      </c>
      <c r="I86" s="15">
        <f t="shared" si="13"/>
        <v>1.4549180327868851</v>
      </c>
      <c r="J86" s="16">
        <f t="shared" si="14"/>
        <v>100.54085553278688</v>
      </c>
      <c r="K86" s="16">
        <f t="shared" si="15"/>
        <v>1.6136986301369862</v>
      </c>
      <c r="L86" s="16">
        <f>SUMIF('Cash Flows'!$A$2:$A$5628,ROW(),'Cash Flows'!$E$2:$E$5628)</f>
        <v>100.58673200080744</v>
      </c>
      <c r="M86" s="16">
        <f t="shared" si="16"/>
        <v>4.5876468020566108E-2</v>
      </c>
      <c r="N86" s="16">
        <f t="shared" si="17"/>
        <v>4.5876468020566108E-2</v>
      </c>
      <c r="O86" s="17">
        <f t="shared" si="18"/>
        <v>99.131813968020566</v>
      </c>
      <c r="P86" s="17" t="str">
        <f t="shared" si="19"/>
        <v>No</v>
      </c>
    </row>
    <row r="87" spans="1:16" ht="15" customHeight="1" x14ac:dyDescent="0.25">
      <c r="A87" s="18">
        <v>46873</v>
      </c>
      <c r="B87" s="19">
        <v>1.25</v>
      </c>
      <c r="C87" s="19">
        <v>95.03</v>
      </c>
      <c r="D87" s="19">
        <v>95.04</v>
      </c>
      <c r="E87" s="20">
        <v>4.3540000000000001</v>
      </c>
      <c r="F87" s="21">
        <f t="shared" si="10"/>
        <v>95.09375</v>
      </c>
      <c r="G87" s="21">
        <f t="shared" si="11"/>
        <v>95.125</v>
      </c>
      <c r="H87" s="15">
        <f t="shared" si="12"/>
        <v>95.109375</v>
      </c>
      <c r="I87" s="15">
        <f t="shared" si="13"/>
        <v>0.43374316939890711</v>
      </c>
      <c r="J87" s="16">
        <f t="shared" si="14"/>
        <v>95.543118169398909</v>
      </c>
      <c r="K87" s="16">
        <f t="shared" si="15"/>
        <v>1.6547945205479453</v>
      </c>
      <c r="L87" s="16">
        <f>SUMIF('Cash Flows'!$A$2:$A$5628,ROW(),'Cash Flows'!$E$2:$E$5628)</f>
        <v>95.582749789001582</v>
      </c>
      <c r="M87" s="16">
        <f t="shared" si="16"/>
        <v>3.963161960267314E-2</v>
      </c>
      <c r="N87" s="16">
        <f t="shared" si="17"/>
        <v>3.963161960267314E-2</v>
      </c>
      <c r="O87" s="17">
        <f t="shared" si="18"/>
        <v>95.149006619602673</v>
      </c>
      <c r="P87" s="17" t="str">
        <f t="shared" si="19"/>
        <v>No</v>
      </c>
    </row>
    <row r="88" spans="1:16" ht="15" customHeight="1" x14ac:dyDescent="0.25">
      <c r="A88" s="18">
        <v>46873</v>
      </c>
      <c r="B88" s="19">
        <v>3.5</v>
      </c>
      <c r="C88" s="19">
        <v>98.203999999999994</v>
      </c>
      <c r="D88" s="19">
        <v>98.213999999999999</v>
      </c>
      <c r="E88" s="20">
        <v>4.343</v>
      </c>
      <c r="F88" s="21">
        <f t="shared" si="10"/>
        <v>98.640625</v>
      </c>
      <c r="G88" s="21">
        <f t="shared" si="11"/>
        <v>98.671875</v>
      </c>
      <c r="H88" s="15">
        <f t="shared" si="12"/>
        <v>98.65625</v>
      </c>
      <c r="I88" s="15">
        <f t="shared" si="13"/>
        <v>1.21448087431694</v>
      </c>
      <c r="J88" s="16">
        <f t="shared" si="14"/>
        <v>99.870730874316934</v>
      </c>
      <c r="K88" s="16">
        <f t="shared" si="15"/>
        <v>1.6547945205479453</v>
      </c>
      <c r="L88" s="16">
        <f>SUMIF('Cash Flows'!$A$2:$A$5628,ROW(),'Cash Flows'!$E$2:$E$5628)</f>
        <v>99.917235732704015</v>
      </c>
      <c r="M88" s="16">
        <f t="shared" si="16"/>
        <v>4.6504858387081072E-2</v>
      </c>
      <c r="N88" s="16">
        <f t="shared" si="17"/>
        <v>4.6504858387081072E-2</v>
      </c>
      <c r="O88" s="17">
        <f t="shared" si="18"/>
        <v>98.702754858387081</v>
      </c>
      <c r="P88" s="17" t="str">
        <f t="shared" si="19"/>
        <v>No</v>
      </c>
    </row>
    <row r="89" spans="1:16" ht="15" customHeight="1" x14ac:dyDescent="0.25">
      <c r="A89" s="18">
        <v>46873</v>
      </c>
      <c r="B89" s="19">
        <v>3.75</v>
      </c>
      <c r="C89" s="19">
        <v>99.007000000000005</v>
      </c>
      <c r="D89" s="19">
        <v>99.016999999999996</v>
      </c>
      <c r="E89" s="20">
        <v>4.3470000000000004</v>
      </c>
      <c r="F89" s="21">
        <f t="shared" si="10"/>
        <v>99.02734375</v>
      </c>
      <c r="G89" s="21">
        <f t="shared" si="11"/>
        <v>99.05859375</v>
      </c>
      <c r="H89" s="15">
        <f t="shared" si="12"/>
        <v>99.04296875</v>
      </c>
      <c r="I89" s="15">
        <f t="shared" si="13"/>
        <v>1.3012295081967213</v>
      </c>
      <c r="J89" s="16">
        <f t="shared" si="14"/>
        <v>100.34419825819673</v>
      </c>
      <c r="K89" s="16">
        <f t="shared" si="15"/>
        <v>1.6547945205479453</v>
      </c>
      <c r="L89" s="16">
        <f>SUMIF('Cash Flows'!$A$2:$A$5628,ROW(),'Cash Flows'!$E$2:$E$5628)</f>
        <v>100.39884528200429</v>
      </c>
      <c r="M89" s="16">
        <f t="shared" si="16"/>
        <v>5.4647023807561368E-2</v>
      </c>
      <c r="N89" s="16">
        <f t="shared" si="17"/>
        <v>5.4647023807561368E-2</v>
      </c>
      <c r="O89" s="17">
        <f t="shared" si="18"/>
        <v>99.097615773807561</v>
      </c>
      <c r="P89" s="17" t="str">
        <f t="shared" si="19"/>
        <v>No</v>
      </c>
    </row>
    <row r="90" spans="1:16" ht="15" customHeight="1" x14ac:dyDescent="0.25">
      <c r="A90" s="18">
        <v>46888</v>
      </c>
      <c r="B90" s="19">
        <v>2.875</v>
      </c>
      <c r="C90" s="19">
        <v>97.19</v>
      </c>
      <c r="D90" s="19">
        <v>97.2</v>
      </c>
      <c r="E90" s="20">
        <v>4.3499999999999996</v>
      </c>
      <c r="F90" s="21">
        <f t="shared" si="10"/>
        <v>97.59375</v>
      </c>
      <c r="G90" s="21">
        <f t="shared" si="11"/>
        <v>97.625</v>
      </c>
      <c r="H90" s="15">
        <f t="shared" si="12"/>
        <v>97.609375</v>
      </c>
      <c r="I90" s="15">
        <f t="shared" si="13"/>
        <v>0.875</v>
      </c>
      <c r="J90" s="16">
        <f t="shared" si="14"/>
        <v>98.484375</v>
      </c>
      <c r="K90" s="16">
        <f t="shared" si="15"/>
        <v>1.6958904109589041</v>
      </c>
      <c r="L90" s="16">
        <f>SUMIF('Cash Flows'!$A$2:$A$5628,ROW(),'Cash Flows'!$E$2:$E$5628)</f>
        <v>98.528773924938903</v>
      </c>
      <c r="M90" s="16">
        <f t="shared" si="16"/>
        <v>4.4398924938903406E-2</v>
      </c>
      <c r="N90" s="16">
        <f t="shared" si="17"/>
        <v>4.4398924938903406E-2</v>
      </c>
      <c r="O90" s="17">
        <f t="shared" si="18"/>
        <v>97.653773924938903</v>
      </c>
      <c r="P90" s="17" t="str">
        <f t="shared" si="19"/>
        <v>No</v>
      </c>
    </row>
    <row r="91" spans="1:16" ht="15" customHeight="1" x14ac:dyDescent="0.25">
      <c r="A91" s="18">
        <v>46888</v>
      </c>
      <c r="B91" s="19">
        <v>3.75</v>
      </c>
      <c r="C91" s="19">
        <v>99.006</v>
      </c>
      <c r="D91" s="19">
        <v>99.016000000000005</v>
      </c>
      <c r="E91" s="20">
        <v>4.335</v>
      </c>
      <c r="F91" s="21">
        <f t="shared" si="10"/>
        <v>99.0234375</v>
      </c>
      <c r="G91" s="21">
        <f t="shared" si="11"/>
        <v>99.0546875</v>
      </c>
      <c r="H91" s="15">
        <f t="shared" si="12"/>
        <v>99.0390625</v>
      </c>
      <c r="I91" s="15">
        <f t="shared" si="13"/>
        <v>1.1413043478260869</v>
      </c>
      <c r="J91" s="16">
        <f t="shared" si="14"/>
        <v>100.18036684782609</v>
      </c>
      <c r="K91" s="16">
        <f t="shared" si="15"/>
        <v>1.6958904109589041</v>
      </c>
      <c r="L91" s="16">
        <f>SUMIF('Cash Flows'!$A$2:$A$5628,ROW(),'Cash Flows'!$E$2:$E$5628)</f>
        <v>100.21143650880792</v>
      </c>
      <c r="M91" s="16">
        <f t="shared" si="16"/>
        <v>3.1069660981827951E-2</v>
      </c>
      <c r="N91" s="16">
        <f t="shared" si="17"/>
        <v>3.1069660981827951E-2</v>
      </c>
      <c r="O91" s="17">
        <f t="shared" si="18"/>
        <v>99.070132160981828</v>
      </c>
      <c r="P91" s="17" t="str">
        <f t="shared" si="19"/>
        <v>No</v>
      </c>
    </row>
    <row r="92" spans="1:16" ht="15" customHeight="1" x14ac:dyDescent="0.25">
      <c r="A92" s="18">
        <v>46904</v>
      </c>
      <c r="B92" s="19">
        <v>1.25</v>
      </c>
      <c r="C92" s="19">
        <v>94.272000000000006</v>
      </c>
      <c r="D92" s="19">
        <v>94.281999999999996</v>
      </c>
      <c r="E92" s="20">
        <v>4.3570000000000002</v>
      </c>
      <c r="F92" s="21">
        <f t="shared" si="10"/>
        <v>94.8515625</v>
      </c>
      <c r="G92" s="21">
        <f t="shared" si="11"/>
        <v>94.8828125</v>
      </c>
      <c r="H92" s="15">
        <f t="shared" si="12"/>
        <v>94.8671875</v>
      </c>
      <c r="I92" s="15">
        <f t="shared" si="13"/>
        <v>0.32786885245901637</v>
      </c>
      <c r="J92" s="16">
        <f t="shared" si="14"/>
        <v>95.195056352459019</v>
      </c>
      <c r="K92" s="16">
        <f t="shared" si="15"/>
        <v>1.7397260273972603</v>
      </c>
      <c r="L92" s="16">
        <f>SUMIF('Cash Flows'!$A$2:$A$5628,ROW(),'Cash Flows'!$E$2:$E$5628)</f>
        <v>95.213396792865538</v>
      </c>
      <c r="M92" s="16">
        <f t="shared" si="16"/>
        <v>1.834044040651861E-2</v>
      </c>
      <c r="N92" s="16">
        <f t="shared" si="17"/>
        <v>1.834044040651861E-2</v>
      </c>
      <c r="O92" s="17">
        <f t="shared" si="18"/>
        <v>94.885527940406519</v>
      </c>
      <c r="P92" s="17" t="str">
        <f t="shared" si="19"/>
        <v>No</v>
      </c>
    </row>
    <row r="93" spans="1:16" ht="15" customHeight="1" x14ac:dyDescent="0.25">
      <c r="A93" s="18">
        <v>46904</v>
      </c>
      <c r="B93" s="19">
        <v>3.625</v>
      </c>
      <c r="C93" s="19">
        <v>98.245999999999995</v>
      </c>
      <c r="D93" s="19">
        <v>98.256</v>
      </c>
      <c r="E93" s="20">
        <v>4.3479999999999999</v>
      </c>
      <c r="F93" s="21">
        <f t="shared" si="10"/>
        <v>98.7734375</v>
      </c>
      <c r="G93" s="21">
        <f t="shared" si="11"/>
        <v>98.8046875</v>
      </c>
      <c r="H93" s="15">
        <f t="shared" si="12"/>
        <v>98.7890625</v>
      </c>
      <c r="I93" s="15">
        <f t="shared" si="13"/>
        <v>0.95081967213114749</v>
      </c>
      <c r="J93" s="16">
        <f t="shared" si="14"/>
        <v>99.739882172131146</v>
      </c>
      <c r="K93" s="16">
        <f t="shared" si="15"/>
        <v>1.7397260273972603</v>
      </c>
      <c r="L93" s="16">
        <f>SUMIF('Cash Flows'!$A$2:$A$5628,ROW(),'Cash Flows'!$E$2:$E$5628)</f>
        <v>99.772269510244072</v>
      </c>
      <c r="M93" s="16">
        <f t="shared" si="16"/>
        <v>3.2387338112926045E-2</v>
      </c>
      <c r="N93" s="16">
        <f t="shared" si="17"/>
        <v>3.2387338112926045E-2</v>
      </c>
      <c r="O93" s="17">
        <f t="shared" si="18"/>
        <v>98.821449838112926</v>
      </c>
      <c r="P93" s="17" t="str">
        <f t="shared" si="19"/>
        <v>No</v>
      </c>
    </row>
    <row r="94" spans="1:16" ht="15" customHeight="1" x14ac:dyDescent="0.25">
      <c r="A94" s="18">
        <v>46904</v>
      </c>
      <c r="B94" s="19">
        <v>4</v>
      </c>
      <c r="C94" s="19">
        <v>99.126000000000005</v>
      </c>
      <c r="D94" s="19">
        <v>99.135999999999996</v>
      </c>
      <c r="E94" s="20">
        <v>4.343</v>
      </c>
      <c r="F94" s="21">
        <f t="shared" si="10"/>
        <v>99.3984375</v>
      </c>
      <c r="G94" s="21">
        <f t="shared" si="11"/>
        <v>99.4296875</v>
      </c>
      <c r="H94" s="15">
        <f t="shared" si="12"/>
        <v>99.4140625</v>
      </c>
      <c r="I94" s="15">
        <f t="shared" si="13"/>
        <v>1.0491803278688525</v>
      </c>
      <c r="J94" s="16">
        <f t="shared" si="14"/>
        <v>100.46324282786885</v>
      </c>
      <c r="K94" s="16">
        <f t="shared" si="15"/>
        <v>1.7397260273972603</v>
      </c>
      <c r="L94" s="16">
        <f>SUMIF('Cash Flows'!$A$2:$A$5628,ROW(),'Cash Flows'!$E$2:$E$5628)</f>
        <v>100.49209151825121</v>
      </c>
      <c r="M94" s="16">
        <f t="shared" si="16"/>
        <v>2.8848690382361042E-2</v>
      </c>
      <c r="N94" s="16">
        <f t="shared" si="17"/>
        <v>2.8848690382361042E-2</v>
      </c>
      <c r="O94" s="17">
        <f t="shared" si="18"/>
        <v>99.442911190382361</v>
      </c>
      <c r="P94" s="17" t="str">
        <f t="shared" si="19"/>
        <v>No</v>
      </c>
    </row>
    <row r="95" spans="1:16" ht="15" customHeight="1" x14ac:dyDescent="0.25">
      <c r="A95" s="18">
        <v>46919</v>
      </c>
      <c r="B95" s="19">
        <v>3.875</v>
      </c>
      <c r="C95" s="19">
        <v>99.05</v>
      </c>
      <c r="D95" s="19">
        <v>99.06</v>
      </c>
      <c r="E95" s="20">
        <v>4.3540000000000001</v>
      </c>
      <c r="F95" s="21">
        <f t="shared" si="10"/>
        <v>99.15625</v>
      </c>
      <c r="G95" s="21">
        <f t="shared" si="11"/>
        <v>99.1875</v>
      </c>
      <c r="H95" s="15">
        <f t="shared" si="12"/>
        <v>99.171875</v>
      </c>
      <c r="I95" s="15">
        <f t="shared" si="13"/>
        <v>0.85758196721311475</v>
      </c>
      <c r="J95" s="16">
        <f t="shared" si="14"/>
        <v>100.02945696721312</v>
      </c>
      <c r="K95" s="16">
        <f t="shared" si="15"/>
        <v>1.7808219178082192</v>
      </c>
      <c r="L95" s="16">
        <f>SUMIF('Cash Flows'!$A$2:$A$5628,ROW(),'Cash Flows'!$E$2:$E$5628)</f>
        <v>100.0644853501345</v>
      </c>
      <c r="M95" s="16">
        <f t="shared" si="16"/>
        <v>3.5028382921382217E-2</v>
      </c>
      <c r="N95" s="16">
        <f t="shared" si="17"/>
        <v>3.5028382921382217E-2</v>
      </c>
      <c r="O95" s="17">
        <f t="shared" si="18"/>
        <v>99.206903382921382</v>
      </c>
      <c r="P95" s="17" t="str">
        <f t="shared" si="19"/>
        <v>No</v>
      </c>
    </row>
    <row r="96" spans="1:16" ht="15" customHeight="1" x14ac:dyDescent="0.25">
      <c r="A96" s="18">
        <v>46934</v>
      </c>
      <c r="B96" s="19">
        <v>1.25</v>
      </c>
      <c r="C96" s="19">
        <v>94.191999999999993</v>
      </c>
      <c r="D96" s="19">
        <v>94.201999999999998</v>
      </c>
      <c r="E96" s="20">
        <v>4.3659999999999997</v>
      </c>
      <c r="F96" s="21">
        <f t="shared" si="10"/>
        <v>94.6015625</v>
      </c>
      <c r="G96" s="21">
        <f t="shared" si="11"/>
        <v>94.6328125</v>
      </c>
      <c r="H96" s="15">
        <f t="shared" si="12"/>
        <v>94.6171875</v>
      </c>
      <c r="I96" s="15">
        <f t="shared" si="13"/>
        <v>0.22540983606557377</v>
      </c>
      <c r="J96" s="16">
        <f t="shared" si="14"/>
        <v>94.84259733606558</v>
      </c>
      <c r="K96" s="16">
        <f t="shared" si="15"/>
        <v>1.821917808219178</v>
      </c>
      <c r="L96" s="16">
        <f>SUMIF('Cash Flows'!$A$2:$A$5628,ROW(),'Cash Flows'!$E$2:$E$5628)</f>
        <v>94.855967450173978</v>
      </c>
      <c r="M96" s="16">
        <f t="shared" si="16"/>
        <v>1.3370114108397502E-2</v>
      </c>
      <c r="N96" s="16">
        <f t="shared" si="17"/>
        <v>1.3370114108397502E-2</v>
      </c>
      <c r="O96" s="17">
        <f t="shared" si="18"/>
        <v>94.630557614108398</v>
      </c>
      <c r="P96" s="17" t="str">
        <f t="shared" si="19"/>
        <v>Yes</v>
      </c>
    </row>
    <row r="97" spans="1:16" ht="15" customHeight="1" x14ac:dyDescent="0.25">
      <c r="A97" s="18">
        <v>46934</v>
      </c>
      <c r="B97" s="19">
        <v>4</v>
      </c>
      <c r="C97" s="19">
        <v>99.11</v>
      </c>
      <c r="D97" s="19">
        <v>99.12</v>
      </c>
      <c r="E97" s="20">
        <v>4.3600000000000003</v>
      </c>
      <c r="F97" s="21">
        <f t="shared" si="10"/>
        <v>99.34375</v>
      </c>
      <c r="G97" s="21">
        <f t="shared" si="11"/>
        <v>99.375</v>
      </c>
      <c r="H97" s="15">
        <f t="shared" si="12"/>
        <v>99.359375</v>
      </c>
      <c r="I97" s="15">
        <f t="shared" si="13"/>
        <v>0.72131147540983609</v>
      </c>
      <c r="J97" s="16">
        <f t="shared" si="14"/>
        <v>100.08068647540983</v>
      </c>
      <c r="K97" s="16">
        <f t="shared" si="15"/>
        <v>1.821917808219178</v>
      </c>
      <c r="L97" s="16">
        <f>SUMIF('Cash Flows'!$A$2:$A$5628,ROW(),'Cash Flows'!$E$2:$E$5628)</f>
        <v>100.11556814678438</v>
      </c>
      <c r="M97" s="16">
        <f t="shared" si="16"/>
        <v>3.4881671374549228E-2</v>
      </c>
      <c r="N97" s="16">
        <f t="shared" si="17"/>
        <v>3.4881671374549228E-2</v>
      </c>
      <c r="O97" s="17">
        <f t="shared" si="18"/>
        <v>99.394256671374549</v>
      </c>
      <c r="P97" s="17" t="str">
        <f t="shared" si="19"/>
        <v>No</v>
      </c>
    </row>
    <row r="98" spans="1:16" ht="15" customHeight="1" x14ac:dyDescent="0.25">
      <c r="A98" s="18">
        <v>46934</v>
      </c>
      <c r="B98" s="19">
        <v>4.125</v>
      </c>
      <c r="C98" s="19">
        <v>99.176000000000002</v>
      </c>
      <c r="D98" s="19">
        <v>99.186000000000007</v>
      </c>
      <c r="E98" s="20">
        <v>4.3620000000000001</v>
      </c>
      <c r="F98" s="21">
        <f t="shared" si="10"/>
        <v>99.5546875</v>
      </c>
      <c r="G98" s="21">
        <f t="shared" si="11"/>
        <v>99.5859375</v>
      </c>
      <c r="H98" s="15">
        <f t="shared" si="12"/>
        <v>99.5703125</v>
      </c>
      <c r="I98" s="15">
        <f t="shared" si="13"/>
        <v>0.74385245901639341</v>
      </c>
      <c r="J98" s="16">
        <f t="shared" si="14"/>
        <v>100.3141649590164</v>
      </c>
      <c r="K98" s="16">
        <f t="shared" si="15"/>
        <v>1.821917808219178</v>
      </c>
      <c r="L98" s="16">
        <f>SUMIF('Cash Flows'!$A$2:$A$5628,ROW(),'Cash Flows'!$E$2:$E$5628)</f>
        <v>100.35464090572121</v>
      </c>
      <c r="M98" s="16">
        <f t="shared" si="16"/>
        <v>4.0475946704816579E-2</v>
      </c>
      <c r="N98" s="16">
        <f t="shared" si="17"/>
        <v>4.0475946704816579E-2</v>
      </c>
      <c r="O98" s="17">
        <f t="shared" si="18"/>
        <v>99.610788446704817</v>
      </c>
      <c r="P98" s="17" t="str">
        <f t="shared" si="19"/>
        <v>No</v>
      </c>
    </row>
    <row r="99" spans="1:16" ht="15" customHeight="1" x14ac:dyDescent="0.25">
      <c r="A99" s="18">
        <v>46949</v>
      </c>
      <c r="B99" s="19">
        <v>3.875</v>
      </c>
      <c r="C99" s="19">
        <v>99.03</v>
      </c>
      <c r="D99" s="19">
        <v>99.04</v>
      </c>
      <c r="E99" s="20">
        <v>4.37</v>
      </c>
      <c r="F99" s="21">
        <f t="shared" si="10"/>
        <v>99.09375</v>
      </c>
      <c r="G99" s="21">
        <f t="shared" si="11"/>
        <v>99.125</v>
      </c>
      <c r="H99" s="15">
        <f t="shared" si="12"/>
        <v>99.109375</v>
      </c>
      <c r="I99" s="15">
        <f t="shared" si="13"/>
        <v>0.53702445652173914</v>
      </c>
      <c r="J99" s="16">
        <f t="shared" si="14"/>
        <v>99.646399456521735</v>
      </c>
      <c r="K99" s="16">
        <f t="shared" si="15"/>
        <v>1.8630136986301369</v>
      </c>
      <c r="L99" s="16">
        <f>SUMIF('Cash Flows'!$A$2:$A$5628,ROW(),'Cash Flows'!$E$2:$E$5628)</f>
        <v>99.689057088712161</v>
      </c>
      <c r="M99" s="16">
        <f t="shared" si="16"/>
        <v>4.2657632190426398E-2</v>
      </c>
      <c r="N99" s="16">
        <f t="shared" si="17"/>
        <v>4.2657632190426398E-2</v>
      </c>
      <c r="O99" s="17">
        <f t="shared" si="18"/>
        <v>99.152032632190426</v>
      </c>
      <c r="P99" s="17" t="str">
        <f t="shared" si="19"/>
        <v>No</v>
      </c>
    </row>
    <row r="100" spans="1:16" ht="15" customHeight="1" x14ac:dyDescent="0.25">
      <c r="A100" s="18">
        <v>46965</v>
      </c>
      <c r="B100" s="19">
        <v>1</v>
      </c>
      <c r="C100" s="19">
        <v>93.286000000000001</v>
      </c>
      <c r="D100" s="19">
        <v>93.296000000000006</v>
      </c>
      <c r="E100" s="20">
        <v>4.3739999999999997</v>
      </c>
      <c r="F100" s="21">
        <f t="shared" si="10"/>
        <v>93.8984375</v>
      </c>
      <c r="G100" s="21">
        <f t="shared" si="11"/>
        <v>93.9296875</v>
      </c>
      <c r="H100" s="15">
        <f t="shared" si="12"/>
        <v>93.9140625</v>
      </c>
      <c r="I100" s="15">
        <f t="shared" si="13"/>
        <v>9.5108695652173919E-2</v>
      </c>
      <c r="J100" s="16">
        <f t="shared" si="14"/>
        <v>94.009171195652172</v>
      </c>
      <c r="K100" s="16">
        <f t="shared" si="15"/>
        <v>1.9068493150684931</v>
      </c>
      <c r="L100" s="16">
        <f>SUMIF('Cash Flows'!$A$2:$A$5628,ROW(),'Cash Flows'!$E$2:$E$5628)</f>
        <v>94.01115429471632</v>
      </c>
      <c r="M100" s="16">
        <f t="shared" si="16"/>
        <v>1.9830990641480639E-3</v>
      </c>
      <c r="N100" s="16">
        <f t="shared" si="17"/>
        <v>1.9830990641480639E-3</v>
      </c>
      <c r="O100" s="17">
        <f t="shared" si="18"/>
        <v>93.916045599064148</v>
      </c>
      <c r="P100" s="17" t="str">
        <f t="shared" si="19"/>
        <v>Yes</v>
      </c>
    </row>
    <row r="101" spans="1:16" ht="15" customHeight="1" x14ac:dyDescent="0.25">
      <c r="A101" s="18">
        <v>46965</v>
      </c>
      <c r="B101" s="19">
        <v>4.125</v>
      </c>
      <c r="C101" s="19">
        <v>99.171999999999997</v>
      </c>
      <c r="D101" s="19">
        <v>99.182000000000002</v>
      </c>
      <c r="E101" s="20">
        <v>4.3620000000000001</v>
      </c>
      <c r="F101" s="21">
        <f t="shared" si="10"/>
        <v>99.5390625</v>
      </c>
      <c r="G101" s="21">
        <f t="shared" si="11"/>
        <v>99.5703125</v>
      </c>
      <c r="H101" s="15">
        <f t="shared" si="12"/>
        <v>99.5546875</v>
      </c>
      <c r="I101" s="15">
        <f t="shared" si="13"/>
        <v>0.39232336956521741</v>
      </c>
      <c r="J101" s="16">
        <f t="shared" si="14"/>
        <v>99.947010869565219</v>
      </c>
      <c r="K101" s="16">
        <f t="shared" si="15"/>
        <v>1.9068493150684931</v>
      </c>
      <c r="L101" s="16">
        <f>SUMIF('Cash Flows'!$A$2:$A$5628,ROW(),'Cash Flows'!$E$2:$E$5628)</f>
        <v>99.965831017073228</v>
      </c>
      <c r="M101" s="16">
        <f t="shared" si="16"/>
        <v>1.88201475080092E-2</v>
      </c>
      <c r="N101" s="16">
        <f t="shared" si="17"/>
        <v>1.88201475080092E-2</v>
      </c>
      <c r="O101" s="17">
        <f t="shared" si="18"/>
        <v>99.573507647508009</v>
      </c>
      <c r="P101" s="17" t="str">
        <f t="shared" si="19"/>
        <v>No</v>
      </c>
    </row>
    <row r="102" spans="1:16" ht="15" customHeight="1" x14ac:dyDescent="0.25">
      <c r="A102" s="18">
        <v>46965</v>
      </c>
      <c r="B102" s="19">
        <v>4.25</v>
      </c>
      <c r="C102" s="19">
        <v>99.242000000000004</v>
      </c>
      <c r="D102" s="19">
        <v>99.251999999999995</v>
      </c>
      <c r="E102" s="20">
        <v>4.3650000000000002</v>
      </c>
      <c r="F102" s="21">
        <f t="shared" si="10"/>
        <v>99.7578125</v>
      </c>
      <c r="G102" s="21">
        <f t="shared" si="11"/>
        <v>99.7890625</v>
      </c>
      <c r="H102" s="15">
        <f t="shared" si="12"/>
        <v>99.7734375</v>
      </c>
      <c r="I102" s="15">
        <f t="shared" si="13"/>
        <v>0.40421195652173914</v>
      </c>
      <c r="J102" s="16">
        <f t="shared" si="14"/>
        <v>100.17764945652173</v>
      </c>
      <c r="K102" s="16">
        <f t="shared" si="15"/>
        <v>1.9068493150684931</v>
      </c>
      <c r="L102" s="16">
        <f>SUMIF('Cash Flows'!$A$2:$A$5628,ROW(),'Cash Flows'!$E$2:$E$5628)</f>
        <v>100.2040180859675</v>
      </c>
      <c r="M102" s="16">
        <f t="shared" si="16"/>
        <v>2.6368629445769898E-2</v>
      </c>
      <c r="N102" s="16">
        <f t="shared" si="17"/>
        <v>2.6368629445769898E-2</v>
      </c>
      <c r="O102" s="17">
        <f t="shared" si="18"/>
        <v>99.79980612944577</v>
      </c>
      <c r="P102" s="17" t="str">
        <f t="shared" si="19"/>
        <v>No</v>
      </c>
    </row>
    <row r="103" spans="1:16" ht="15" customHeight="1" x14ac:dyDescent="0.25">
      <c r="A103" s="18">
        <v>46980</v>
      </c>
      <c r="B103" s="19">
        <v>2.875</v>
      </c>
      <c r="C103" s="19">
        <v>97.073999999999998</v>
      </c>
      <c r="D103" s="19">
        <v>97.084000000000003</v>
      </c>
      <c r="E103" s="20">
        <v>4.3630000000000004</v>
      </c>
      <c r="F103" s="21">
        <f t="shared" si="10"/>
        <v>97.234375</v>
      </c>
      <c r="G103" s="21">
        <f t="shared" si="11"/>
        <v>97.265625</v>
      </c>
      <c r="H103" s="15">
        <f t="shared" si="12"/>
        <v>97.25</v>
      </c>
      <c r="I103" s="15">
        <f t="shared" si="13"/>
        <v>0.15625</v>
      </c>
      <c r="J103" s="16">
        <f t="shared" si="14"/>
        <v>97.40625</v>
      </c>
      <c r="K103" s="16">
        <f t="shared" si="15"/>
        <v>1.9479452054794522</v>
      </c>
      <c r="L103" s="16">
        <f>SUMIF('Cash Flows'!$A$2:$A$5628,ROW(),'Cash Flows'!$E$2:$E$5628)</f>
        <v>97.400260308402238</v>
      </c>
      <c r="M103" s="16">
        <f t="shared" si="16"/>
        <v>-5.9896915977617482E-3</v>
      </c>
      <c r="N103" s="16">
        <f t="shared" si="17"/>
        <v>5.9896915977617482E-3</v>
      </c>
      <c r="O103" s="17">
        <f t="shared" si="18"/>
        <v>97.244010308402238</v>
      </c>
      <c r="P103" s="17" t="str">
        <f t="shared" si="19"/>
        <v>Yes</v>
      </c>
    </row>
    <row r="104" spans="1:16" ht="15" customHeight="1" x14ac:dyDescent="0.25">
      <c r="A104" s="18">
        <v>46980</v>
      </c>
      <c r="B104" s="19">
        <v>3.625</v>
      </c>
      <c r="C104" s="19">
        <v>98.19</v>
      </c>
      <c r="D104" s="19">
        <v>98.2</v>
      </c>
      <c r="E104" s="20">
        <v>4.3730000000000002</v>
      </c>
      <c r="F104" s="21">
        <f t="shared" si="10"/>
        <v>98.59375</v>
      </c>
      <c r="G104" s="21">
        <f t="shared" si="11"/>
        <v>98.625</v>
      </c>
      <c r="H104" s="15">
        <f t="shared" si="12"/>
        <v>98.609375</v>
      </c>
      <c r="I104" s="15">
        <f t="shared" si="13"/>
        <v>0.19701086956521738</v>
      </c>
      <c r="J104" s="16">
        <f t="shared" si="14"/>
        <v>98.806385869565219</v>
      </c>
      <c r="K104" s="16">
        <f t="shared" si="15"/>
        <v>1.9479452054794522</v>
      </c>
      <c r="L104" s="16">
        <f>SUMIF('Cash Flows'!$A$2:$A$5628,ROW(),'Cash Flows'!$E$2:$E$5628)</f>
        <v>98.826803659227622</v>
      </c>
      <c r="M104" s="16">
        <f t="shared" si="16"/>
        <v>2.0417789662403152E-2</v>
      </c>
      <c r="N104" s="16">
        <f t="shared" si="17"/>
        <v>2.0417789662403152E-2</v>
      </c>
      <c r="O104" s="17">
        <f t="shared" si="18"/>
        <v>98.629792789662403</v>
      </c>
      <c r="P104" s="17" t="str">
        <f t="shared" si="19"/>
        <v>No</v>
      </c>
    </row>
    <row r="105" spans="1:16" ht="15" customHeight="1" x14ac:dyDescent="0.25">
      <c r="A105" s="18">
        <v>46980</v>
      </c>
      <c r="B105" s="19">
        <v>5.5</v>
      </c>
      <c r="C105" s="19">
        <v>101.316</v>
      </c>
      <c r="D105" s="19">
        <v>102.006</v>
      </c>
      <c r="E105" s="20">
        <v>4.3959999999999999</v>
      </c>
      <c r="F105" s="21">
        <f t="shared" si="10"/>
        <v>101.9921875</v>
      </c>
      <c r="G105" s="21">
        <f t="shared" si="11"/>
        <v>102.0234375</v>
      </c>
      <c r="H105" s="15">
        <f t="shared" si="12"/>
        <v>102.0078125</v>
      </c>
      <c r="I105" s="15">
        <f t="shared" si="13"/>
        <v>0.29891304347826086</v>
      </c>
      <c r="J105" s="16">
        <f t="shared" si="14"/>
        <v>102.30672554347827</v>
      </c>
      <c r="K105" s="16">
        <f t="shared" si="15"/>
        <v>1.9479452054794522</v>
      </c>
      <c r="L105" s="16">
        <f>SUMIF('Cash Flows'!$A$2:$A$5628,ROW(),'Cash Flows'!$E$2:$E$5628)</f>
        <v>102.39316203629105</v>
      </c>
      <c r="M105" s="16">
        <f t="shared" si="16"/>
        <v>8.6436492812779875E-2</v>
      </c>
      <c r="N105" s="16">
        <f t="shared" si="17"/>
        <v>8.6436492812779875E-2</v>
      </c>
      <c r="O105" s="17">
        <f t="shared" si="18"/>
        <v>102.09424899281278</v>
      </c>
      <c r="P105" s="17" t="str">
        <f t="shared" si="19"/>
        <v>No</v>
      </c>
    </row>
    <row r="106" spans="1:16" ht="15" customHeight="1" x14ac:dyDescent="0.25">
      <c r="A106" s="18">
        <v>46996</v>
      </c>
      <c r="B106" s="19">
        <v>1.125</v>
      </c>
      <c r="C106" s="19">
        <v>93.275999999999996</v>
      </c>
      <c r="D106" s="19">
        <v>93.286000000000001</v>
      </c>
      <c r="E106" s="20">
        <v>4.3789999999999996</v>
      </c>
      <c r="F106" s="21">
        <f t="shared" si="10"/>
        <v>93.8671875</v>
      </c>
      <c r="G106" s="21">
        <f t="shared" si="11"/>
        <v>93.8984375</v>
      </c>
      <c r="H106" s="15">
        <f t="shared" si="12"/>
        <v>93.8828125</v>
      </c>
      <c r="I106" s="15">
        <f t="shared" si="13"/>
        <v>1.2430939226519336E-2</v>
      </c>
      <c r="J106" s="16">
        <f t="shared" si="14"/>
        <v>93.895243439226519</v>
      </c>
      <c r="K106" s="16">
        <f t="shared" si="15"/>
        <v>1.9917808219178081</v>
      </c>
      <c r="L106" s="16">
        <f>SUMIF('Cash Flows'!$A$2:$A$5628,ROW(),'Cash Flows'!$E$2:$E$5628)</f>
        <v>93.88239460492855</v>
      </c>
      <c r="M106" s="16">
        <f t="shared" si="16"/>
        <v>-1.2848834297969347E-2</v>
      </c>
      <c r="N106" s="16">
        <f t="shared" si="17"/>
        <v>1.2848834297969347E-2</v>
      </c>
      <c r="O106" s="17">
        <f t="shared" si="18"/>
        <v>93.869963665702031</v>
      </c>
      <c r="P106" s="17" t="str">
        <f t="shared" si="19"/>
        <v>Yes</v>
      </c>
    </row>
    <row r="107" spans="1:16" ht="15" customHeight="1" x14ac:dyDescent="0.25">
      <c r="A107" s="18">
        <v>46996</v>
      </c>
      <c r="B107" s="19">
        <v>4.125</v>
      </c>
      <c r="C107" s="19">
        <v>99.162999999999997</v>
      </c>
      <c r="D107" s="19">
        <v>99.173000000000002</v>
      </c>
      <c r="E107" s="20">
        <v>4.3680000000000003</v>
      </c>
      <c r="F107" s="21">
        <f t="shared" si="10"/>
        <v>99.51171875</v>
      </c>
      <c r="G107" s="21">
        <f t="shared" si="11"/>
        <v>99.54296875</v>
      </c>
      <c r="H107" s="15">
        <f t="shared" si="12"/>
        <v>99.52734375</v>
      </c>
      <c r="I107" s="15">
        <f t="shared" si="13"/>
        <v>4.5580110497237571E-2</v>
      </c>
      <c r="J107" s="16">
        <f t="shared" si="14"/>
        <v>99.572923860497241</v>
      </c>
      <c r="K107" s="16">
        <f t="shared" si="15"/>
        <v>1.9917808219178081</v>
      </c>
      <c r="L107" s="16">
        <f>SUMIF('Cash Flows'!$A$2:$A$5628,ROW(),'Cash Flows'!$E$2:$E$5628)</f>
        <v>99.578396948981904</v>
      </c>
      <c r="M107" s="16">
        <f t="shared" si="16"/>
        <v>5.4730884846634353E-3</v>
      </c>
      <c r="N107" s="16">
        <f t="shared" si="17"/>
        <v>5.4730884846634353E-3</v>
      </c>
      <c r="O107" s="17">
        <f t="shared" si="18"/>
        <v>99.532816838484663</v>
      </c>
      <c r="P107" s="17" t="str">
        <f t="shared" si="19"/>
        <v>Yes</v>
      </c>
    </row>
    <row r="108" spans="1:16" ht="15" customHeight="1" x14ac:dyDescent="0.25">
      <c r="A108" s="18">
        <v>46996</v>
      </c>
      <c r="B108" s="19">
        <v>4.375</v>
      </c>
      <c r="C108" s="19">
        <v>99.311999999999998</v>
      </c>
      <c r="D108" s="19">
        <v>100.002</v>
      </c>
      <c r="E108" s="20">
        <v>4.37</v>
      </c>
      <c r="F108" s="21">
        <f t="shared" si="10"/>
        <v>99.9765625</v>
      </c>
      <c r="G108" s="21">
        <f t="shared" si="11"/>
        <v>100.0078125</v>
      </c>
      <c r="H108" s="15">
        <f t="shared" si="12"/>
        <v>99.9921875</v>
      </c>
      <c r="I108" s="15">
        <f t="shared" si="13"/>
        <v>4.834254143646409E-2</v>
      </c>
      <c r="J108" s="16">
        <f t="shared" si="14"/>
        <v>100.04053004143647</v>
      </c>
      <c r="K108" s="16">
        <f t="shared" si="15"/>
        <v>1.9917808219178081</v>
      </c>
      <c r="L108" s="16">
        <f>SUMIF('Cash Flows'!$A$2:$A$5628,ROW(),'Cash Flows'!$E$2:$E$5628)</f>
        <v>100.05306381098634</v>
      </c>
      <c r="M108" s="16">
        <f t="shared" si="16"/>
        <v>1.2533769549875728E-2</v>
      </c>
      <c r="N108" s="16">
        <f t="shared" si="17"/>
        <v>1.2533769549875728E-2</v>
      </c>
      <c r="O108" s="17">
        <f t="shared" si="18"/>
        <v>100.00472126954988</v>
      </c>
      <c r="P108" s="17" t="str">
        <f t="shared" si="19"/>
        <v>Yes</v>
      </c>
    </row>
    <row r="109" spans="1:16" ht="15" customHeight="1" x14ac:dyDescent="0.25">
      <c r="A109" s="18">
        <v>47011</v>
      </c>
      <c r="B109" s="19">
        <v>3.375</v>
      </c>
      <c r="C109" s="19">
        <v>98.013999999999996</v>
      </c>
      <c r="D109" s="19">
        <v>98.024000000000001</v>
      </c>
      <c r="E109" s="20">
        <v>4.38</v>
      </c>
      <c r="F109" s="21">
        <f t="shared" si="10"/>
        <v>98.046875</v>
      </c>
      <c r="G109" s="21">
        <f t="shared" si="11"/>
        <v>98.078125</v>
      </c>
      <c r="H109" s="15">
        <f t="shared" si="12"/>
        <v>98.0625</v>
      </c>
      <c r="I109" s="15">
        <f t="shared" si="13"/>
        <v>1.5866168478260869</v>
      </c>
      <c r="J109" s="16">
        <f t="shared" si="14"/>
        <v>99.649116847826093</v>
      </c>
      <c r="K109" s="16">
        <f t="shared" si="15"/>
        <v>2.032876712328767</v>
      </c>
      <c r="L109" s="16">
        <f>SUMIF('Cash Flows'!$A$2:$A$5628,ROW(),'Cash Flows'!$E$2:$E$5628)</f>
        <v>99.654933983780552</v>
      </c>
      <c r="M109" s="16">
        <f t="shared" si="16"/>
        <v>5.8171359544587631E-3</v>
      </c>
      <c r="N109" s="16">
        <f t="shared" si="17"/>
        <v>5.8171359544587631E-3</v>
      </c>
      <c r="O109" s="17">
        <f t="shared" si="18"/>
        <v>98.068317135954459</v>
      </c>
      <c r="P109" s="17" t="str">
        <f t="shared" si="19"/>
        <v>Yes</v>
      </c>
    </row>
    <row r="110" spans="1:16" ht="15" customHeight="1" x14ac:dyDescent="0.25">
      <c r="A110" s="18">
        <v>47026</v>
      </c>
      <c r="B110" s="19">
        <v>1.25</v>
      </c>
      <c r="C110" s="19">
        <v>93.275999999999996</v>
      </c>
      <c r="D110" s="19">
        <v>93.286000000000001</v>
      </c>
      <c r="E110" s="20">
        <v>4.3789999999999996</v>
      </c>
      <c r="F110" s="21">
        <f t="shared" si="10"/>
        <v>93.8671875</v>
      </c>
      <c r="G110" s="21">
        <f t="shared" si="11"/>
        <v>93.8984375</v>
      </c>
      <c r="H110" s="15">
        <f t="shared" si="12"/>
        <v>93.8828125</v>
      </c>
      <c r="I110" s="15">
        <f t="shared" si="13"/>
        <v>0.53620218579234968</v>
      </c>
      <c r="J110" s="16">
        <f t="shared" si="14"/>
        <v>94.419014685792348</v>
      </c>
      <c r="K110" s="16">
        <f t="shared" si="15"/>
        <v>2.0739726027397261</v>
      </c>
      <c r="L110" s="16">
        <f>SUMIF('Cash Flows'!$A$2:$A$5628,ROW(),'Cash Flows'!$E$2:$E$5628)</f>
        <v>94.387649307337028</v>
      </c>
      <c r="M110" s="16">
        <f t="shared" si="16"/>
        <v>-3.1365378455319615E-2</v>
      </c>
      <c r="N110" s="16">
        <f t="shared" si="17"/>
        <v>3.1365378455319615E-2</v>
      </c>
      <c r="O110" s="17">
        <f t="shared" si="18"/>
        <v>93.85144712154468</v>
      </c>
      <c r="P110" s="17" t="str">
        <f t="shared" si="19"/>
        <v>No</v>
      </c>
    </row>
    <row r="111" spans="1:16" ht="15" customHeight="1" x14ac:dyDescent="0.25">
      <c r="A111" s="18">
        <v>47026</v>
      </c>
      <c r="B111" s="19">
        <v>4.625</v>
      </c>
      <c r="C111" s="19">
        <v>100.136</v>
      </c>
      <c r="D111" s="19">
        <v>100.146</v>
      </c>
      <c r="E111" s="20">
        <v>4.3869999999999996</v>
      </c>
      <c r="F111" s="21">
        <f t="shared" si="10"/>
        <v>100.4296875</v>
      </c>
      <c r="G111" s="21">
        <f t="shared" si="11"/>
        <v>100.4609375</v>
      </c>
      <c r="H111" s="15">
        <f t="shared" si="12"/>
        <v>100.4453125</v>
      </c>
      <c r="I111" s="15">
        <f t="shared" si="13"/>
        <v>1.9839480874316939</v>
      </c>
      <c r="J111" s="16">
        <f t="shared" si="14"/>
        <v>102.4292605874317</v>
      </c>
      <c r="K111" s="16">
        <f t="shared" si="15"/>
        <v>2.0739726027397261</v>
      </c>
      <c r="L111" s="16">
        <f>SUMIF('Cash Flows'!$A$2:$A$5628,ROW(),'Cash Flows'!$E$2:$E$5628)</f>
        <v>102.4549471335819</v>
      </c>
      <c r="M111" s="16">
        <f t="shared" si="16"/>
        <v>2.5686546150197387E-2</v>
      </c>
      <c r="N111" s="16">
        <f t="shared" si="17"/>
        <v>2.5686546150197387E-2</v>
      </c>
      <c r="O111" s="17">
        <f t="shared" si="18"/>
        <v>100.4709990461502</v>
      </c>
      <c r="P111" s="17" t="str">
        <f t="shared" si="19"/>
        <v>No</v>
      </c>
    </row>
    <row r="112" spans="1:16" ht="15" customHeight="1" x14ac:dyDescent="0.25">
      <c r="A112" s="18">
        <v>47041</v>
      </c>
      <c r="B112" s="19">
        <v>3.5</v>
      </c>
      <c r="C112" s="19">
        <v>98.061999999999998</v>
      </c>
      <c r="D112" s="19">
        <v>98.072000000000003</v>
      </c>
      <c r="E112" s="20">
        <v>4.391</v>
      </c>
      <c r="F112" s="21">
        <f t="shared" si="10"/>
        <v>98.1953125</v>
      </c>
      <c r="G112" s="21">
        <f t="shared" si="11"/>
        <v>98.2265625</v>
      </c>
      <c r="H112" s="15">
        <f t="shared" si="12"/>
        <v>98.2109375</v>
      </c>
      <c r="I112" s="15">
        <f t="shared" si="13"/>
        <v>1.3579234972677596</v>
      </c>
      <c r="J112" s="16">
        <f t="shared" si="14"/>
        <v>99.568860997267763</v>
      </c>
      <c r="K112" s="16">
        <f t="shared" si="15"/>
        <v>2.1150684931506851</v>
      </c>
      <c r="L112" s="16">
        <f>SUMIF('Cash Flows'!$A$2:$A$5628,ROW(),'Cash Flows'!$E$2:$E$5628)</f>
        <v>99.578011469478568</v>
      </c>
      <c r="M112" s="16">
        <f t="shared" si="16"/>
        <v>9.1504722108055603E-3</v>
      </c>
      <c r="N112" s="16">
        <f t="shared" si="17"/>
        <v>9.1504722108055603E-3</v>
      </c>
      <c r="O112" s="17">
        <f t="shared" si="18"/>
        <v>98.220087972210806</v>
      </c>
      <c r="P112" s="17" t="str">
        <f t="shared" si="19"/>
        <v>Yes</v>
      </c>
    </row>
    <row r="113" spans="1:16" ht="15" customHeight="1" x14ac:dyDescent="0.25">
      <c r="A113" s="18">
        <v>47057</v>
      </c>
      <c r="B113" s="19">
        <v>1.375</v>
      </c>
      <c r="C113" s="19">
        <v>93.275999999999996</v>
      </c>
      <c r="D113" s="19">
        <v>93.286000000000001</v>
      </c>
      <c r="E113" s="20">
        <v>4.3869999999999996</v>
      </c>
      <c r="F113" s="21">
        <f t="shared" si="10"/>
        <v>93.8671875</v>
      </c>
      <c r="G113" s="21">
        <f t="shared" si="11"/>
        <v>93.8984375</v>
      </c>
      <c r="H113" s="15">
        <f t="shared" si="12"/>
        <v>93.8828125</v>
      </c>
      <c r="I113" s="15">
        <f t="shared" si="13"/>
        <v>0.4771174863387978</v>
      </c>
      <c r="J113" s="16">
        <f t="shared" si="14"/>
        <v>94.359929986338798</v>
      </c>
      <c r="K113" s="16">
        <f t="shared" si="15"/>
        <v>2.1589041095890411</v>
      </c>
      <c r="L113" s="16">
        <f>SUMIF('Cash Flows'!$A$2:$A$5628,ROW(),'Cash Flows'!$E$2:$E$5628)</f>
        <v>94.31741997659536</v>
      </c>
      <c r="M113" s="16">
        <f t="shared" si="16"/>
        <v>-4.2510009743438104E-2</v>
      </c>
      <c r="N113" s="16">
        <f t="shared" si="17"/>
        <v>4.2510009743438104E-2</v>
      </c>
      <c r="O113" s="17">
        <f t="shared" si="18"/>
        <v>93.840302490256562</v>
      </c>
      <c r="P113" s="17" t="str">
        <f t="shared" si="19"/>
        <v>No</v>
      </c>
    </row>
    <row r="114" spans="1:16" ht="15" customHeight="1" x14ac:dyDescent="0.25">
      <c r="A114" s="18">
        <v>47057</v>
      </c>
      <c r="B114" s="19">
        <v>4.875</v>
      </c>
      <c r="C114" s="19">
        <v>100.304</v>
      </c>
      <c r="D114" s="19">
        <v>100.31399999999999</v>
      </c>
      <c r="E114" s="20">
        <v>4.3860000000000001</v>
      </c>
      <c r="F114" s="21">
        <f t="shared" si="10"/>
        <v>100.953125</v>
      </c>
      <c r="G114" s="21">
        <f t="shared" si="11"/>
        <v>100.984375</v>
      </c>
      <c r="H114" s="15">
        <f t="shared" si="12"/>
        <v>100.96875</v>
      </c>
      <c r="I114" s="15">
        <f t="shared" si="13"/>
        <v>1.6915983606557377</v>
      </c>
      <c r="J114" s="16">
        <f t="shared" si="14"/>
        <v>102.66034836065573</v>
      </c>
      <c r="K114" s="16">
        <f t="shared" si="15"/>
        <v>2.1589041095890411</v>
      </c>
      <c r="L114" s="16">
        <f>SUMIF('Cash Flows'!$A$2:$A$5628,ROW(),'Cash Flows'!$E$2:$E$5628)</f>
        <v>102.6532000285325</v>
      </c>
      <c r="M114" s="16">
        <f t="shared" si="16"/>
        <v>-7.1483321232364005E-3</v>
      </c>
      <c r="N114" s="16">
        <f t="shared" si="17"/>
        <v>7.1483321232364005E-3</v>
      </c>
      <c r="O114" s="17">
        <f t="shared" si="18"/>
        <v>100.96160166787676</v>
      </c>
      <c r="P114" s="17" t="str">
        <f t="shared" si="19"/>
        <v>Yes</v>
      </c>
    </row>
    <row r="115" spans="1:16" ht="15" customHeight="1" x14ac:dyDescent="0.25">
      <c r="A115" s="18">
        <v>47072</v>
      </c>
      <c r="B115" s="19">
        <v>3.125</v>
      </c>
      <c r="C115" s="19">
        <v>97.111999999999995</v>
      </c>
      <c r="D115" s="19">
        <v>97.122</v>
      </c>
      <c r="E115" s="20">
        <v>4.3920000000000003</v>
      </c>
      <c r="F115" s="21">
        <f t="shared" si="10"/>
        <v>97.3515625</v>
      </c>
      <c r="G115" s="21">
        <f t="shared" si="11"/>
        <v>97.3828125</v>
      </c>
      <c r="H115" s="15">
        <f t="shared" si="12"/>
        <v>97.3671875</v>
      </c>
      <c r="I115" s="15">
        <f t="shared" si="13"/>
        <v>0.95108695652173914</v>
      </c>
      <c r="J115" s="16">
        <f t="shared" si="14"/>
        <v>98.318274456521735</v>
      </c>
      <c r="K115" s="16">
        <f t="shared" si="15"/>
        <v>2.2000000000000002</v>
      </c>
      <c r="L115" s="16">
        <f>SUMIF('Cash Flows'!$A$2:$A$5628,ROW(),'Cash Flows'!$E$2:$E$5628)</f>
        <v>98.299480100877531</v>
      </c>
      <c r="M115" s="16">
        <f t="shared" si="16"/>
        <v>-1.879435564420362E-2</v>
      </c>
      <c r="N115" s="16">
        <f t="shared" si="17"/>
        <v>1.879435564420362E-2</v>
      </c>
      <c r="O115" s="17">
        <f t="shared" si="18"/>
        <v>97.348393144355796</v>
      </c>
      <c r="P115" s="17" t="str">
        <f t="shared" si="19"/>
        <v>No</v>
      </c>
    </row>
    <row r="116" spans="1:16" ht="15" customHeight="1" x14ac:dyDescent="0.25">
      <c r="A116" s="18">
        <v>47072</v>
      </c>
      <c r="B116" s="19">
        <v>3.5</v>
      </c>
      <c r="C116" s="19">
        <v>98.04</v>
      </c>
      <c r="D116" s="19">
        <v>98.05</v>
      </c>
      <c r="E116" s="20">
        <v>4.3920000000000003</v>
      </c>
      <c r="F116" s="21">
        <f t="shared" si="10"/>
        <v>98.125</v>
      </c>
      <c r="G116" s="21">
        <f t="shared" si="11"/>
        <v>98.15625</v>
      </c>
      <c r="H116" s="15">
        <f t="shared" si="12"/>
        <v>98.140625</v>
      </c>
      <c r="I116" s="15">
        <f t="shared" si="13"/>
        <v>1.0652173913043479</v>
      </c>
      <c r="J116" s="16">
        <f t="shared" si="14"/>
        <v>99.205842391304344</v>
      </c>
      <c r="K116" s="16">
        <f t="shared" si="15"/>
        <v>2.2000000000000002</v>
      </c>
      <c r="L116" s="16">
        <f>SUMIF('Cash Flows'!$A$2:$A$5628,ROW(),'Cash Flows'!$E$2:$E$5628)</f>
        <v>99.191002692938156</v>
      </c>
      <c r="M116" s="16">
        <f t="shared" si="16"/>
        <v>-1.4839698366188259E-2</v>
      </c>
      <c r="N116" s="16">
        <f t="shared" si="17"/>
        <v>1.4839698366188259E-2</v>
      </c>
      <c r="O116" s="17">
        <f t="shared" si="18"/>
        <v>98.125785301633812</v>
      </c>
      <c r="P116" s="17" t="str">
        <f t="shared" si="19"/>
        <v>Yes</v>
      </c>
    </row>
    <row r="117" spans="1:16" ht="15" customHeight="1" x14ac:dyDescent="0.25">
      <c r="A117" s="18">
        <v>47072</v>
      </c>
      <c r="B117" s="19">
        <v>5.25</v>
      </c>
      <c r="C117" s="19">
        <v>101.232</v>
      </c>
      <c r="D117" s="19">
        <v>101.242</v>
      </c>
      <c r="E117" s="20">
        <v>4.3940000000000001</v>
      </c>
      <c r="F117" s="21">
        <f t="shared" si="10"/>
        <v>101.7265625</v>
      </c>
      <c r="G117" s="21">
        <f t="shared" si="11"/>
        <v>101.7578125</v>
      </c>
      <c r="H117" s="15">
        <f t="shared" si="12"/>
        <v>101.7421875</v>
      </c>
      <c r="I117" s="15">
        <f t="shared" si="13"/>
        <v>1.5978260869565217</v>
      </c>
      <c r="J117" s="16">
        <f t="shared" si="14"/>
        <v>103.34001358695652</v>
      </c>
      <c r="K117" s="16">
        <f t="shared" si="15"/>
        <v>2.2000000000000002</v>
      </c>
      <c r="L117" s="16">
        <f>SUMIF('Cash Flows'!$A$2:$A$5628,ROW(),'Cash Flows'!$E$2:$E$5628)</f>
        <v>103.35144145588778</v>
      </c>
      <c r="M117" s="16">
        <f t="shared" si="16"/>
        <v>1.1427868931264129E-2</v>
      </c>
      <c r="N117" s="16">
        <f t="shared" si="17"/>
        <v>1.1427868931264129E-2</v>
      </c>
      <c r="O117" s="17">
        <f t="shared" si="18"/>
        <v>101.75361536893126</v>
      </c>
      <c r="P117" s="17" t="str">
        <f t="shared" si="19"/>
        <v>Yes</v>
      </c>
    </row>
    <row r="118" spans="1:16" ht="15" customHeight="1" x14ac:dyDescent="0.25">
      <c r="A118" s="18">
        <v>47087</v>
      </c>
      <c r="B118" s="19">
        <v>1.5</v>
      </c>
      <c r="C118" s="19">
        <v>93.281999999999996</v>
      </c>
      <c r="D118" s="19">
        <v>93.292000000000002</v>
      </c>
      <c r="E118" s="20">
        <v>4.3979999999999997</v>
      </c>
      <c r="F118" s="21">
        <f t="shared" si="10"/>
        <v>93.8828125</v>
      </c>
      <c r="G118" s="21">
        <f t="shared" si="11"/>
        <v>93.9140625</v>
      </c>
      <c r="H118" s="15">
        <f t="shared" si="12"/>
        <v>93.8984375</v>
      </c>
      <c r="I118" s="15">
        <f t="shared" si="13"/>
        <v>0.39344262295081966</v>
      </c>
      <c r="J118" s="16">
        <f t="shared" si="14"/>
        <v>94.291880122950815</v>
      </c>
      <c r="K118" s="16">
        <f t="shared" si="15"/>
        <v>2.2410958904109588</v>
      </c>
      <c r="L118" s="16">
        <f>SUMIF('Cash Flows'!$A$2:$A$5628,ROW(),'Cash Flows'!$E$2:$E$5628)</f>
        <v>94.257364306457802</v>
      </c>
      <c r="M118" s="16">
        <f t="shared" si="16"/>
        <v>-3.4515816493012608E-2</v>
      </c>
      <c r="N118" s="16">
        <f t="shared" si="17"/>
        <v>3.4515816493012608E-2</v>
      </c>
      <c r="O118" s="17">
        <f t="shared" si="18"/>
        <v>93.863921683506987</v>
      </c>
      <c r="P118" s="17" t="str">
        <f t="shared" si="19"/>
        <v>No</v>
      </c>
    </row>
    <row r="119" spans="1:16" ht="15" customHeight="1" x14ac:dyDescent="0.25">
      <c r="A119" s="18">
        <v>47087</v>
      </c>
      <c r="B119" s="19">
        <v>4.375</v>
      </c>
      <c r="C119" s="19">
        <v>99.292000000000002</v>
      </c>
      <c r="D119" s="19">
        <v>99.302000000000007</v>
      </c>
      <c r="E119" s="20">
        <v>4.3979999999999997</v>
      </c>
      <c r="F119" s="21">
        <f t="shared" si="10"/>
        <v>99.9140625</v>
      </c>
      <c r="G119" s="21">
        <f t="shared" si="11"/>
        <v>99.9453125</v>
      </c>
      <c r="H119" s="15">
        <f t="shared" si="12"/>
        <v>99.9296875</v>
      </c>
      <c r="I119" s="15">
        <f t="shared" si="13"/>
        <v>1.1475409836065573</v>
      </c>
      <c r="J119" s="16">
        <f t="shared" si="14"/>
        <v>101.07722848360656</v>
      </c>
      <c r="K119" s="16">
        <f t="shared" si="15"/>
        <v>2.2410958904109588</v>
      </c>
      <c r="L119" s="16">
        <f>SUMIF('Cash Flows'!$A$2:$A$5628,ROW(),'Cash Flows'!$E$2:$E$5628)</f>
        <v>101.07978118648431</v>
      </c>
      <c r="M119" s="16">
        <f t="shared" si="16"/>
        <v>2.5527028777503347E-3</v>
      </c>
      <c r="N119" s="16">
        <f t="shared" si="17"/>
        <v>2.5527028777503347E-3</v>
      </c>
      <c r="O119" s="17">
        <f t="shared" si="18"/>
        <v>99.93224020287775</v>
      </c>
      <c r="P119" s="17" t="str">
        <f t="shared" si="19"/>
        <v>Yes</v>
      </c>
    </row>
    <row r="120" spans="1:16" ht="15" customHeight="1" x14ac:dyDescent="0.25">
      <c r="A120" s="18">
        <v>47102</v>
      </c>
      <c r="B120" s="19">
        <v>3.5</v>
      </c>
      <c r="C120" s="19">
        <v>98.013999999999996</v>
      </c>
      <c r="D120" s="19">
        <v>98.024000000000001</v>
      </c>
      <c r="E120" s="20">
        <v>4.3970000000000002</v>
      </c>
      <c r="F120" s="21">
        <f t="shared" si="10"/>
        <v>98.046875</v>
      </c>
      <c r="G120" s="21">
        <f t="shared" si="11"/>
        <v>98.078125</v>
      </c>
      <c r="H120" s="15">
        <f t="shared" si="12"/>
        <v>98.0625</v>
      </c>
      <c r="I120" s="15">
        <f t="shared" si="13"/>
        <v>0.77459016393442626</v>
      </c>
      <c r="J120" s="16">
        <f t="shared" si="14"/>
        <v>98.83709016393442</v>
      </c>
      <c r="K120" s="16">
        <f t="shared" si="15"/>
        <v>2.2821917808219179</v>
      </c>
      <c r="L120" s="16">
        <f>SUMIF('Cash Flows'!$A$2:$A$5628,ROW(),'Cash Flows'!$E$2:$E$5628)</f>
        <v>98.816405602492893</v>
      </c>
      <c r="M120" s="16">
        <f t="shared" si="16"/>
        <v>-2.0684561441527194E-2</v>
      </c>
      <c r="N120" s="16">
        <f t="shared" si="17"/>
        <v>2.0684561441527194E-2</v>
      </c>
      <c r="O120" s="17">
        <f t="shared" si="18"/>
        <v>98.041815438558473</v>
      </c>
      <c r="P120" s="17" t="str">
        <f t="shared" si="19"/>
        <v>No</v>
      </c>
    </row>
    <row r="121" spans="1:16" ht="15" customHeight="1" x14ac:dyDescent="0.25">
      <c r="A121" s="18">
        <v>47118</v>
      </c>
      <c r="B121" s="19">
        <v>1.375</v>
      </c>
      <c r="C121" s="19">
        <v>93.122</v>
      </c>
      <c r="D121" s="19">
        <v>93.132000000000005</v>
      </c>
      <c r="E121" s="20">
        <v>4.4039999999999999</v>
      </c>
      <c r="F121" s="21">
        <f t="shared" si="10"/>
        <v>93.3828125</v>
      </c>
      <c r="G121" s="21">
        <f t="shared" si="11"/>
        <v>93.4140625</v>
      </c>
      <c r="H121" s="15">
        <f t="shared" si="12"/>
        <v>93.3984375</v>
      </c>
      <c r="I121" s="15">
        <f t="shared" si="13"/>
        <v>0.24795081967213115</v>
      </c>
      <c r="J121" s="16">
        <f t="shared" si="14"/>
        <v>93.646388319672127</v>
      </c>
      <c r="K121" s="16">
        <f t="shared" si="15"/>
        <v>2.3260273972602739</v>
      </c>
      <c r="L121" s="16">
        <f>SUMIF('Cash Flows'!$A$2:$A$5628,ROW(),'Cash Flows'!$E$2:$E$5628)</f>
        <v>93.59366107549495</v>
      </c>
      <c r="M121" s="16">
        <f t="shared" si="16"/>
        <v>-5.2727244177177113E-2</v>
      </c>
      <c r="N121" s="16">
        <f t="shared" si="17"/>
        <v>5.2727244177177113E-2</v>
      </c>
      <c r="O121" s="17">
        <f t="shared" si="18"/>
        <v>93.345710255822823</v>
      </c>
      <c r="P121" s="17" t="str">
        <f t="shared" si="19"/>
        <v>No</v>
      </c>
    </row>
    <row r="122" spans="1:16" ht="15" customHeight="1" x14ac:dyDescent="0.25">
      <c r="A122" s="18">
        <v>47118</v>
      </c>
      <c r="B122" s="19">
        <v>3.75</v>
      </c>
      <c r="C122" s="19">
        <v>98.174000000000007</v>
      </c>
      <c r="D122" s="19">
        <v>98.183999999999997</v>
      </c>
      <c r="E122" s="20">
        <v>4.4020000000000001</v>
      </c>
      <c r="F122" s="21">
        <f t="shared" si="10"/>
        <v>98.546875</v>
      </c>
      <c r="G122" s="21">
        <f t="shared" si="11"/>
        <v>98.578125</v>
      </c>
      <c r="H122" s="15">
        <f t="shared" si="12"/>
        <v>98.5625</v>
      </c>
      <c r="I122" s="15">
        <f t="shared" si="13"/>
        <v>0.67622950819672134</v>
      </c>
      <c r="J122" s="16">
        <f t="shared" si="14"/>
        <v>99.238729508196727</v>
      </c>
      <c r="K122" s="16">
        <f t="shared" si="15"/>
        <v>2.3260273972602739</v>
      </c>
      <c r="L122" s="16">
        <f>SUMIF('Cash Flows'!$A$2:$A$5628,ROW(),'Cash Flows'!$E$2:$E$5628)</f>
        <v>99.208863702505653</v>
      </c>
      <c r="M122" s="16">
        <f t="shared" si="16"/>
        <v>-2.9865805691073888E-2</v>
      </c>
      <c r="N122" s="16">
        <f t="shared" si="17"/>
        <v>2.9865805691073888E-2</v>
      </c>
      <c r="O122" s="17">
        <f t="shared" si="18"/>
        <v>98.532634194308926</v>
      </c>
      <c r="P122" s="17" t="str">
        <f t="shared" si="19"/>
        <v>No</v>
      </c>
    </row>
    <row r="123" spans="1:16" ht="15" customHeight="1" x14ac:dyDescent="0.25">
      <c r="A123" s="18">
        <v>47133</v>
      </c>
      <c r="B123" s="19">
        <v>3.5</v>
      </c>
      <c r="C123" s="19">
        <v>97.302000000000007</v>
      </c>
      <c r="D123" s="19">
        <v>97.311999999999998</v>
      </c>
      <c r="E123" s="20">
        <v>4.4139999999999997</v>
      </c>
      <c r="F123" s="21">
        <f t="shared" si="10"/>
        <v>97.9453125</v>
      </c>
      <c r="G123" s="21">
        <f t="shared" si="11"/>
        <v>97.9765625</v>
      </c>
      <c r="H123" s="15">
        <f t="shared" si="12"/>
        <v>97.9609375</v>
      </c>
      <c r="I123" s="15">
        <f t="shared" si="13"/>
        <v>0.48505434782608697</v>
      </c>
      <c r="J123" s="16">
        <f t="shared" si="14"/>
        <v>98.445991847826093</v>
      </c>
      <c r="K123" s="16">
        <f t="shared" si="15"/>
        <v>2.3671232876712329</v>
      </c>
      <c r="L123" s="16">
        <f>SUMIF('Cash Flows'!$A$2:$A$5628,ROW(),'Cash Flows'!$E$2:$E$5628)</f>
        <v>98.431295296845903</v>
      </c>
      <c r="M123" s="16">
        <f t="shared" si="16"/>
        <v>-1.4696550980190182E-2</v>
      </c>
      <c r="N123" s="16">
        <f t="shared" si="17"/>
        <v>1.4696550980190182E-2</v>
      </c>
      <c r="O123" s="17">
        <f t="shared" si="18"/>
        <v>97.94624094901981</v>
      </c>
      <c r="P123" s="17" t="str">
        <f t="shared" si="19"/>
        <v>Yes</v>
      </c>
    </row>
    <row r="124" spans="1:16" ht="15" customHeight="1" x14ac:dyDescent="0.25">
      <c r="A124" s="18">
        <v>47149</v>
      </c>
      <c r="B124" s="19">
        <v>1.75</v>
      </c>
      <c r="C124" s="19">
        <v>93.311999999999998</v>
      </c>
      <c r="D124" s="19">
        <v>94.001999999999995</v>
      </c>
      <c r="E124" s="20">
        <v>4.4139999999999997</v>
      </c>
      <c r="F124" s="21">
        <f t="shared" si="10"/>
        <v>93.9765625</v>
      </c>
      <c r="G124" s="21">
        <f t="shared" si="11"/>
        <v>94.0078125</v>
      </c>
      <c r="H124" s="15">
        <f t="shared" si="12"/>
        <v>93.9921875</v>
      </c>
      <c r="I124" s="15">
        <f t="shared" si="13"/>
        <v>0.16644021739130435</v>
      </c>
      <c r="J124" s="16">
        <f t="shared" si="14"/>
        <v>94.158627717391298</v>
      </c>
      <c r="K124" s="16">
        <f t="shared" si="15"/>
        <v>2.4109589041095889</v>
      </c>
      <c r="L124" s="16">
        <f>SUMIF('Cash Flows'!$A$2:$A$5628,ROW(),'Cash Flows'!$E$2:$E$5628)</f>
        <v>94.110385778232569</v>
      </c>
      <c r="M124" s="16">
        <f t="shared" si="16"/>
        <v>-4.8241939158728542E-2</v>
      </c>
      <c r="N124" s="16">
        <f t="shared" si="17"/>
        <v>4.8241939158728542E-2</v>
      </c>
      <c r="O124" s="17">
        <f t="shared" si="18"/>
        <v>93.943945560841271</v>
      </c>
      <c r="P124" s="17" t="str">
        <f t="shared" si="19"/>
        <v>No</v>
      </c>
    </row>
    <row r="125" spans="1:16" ht="15" customHeight="1" x14ac:dyDescent="0.25">
      <c r="A125" s="18">
        <v>47149</v>
      </c>
      <c r="B125" s="19">
        <v>4</v>
      </c>
      <c r="C125" s="19">
        <v>99.012</v>
      </c>
      <c r="D125" s="19">
        <v>99.022000000000006</v>
      </c>
      <c r="E125" s="20">
        <v>4.4119999999999999</v>
      </c>
      <c r="F125" s="21">
        <f t="shared" si="10"/>
        <v>99.0390625</v>
      </c>
      <c r="G125" s="21">
        <f t="shared" si="11"/>
        <v>99.0703125</v>
      </c>
      <c r="H125" s="15">
        <f t="shared" si="12"/>
        <v>99.0546875</v>
      </c>
      <c r="I125" s="15">
        <f t="shared" si="13"/>
        <v>0.38043478260869568</v>
      </c>
      <c r="J125" s="16">
        <f t="shared" si="14"/>
        <v>99.435122282608702</v>
      </c>
      <c r="K125" s="16">
        <f t="shared" si="15"/>
        <v>2.4109589041095889</v>
      </c>
      <c r="L125" s="16">
        <f>SUMIF('Cash Flows'!$A$2:$A$5628,ROW(),'Cash Flows'!$E$2:$E$5628)</f>
        <v>99.410122164950877</v>
      </c>
      <c r="M125" s="16">
        <f t="shared" si="16"/>
        <v>-2.5000117657825172E-2</v>
      </c>
      <c r="N125" s="16">
        <f t="shared" si="17"/>
        <v>2.5000117657825172E-2</v>
      </c>
      <c r="O125" s="17">
        <f t="shared" si="18"/>
        <v>99.029687382342175</v>
      </c>
      <c r="P125" s="17" t="str">
        <f t="shared" si="19"/>
        <v>No</v>
      </c>
    </row>
    <row r="126" spans="1:16" ht="15" customHeight="1" x14ac:dyDescent="0.25">
      <c r="A126" s="18">
        <v>47164</v>
      </c>
      <c r="B126" s="19">
        <v>2.625</v>
      </c>
      <c r="C126" s="19">
        <v>95.28</v>
      </c>
      <c r="D126" s="19">
        <v>95.29</v>
      </c>
      <c r="E126" s="20">
        <v>4.4160000000000004</v>
      </c>
      <c r="F126" s="21">
        <f t="shared" si="10"/>
        <v>95.875</v>
      </c>
      <c r="G126" s="21">
        <f t="shared" si="11"/>
        <v>95.90625</v>
      </c>
      <c r="H126" s="15">
        <f t="shared" si="12"/>
        <v>95.890625</v>
      </c>
      <c r="I126" s="15">
        <f t="shared" si="13"/>
        <v>0.14266304347826086</v>
      </c>
      <c r="J126" s="16">
        <f t="shared" si="14"/>
        <v>96.033288043478265</v>
      </c>
      <c r="K126" s="16">
        <f t="shared" si="15"/>
        <v>2.452054794520548</v>
      </c>
      <c r="L126" s="16">
        <f>SUMIF('Cash Flows'!$A$2:$A$5628,ROW(),'Cash Flows'!$E$2:$E$5628)</f>
        <v>95.989185555487708</v>
      </c>
      <c r="M126" s="16">
        <f t="shared" si="16"/>
        <v>-4.4102487990556938E-2</v>
      </c>
      <c r="N126" s="16">
        <f t="shared" si="17"/>
        <v>4.4102487990556938E-2</v>
      </c>
      <c r="O126" s="17">
        <f t="shared" si="18"/>
        <v>95.846522512009443</v>
      </c>
      <c r="P126" s="17" t="str">
        <f t="shared" si="19"/>
        <v>No</v>
      </c>
    </row>
    <row r="127" spans="1:16" ht="15" customHeight="1" x14ac:dyDescent="0.25">
      <c r="A127" s="18">
        <v>47164</v>
      </c>
      <c r="B127" s="19">
        <v>3.5</v>
      </c>
      <c r="C127" s="19">
        <v>97.275999999999996</v>
      </c>
      <c r="D127" s="19">
        <v>97.286000000000001</v>
      </c>
      <c r="E127" s="20">
        <v>4.4189999999999996</v>
      </c>
      <c r="F127" s="21">
        <f t="shared" si="10"/>
        <v>97.8671875</v>
      </c>
      <c r="G127" s="21">
        <f t="shared" si="11"/>
        <v>97.8984375</v>
      </c>
      <c r="H127" s="15">
        <f t="shared" si="12"/>
        <v>97.8828125</v>
      </c>
      <c r="I127" s="15">
        <f t="shared" si="13"/>
        <v>0.19021739130434784</v>
      </c>
      <c r="J127" s="16">
        <f t="shared" si="14"/>
        <v>98.073029891304344</v>
      </c>
      <c r="K127" s="16">
        <f t="shared" si="15"/>
        <v>2.452054794520548</v>
      </c>
      <c r="L127" s="16">
        <f>SUMIF('Cash Flows'!$A$2:$A$5628,ROW(),'Cash Flows'!$E$2:$E$5628)</f>
        <v>98.046437387954782</v>
      </c>
      <c r="M127" s="16">
        <f t="shared" si="16"/>
        <v>-2.659250334956198E-2</v>
      </c>
      <c r="N127" s="16">
        <f t="shared" si="17"/>
        <v>2.659250334956198E-2</v>
      </c>
      <c r="O127" s="17">
        <f t="shared" si="18"/>
        <v>97.856219996650438</v>
      </c>
      <c r="P127" s="17" t="str">
        <f t="shared" si="19"/>
        <v>No</v>
      </c>
    </row>
    <row r="128" spans="1:16" ht="15" customHeight="1" x14ac:dyDescent="0.25">
      <c r="A128" s="18">
        <v>47164</v>
      </c>
      <c r="B128" s="19">
        <v>5.25</v>
      </c>
      <c r="C128" s="19">
        <v>102.03400000000001</v>
      </c>
      <c r="D128" s="19">
        <v>102.044</v>
      </c>
      <c r="E128" s="20">
        <v>4.3129999999999997</v>
      </c>
      <c r="F128" s="21">
        <f t="shared" si="10"/>
        <v>102.109375</v>
      </c>
      <c r="G128" s="21">
        <f t="shared" si="11"/>
        <v>102.140625</v>
      </c>
      <c r="H128" s="15">
        <f t="shared" si="12"/>
        <v>102.125</v>
      </c>
      <c r="I128" s="15">
        <f t="shared" si="13"/>
        <v>0.28532608695652173</v>
      </c>
      <c r="J128" s="16">
        <f t="shared" si="14"/>
        <v>102.41032608695652</v>
      </c>
      <c r="K128" s="16">
        <f t="shared" si="15"/>
        <v>2.452054794520548</v>
      </c>
      <c r="L128" s="16">
        <f>SUMIF('Cash Flows'!$A$2:$A$5628,ROW(),'Cash Flows'!$E$2:$E$5628)</f>
        <v>102.1609410528889</v>
      </c>
      <c r="M128" s="16">
        <f t="shared" si="16"/>
        <v>-0.2493850340676147</v>
      </c>
      <c r="N128" s="16">
        <f t="shared" si="17"/>
        <v>0.2493850340676147</v>
      </c>
      <c r="O128" s="17">
        <f t="shared" si="18"/>
        <v>101.87561496593239</v>
      </c>
      <c r="P128" s="17" t="str">
        <f t="shared" si="19"/>
        <v>No</v>
      </c>
    </row>
    <row r="129" spans="1:16" ht="15" customHeight="1" x14ac:dyDescent="0.25">
      <c r="A129" s="18">
        <v>47177</v>
      </c>
      <c r="B129" s="19">
        <v>1.875</v>
      </c>
      <c r="C129" s="19">
        <v>94.024000000000001</v>
      </c>
      <c r="D129" s="19">
        <v>94.034000000000006</v>
      </c>
      <c r="E129" s="20">
        <v>4.41</v>
      </c>
      <c r="F129" s="21">
        <f t="shared" si="10"/>
        <v>94.078125</v>
      </c>
      <c r="G129" s="21">
        <f t="shared" si="11"/>
        <v>94.109375</v>
      </c>
      <c r="H129" s="15">
        <f t="shared" si="12"/>
        <v>94.09375</v>
      </c>
      <c r="I129" s="15">
        <f t="shared" si="13"/>
        <v>2.0718232044198894E-2</v>
      </c>
      <c r="J129" s="16">
        <f t="shared" si="14"/>
        <v>94.114468232044203</v>
      </c>
      <c r="K129" s="16">
        <f t="shared" si="15"/>
        <v>2.4876712328767123</v>
      </c>
      <c r="L129" s="16">
        <f>SUMIF('Cash Flows'!$A$2:$A$5628,ROW(),'Cash Flows'!$E$2:$E$5628)</f>
        <v>94.070245756795742</v>
      </c>
      <c r="M129" s="16">
        <f t="shared" si="16"/>
        <v>-4.4222475248460569E-2</v>
      </c>
      <c r="N129" s="16">
        <f t="shared" si="17"/>
        <v>4.4222475248460569E-2</v>
      </c>
      <c r="O129" s="17">
        <f t="shared" si="18"/>
        <v>94.049527524751539</v>
      </c>
      <c r="P129" s="17" t="str">
        <f t="shared" si="19"/>
        <v>No</v>
      </c>
    </row>
    <row r="130" spans="1:16" ht="15" customHeight="1" x14ac:dyDescent="0.25">
      <c r="A130" s="18">
        <v>47177</v>
      </c>
      <c r="B130" s="19">
        <v>4.25</v>
      </c>
      <c r="C130" s="19">
        <v>99.191999999999993</v>
      </c>
      <c r="D130" s="19">
        <v>99.201999999999998</v>
      </c>
      <c r="E130" s="20">
        <v>4.4080000000000004</v>
      </c>
      <c r="F130" s="21">
        <f t="shared" ref="F130:F193" si="20">INT(C130)+INT(ROUND((C130-INT(C130))*1000,0)/10)/32+MOD(ROUND((C130-INT(C130))*1000,0),10)/256</f>
        <v>99.6015625</v>
      </c>
      <c r="G130" s="21">
        <f t="shared" ref="G130:G193" si="21">INT(D130)+INT(ROUND((D130-INT(D130))*1000,0)/10)/32+MOD(ROUND((D130-INT(D130))*1000,0),10)/256</f>
        <v>99.6328125</v>
      </c>
      <c r="H130" s="15">
        <f t="shared" ref="H130:H193" si="22">(F130+G130)/2</f>
        <v>99.6171875</v>
      </c>
      <c r="I130" s="15">
        <f t="shared" ref="I130:I193" si="23">(B130/2)*COUPDAYBS($R$2,A130,2,1)/COUPDAYS($R$2,A130,2,1)</f>
        <v>4.6961325966850827E-2</v>
      </c>
      <c r="J130" s="16">
        <f t="shared" ref="J130:J193" si="24">H130+I130</f>
        <v>99.664148825966848</v>
      </c>
      <c r="K130" s="16">
        <f t="shared" ref="K130:K193" si="25">(A130-$R$2)/365</f>
        <v>2.4876712328767123</v>
      </c>
      <c r="L130" s="16">
        <f>SUMIF('Cash Flows'!$A$2:$A$5628,ROW(),'Cash Flows'!$E$2:$E$5628)</f>
        <v>99.64440734927048</v>
      </c>
      <c r="M130" s="16">
        <f t="shared" ref="M130:M193" si="26">L130-J130</f>
        <v>-1.9741476696367499E-2</v>
      </c>
      <c r="N130" s="16">
        <f t="shared" ref="N130:N193" si="27">ABS(M130)</f>
        <v>1.9741476696367499E-2</v>
      </c>
      <c r="O130" s="17">
        <f t="shared" ref="O130:O193" si="28">L130-I130</f>
        <v>99.597446023303633</v>
      </c>
      <c r="P130" s="17" t="str">
        <f t="shared" ref="P130:P193" si="29">IF(AND(O130&gt;=F130,O130&lt;=G130),"Yes","No")</f>
        <v>No</v>
      </c>
    </row>
    <row r="131" spans="1:16" ht="15" customHeight="1" x14ac:dyDescent="0.25">
      <c r="A131" s="18">
        <v>47192</v>
      </c>
      <c r="B131" s="19">
        <v>3.5</v>
      </c>
      <c r="C131" s="19">
        <v>97.263999999999996</v>
      </c>
      <c r="D131" s="19">
        <v>97.274000000000001</v>
      </c>
      <c r="E131" s="20">
        <v>4.407</v>
      </c>
      <c r="F131" s="21">
        <f t="shared" si="20"/>
        <v>97.828125</v>
      </c>
      <c r="G131" s="21">
        <f t="shared" si="21"/>
        <v>97.859375</v>
      </c>
      <c r="H131" s="15">
        <f t="shared" si="22"/>
        <v>97.84375</v>
      </c>
      <c r="I131" s="15">
        <f t="shared" si="23"/>
        <v>1.6453804347826086</v>
      </c>
      <c r="J131" s="16">
        <f t="shared" si="24"/>
        <v>99.489130434782609</v>
      </c>
      <c r="K131" s="16">
        <f t="shared" si="25"/>
        <v>2.5287671232876714</v>
      </c>
      <c r="L131" s="16">
        <f>SUMIF('Cash Flows'!$A$2:$A$5628,ROW(),'Cash Flows'!$E$2:$E$5628)</f>
        <v>99.446704940372797</v>
      </c>
      <c r="M131" s="16">
        <f t="shared" si="26"/>
        <v>-4.2425494409812359E-2</v>
      </c>
      <c r="N131" s="16">
        <f t="shared" si="27"/>
        <v>4.2425494409812359E-2</v>
      </c>
      <c r="O131" s="17">
        <f t="shared" si="28"/>
        <v>97.801324505590188</v>
      </c>
      <c r="P131" s="17" t="str">
        <f t="shared" si="29"/>
        <v>No</v>
      </c>
    </row>
    <row r="132" spans="1:16" ht="15" customHeight="1" x14ac:dyDescent="0.25">
      <c r="A132" s="18">
        <v>47208</v>
      </c>
      <c r="B132" s="19">
        <v>2.375</v>
      </c>
      <c r="C132" s="19">
        <v>95.016000000000005</v>
      </c>
      <c r="D132" s="19">
        <v>95.025999999999996</v>
      </c>
      <c r="E132" s="20">
        <v>4.4260000000000002</v>
      </c>
      <c r="F132" s="21">
        <f t="shared" si="20"/>
        <v>95.0546875</v>
      </c>
      <c r="G132" s="21">
        <f t="shared" si="21"/>
        <v>95.0859375</v>
      </c>
      <c r="H132" s="15">
        <f t="shared" si="22"/>
        <v>95.0703125</v>
      </c>
      <c r="I132" s="15">
        <f t="shared" si="23"/>
        <v>1.0187841530054644</v>
      </c>
      <c r="J132" s="16">
        <f t="shared" si="24"/>
        <v>96.08909665300547</v>
      </c>
      <c r="K132" s="16">
        <f t="shared" si="25"/>
        <v>2.5726027397260274</v>
      </c>
      <c r="L132" s="16">
        <f>SUMIF('Cash Flows'!$A$2:$A$5628,ROW(),'Cash Flows'!$E$2:$E$5628)</f>
        <v>96.055522337566046</v>
      </c>
      <c r="M132" s="16">
        <f t="shared" si="26"/>
        <v>-3.3574315439423685E-2</v>
      </c>
      <c r="N132" s="16">
        <f t="shared" si="27"/>
        <v>3.3574315439423685E-2</v>
      </c>
      <c r="O132" s="17">
        <f t="shared" si="28"/>
        <v>95.036738184560576</v>
      </c>
      <c r="P132" s="17" t="str">
        <f t="shared" si="29"/>
        <v>No</v>
      </c>
    </row>
    <row r="133" spans="1:16" ht="15" customHeight="1" x14ac:dyDescent="0.25">
      <c r="A133" s="18">
        <v>47208</v>
      </c>
      <c r="B133" s="19">
        <v>4.125</v>
      </c>
      <c r="C133" s="19">
        <v>99.084000000000003</v>
      </c>
      <c r="D133" s="19">
        <v>99.093999999999994</v>
      </c>
      <c r="E133" s="20">
        <v>4.4169999999999998</v>
      </c>
      <c r="F133" s="21">
        <f t="shared" si="20"/>
        <v>99.265625</v>
      </c>
      <c r="G133" s="21">
        <f t="shared" si="21"/>
        <v>99.296875</v>
      </c>
      <c r="H133" s="15">
        <f t="shared" si="22"/>
        <v>99.28125</v>
      </c>
      <c r="I133" s="15">
        <f t="shared" si="23"/>
        <v>1.7694672131147542</v>
      </c>
      <c r="J133" s="16">
        <f t="shared" si="24"/>
        <v>101.05071721311475</v>
      </c>
      <c r="K133" s="16">
        <f t="shared" si="25"/>
        <v>2.5726027397260274</v>
      </c>
      <c r="L133" s="16">
        <f>SUMIF('Cash Flows'!$A$2:$A$5628,ROW(),'Cash Flows'!$E$2:$E$5628)</f>
        <v>101.02009714944087</v>
      </c>
      <c r="M133" s="16">
        <f t="shared" si="26"/>
        <v>-3.0620063673879372E-2</v>
      </c>
      <c r="N133" s="16">
        <f t="shared" si="27"/>
        <v>3.0620063673879372E-2</v>
      </c>
      <c r="O133" s="17">
        <f t="shared" si="28"/>
        <v>99.250629936326121</v>
      </c>
      <c r="P133" s="17" t="str">
        <f t="shared" si="29"/>
        <v>No</v>
      </c>
    </row>
    <row r="134" spans="1:16" ht="15" customHeight="1" x14ac:dyDescent="0.25">
      <c r="A134" s="18">
        <v>47223</v>
      </c>
      <c r="B134" s="19">
        <v>3.875</v>
      </c>
      <c r="C134" s="19">
        <v>98.2</v>
      </c>
      <c r="D134" s="19">
        <v>98.21</v>
      </c>
      <c r="E134" s="20">
        <v>4.4260000000000002</v>
      </c>
      <c r="F134" s="21">
        <f t="shared" si="20"/>
        <v>98.625</v>
      </c>
      <c r="G134" s="21">
        <f t="shared" si="21"/>
        <v>98.65625</v>
      </c>
      <c r="H134" s="15">
        <f t="shared" si="22"/>
        <v>98.640625</v>
      </c>
      <c r="I134" s="15">
        <f t="shared" si="23"/>
        <v>1.5034153005464481</v>
      </c>
      <c r="J134" s="16">
        <f t="shared" si="24"/>
        <v>100.14404030054645</v>
      </c>
      <c r="K134" s="16">
        <f t="shared" si="25"/>
        <v>2.6136986301369864</v>
      </c>
      <c r="L134" s="16">
        <f>SUMIF('Cash Flows'!$A$2:$A$5628,ROW(),'Cash Flows'!$E$2:$E$5628)</f>
        <v>100.1213369006074</v>
      </c>
      <c r="M134" s="16">
        <f t="shared" si="26"/>
        <v>-2.2703399939047131E-2</v>
      </c>
      <c r="N134" s="16">
        <f t="shared" si="27"/>
        <v>2.2703399939047131E-2</v>
      </c>
      <c r="O134" s="17">
        <f t="shared" si="28"/>
        <v>98.617921600060953</v>
      </c>
      <c r="P134" s="17" t="str">
        <f t="shared" si="29"/>
        <v>No</v>
      </c>
    </row>
    <row r="135" spans="1:16" ht="15" customHeight="1" x14ac:dyDescent="0.25">
      <c r="A135" s="18">
        <v>47238</v>
      </c>
      <c r="B135" s="19">
        <v>2.875</v>
      </c>
      <c r="C135" s="19">
        <v>96.042000000000002</v>
      </c>
      <c r="D135" s="19">
        <v>96.052000000000007</v>
      </c>
      <c r="E135" s="20">
        <v>4.4269999999999996</v>
      </c>
      <c r="F135" s="21">
        <f t="shared" si="20"/>
        <v>96.1328125</v>
      </c>
      <c r="G135" s="21">
        <f t="shared" si="21"/>
        <v>96.1640625</v>
      </c>
      <c r="H135" s="15">
        <f t="shared" si="22"/>
        <v>96.1484375</v>
      </c>
      <c r="I135" s="15">
        <f t="shared" si="23"/>
        <v>0.99760928961748629</v>
      </c>
      <c r="J135" s="16">
        <f t="shared" si="24"/>
        <v>97.146046789617486</v>
      </c>
      <c r="K135" s="16">
        <f t="shared" si="25"/>
        <v>2.6547945205479451</v>
      </c>
      <c r="L135" s="16">
        <f>SUMIF('Cash Flows'!$A$2:$A$5628,ROW(),'Cash Flows'!$E$2:$E$5628)</f>
        <v>97.104862404487037</v>
      </c>
      <c r="M135" s="16">
        <f t="shared" si="26"/>
        <v>-4.1184385130449641E-2</v>
      </c>
      <c r="N135" s="16">
        <f t="shared" si="27"/>
        <v>4.1184385130449641E-2</v>
      </c>
      <c r="O135" s="17">
        <f t="shared" si="28"/>
        <v>96.10725311486955</v>
      </c>
      <c r="P135" s="17" t="str">
        <f t="shared" si="29"/>
        <v>No</v>
      </c>
    </row>
    <row r="136" spans="1:16" ht="15" customHeight="1" x14ac:dyDescent="0.25">
      <c r="A136" s="18">
        <v>47238</v>
      </c>
      <c r="B136" s="19">
        <v>4.625</v>
      </c>
      <c r="C136" s="19">
        <v>100.15</v>
      </c>
      <c r="D136" s="19">
        <v>100.16</v>
      </c>
      <c r="E136" s="20">
        <v>4.42</v>
      </c>
      <c r="F136" s="21">
        <f t="shared" si="20"/>
        <v>100.46875</v>
      </c>
      <c r="G136" s="21">
        <f t="shared" si="21"/>
        <v>100.5</v>
      </c>
      <c r="H136" s="15">
        <f t="shared" si="22"/>
        <v>100.484375</v>
      </c>
      <c r="I136" s="15">
        <f t="shared" si="23"/>
        <v>1.6048497267759563</v>
      </c>
      <c r="J136" s="16">
        <f t="shared" si="24"/>
        <v>102.08922472677595</v>
      </c>
      <c r="K136" s="16">
        <f t="shared" si="25"/>
        <v>2.6547945205479451</v>
      </c>
      <c r="L136" s="16">
        <f>SUMIF('Cash Flows'!$A$2:$A$5628,ROW(),'Cash Flows'!$E$2:$E$5628)</f>
        <v>102.05131472439616</v>
      </c>
      <c r="M136" s="16">
        <f t="shared" si="26"/>
        <v>-3.7910002379788921E-2</v>
      </c>
      <c r="N136" s="16">
        <f t="shared" si="27"/>
        <v>3.7910002379788921E-2</v>
      </c>
      <c r="O136" s="17">
        <f t="shared" si="28"/>
        <v>100.44646499762021</v>
      </c>
      <c r="P136" s="17" t="str">
        <f t="shared" si="29"/>
        <v>No</v>
      </c>
    </row>
    <row r="137" spans="1:16" ht="15" customHeight="1" x14ac:dyDescent="0.25">
      <c r="A137" s="18">
        <v>47253</v>
      </c>
      <c r="B137" s="19">
        <v>2.375</v>
      </c>
      <c r="C137" s="19">
        <v>94.266000000000005</v>
      </c>
      <c r="D137" s="19">
        <v>94.275999999999996</v>
      </c>
      <c r="E137" s="20">
        <v>4.4219999999999997</v>
      </c>
      <c r="F137" s="21">
        <f t="shared" si="20"/>
        <v>94.8359375</v>
      </c>
      <c r="G137" s="21">
        <f t="shared" si="21"/>
        <v>94.8671875</v>
      </c>
      <c r="H137" s="15">
        <f t="shared" si="22"/>
        <v>94.8515625</v>
      </c>
      <c r="I137" s="15">
        <f t="shared" si="23"/>
        <v>0.72282608695652173</v>
      </c>
      <c r="J137" s="16">
        <f t="shared" si="24"/>
        <v>95.574388586956516</v>
      </c>
      <c r="K137" s="16">
        <f t="shared" si="25"/>
        <v>2.6958904109589041</v>
      </c>
      <c r="L137" s="16">
        <f>SUMIF('Cash Flows'!$A$2:$A$5628,ROW(),'Cash Flows'!$E$2:$E$5628)</f>
        <v>95.510245548486907</v>
      </c>
      <c r="M137" s="16">
        <f t="shared" si="26"/>
        <v>-6.4143038469609337E-2</v>
      </c>
      <c r="N137" s="16">
        <f t="shared" si="27"/>
        <v>6.4143038469609337E-2</v>
      </c>
      <c r="O137" s="17">
        <f t="shared" si="28"/>
        <v>94.787419461530391</v>
      </c>
      <c r="P137" s="17" t="str">
        <f t="shared" si="29"/>
        <v>No</v>
      </c>
    </row>
    <row r="138" spans="1:16" ht="15" customHeight="1" x14ac:dyDescent="0.25">
      <c r="A138" s="18">
        <v>47253</v>
      </c>
      <c r="B138" s="19">
        <v>3.875</v>
      </c>
      <c r="C138" s="19">
        <v>98.185000000000002</v>
      </c>
      <c r="D138" s="19">
        <v>98.194999999999993</v>
      </c>
      <c r="E138" s="20">
        <v>4.4269999999999996</v>
      </c>
      <c r="F138" s="21">
        <f t="shared" si="20"/>
        <v>98.58203125</v>
      </c>
      <c r="G138" s="21">
        <f t="shared" si="21"/>
        <v>98.61328125</v>
      </c>
      <c r="H138" s="15">
        <f t="shared" si="22"/>
        <v>98.59765625</v>
      </c>
      <c r="I138" s="15">
        <f t="shared" si="23"/>
        <v>1.1793478260869565</v>
      </c>
      <c r="J138" s="16">
        <f t="shared" si="24"/>
        <v>99.777004076086953</v>
      </c>
      <c r="K138" s="16">
        <f t="shared" si="25"/>
        <v>2.6958904109589041</v>
      </c>
      <c r="L138" s="16">
        <f>SUMIF('Cash Flows'!$A$2:$A$5628,ROW(),'Cash Flows'!$E$2:$E$5628)</f>
        <v>99.742405854706718</v>
      </c>
      <c r="M138" s="16">
        <f t="shared" si="26"/>
        <v>-3.4598221380235827E-2</v>
      </c>
      <c r="N138" s="16">
        <f t="shared" si="27"/>
        <v>3.4598221380235827E-2</v>
      </c>
      <c r="O138" s="17">
        <f t="shared" si="28"/>
        <v>98.563058028619764</v>
      </c>
      <c r="P138" s="17" t="str">
        <f t="shared" si="29"/>
        <v>No</v>
      </c>
    </row>
    <row r="139" spans="1:16" ht="15" customHeight="1" x14ac:dyDescent="0.25">
      <c r="A139" s="18">
        <v>47269</v>
      </c>
      <c r="B139" s="19">
        <v>2.75</v>
      </c>
      <c r="C139" s="19">
        <v>95.22</v>
      </c>
      <c r="D139" s="19">
        <v>95.23</v>
      </c>
      <c r="E139" s="20">
        <v>4.4329999999999998</v>
      </c>
      <c r="F139" s="21">
        <f t="shared" si="20"/>
        <v>95.6875</v>
      </c>
      <c r="G139" s="21">
        <f t="shared" si="21"/>
        <v>95.71875</v>
      </c>
      <c r="H139" s="15">
        <f t="shared" si="22"/>
        <v>95.703125</v>
      </c>
      <c r="I139" s="15">
        <f t="shared" si="23"/>
        <v>0.72131147540983609</v>
      </c>
      <c r="J139" s="16">
        <f t="shared" si="24"/>
        <v>96.424436475409834</v>
      </c>
      <c r="K139" s="16">
        <f t="shared" si="25"/>
        <v>2.7397260273972601</v>
      </c>
      <c r="L139" s="16">
        <f>SUMIF('Cash Flows'!$A$2:$A$5628,ROW(),'Cash Flows'!$E$2:$E$5628)</f>
        <v>96.373760098377772</v>
      </c>
      <c r="M139" s="16">
        <f t="shared" si="26"/>
        <v>-5.0676377032061737E-2</v>
      </c>
      <c r="N139" s="16">
        <f t="shared" si="27"/>
        <v>5.0676377032061737E-2</v>
      </c>
      <c r="O139" s="17">
        <f t="shared" si="28"/>
        <v>95.652448622967938</v>
      </c>
      <c r="P139" s="17" t="str">
        <f t="shared" si="29"/>
        <v>No</v>
      </c>
    </row>
    <row r="140" spans="1:16" ht="15" customHeight="1" x14ac:dyDescent="0.25">
      <c r="A140" s="18">
        <v>47269</v>
      </c>
      <c r="B140" s="19">
        <v>4.5</v>
      </c>
      <c r="C140" s="19">
        <v>100.044</v>
      </c>
      <c r="D140" s="19">
        <v>100.054</v>
      </c>
      <c r="E140" s="20">
        <v>4.43</v>
      </c>
      <c r="F140" s="21">
        <f t="shared" si="20"/>
        <v>100.140625</v>
      </c>
      <c r="G140" s="21">
        <f t="shared" si="21"/>
        <v>100.171875</v>
      </c>
      <c r="H140" s="15">
        <f t="shared" si="22"/>
        <v>100.15625</v>
      </c>
      <c r="I140" s="15">
        <f t="shared" si="23"/>
        <v>1.180327868852459</v>
      </c>
      <c r="J140" s="16">
        <f t="shared" si="24"/>
        <v>101.33657786885246</v>
      </c>
      <c r="K140" s="16">
        <f t="shared" si="25"/>
        <v>2.7397260273972601</v>
      </c>
      <c r="L140" s="16">
        <f>SUMIF('Cash Flows'!$A$2:$A$5628,ROW(),'Cash Flows'!$E$2:$E$5628)</f>
        <v>101.3020421137177</v>
      </c>
      <c r="M140" s="16">
        <f t="shared" si="26"/>
        <v>-3.4535755134754709E-2</v>
      </c>
      <c r="N140" s="16">
        <f t="shared" si="27"/>
        <v>3.4535755134754709E-2</v>
      </c>
      <c r="O140" s="17">
        <f t="shared" si="28"/>
        <v>100.12171424486525</v>
      </c>
      <c r="P140" s="17" t="str">
        <f t="shared" si="29"/>
        <v>No</v>
      </c>
    </row>
    <row r="141" spans="1:16" ht="15" customHeight="1" x14ac:dyDescent="0.25">
      <c r="A141" s="18">
        <v>47284</v>
      </c>
      <c r="B141" s="19">
        <v>4.125</v>
      </c>
      <c r="C141" s="19">
        <v>99.054000000000002</v>
      </c>
      <c r="D141" s="19">
        <v>99.063999999999993</v>
      </c>
      <c r="E141" s="20">
        <v>4.4320000000000004</v>
      </c>
      <c r="F141" s="21">
        <f t="shared" si="20"/>
        <v>99.171875</v>
      </c>
      <c r="G141" s="21">
        <f t="shared" si="21"/>
        <v>99.203125</v>
      </c>
      <c r="H141" s="15">
        <f t="shared" si="22"/>
        <v>99.1875</v>
      </c>
      <c r="I141" s="15">
        <f t="shared" si="23"/>
        <v>0.91290983606557374</v>
      </c>
      <c r="J141" s="16">
        <f t="shared" si="24"/>
        <v>100.10040983606558</v>
      </c>
      <c r="K141" s="16">
        <f t="shared" si="25"/>
        <v>2.7808219178082192</v>
      </c>
      <c r="L141" s="16">
        <f>SUMIF('Cash Flows'!$A$2:$A$5628,ROW(),'Cash Flows'!$E$2:$E$5628)</f>
        <v>100.05628223038401</v>
      </c>
      <c r="M141" s="16">
        <f t="shared" si="26"/>
        <v>-4.4127605681566706E-2</v>
      </c>
      <c r="N141" s="16">
        <f t="shared" si="27"/>
        <v>4.4127605681566706E-2</v>
      </c>
      <c r="O141" s="17">
        <f t="shared" si="28"/>
        <v>99.143372394318433</v>
      </c>
      <c r="P141" s="17" t="str">
        <f t="shared" si="29"/>
        <v>No</v>
      </c>
    </row>
    <row r="142" spans="1:16" ht="15" customHeight="1" x14ac:dyDescent="0.25">
      <c r="A142" s="18">
        <v>47299</v>
      </c>
      <c r="B142" s="19">
        <v>3.25</v>
      </c>
      <c r="C142" s="19">
        <v>96.27</v>
      </c>
      <c r="D142" s="19">
        <v>96.28</v>
      </c>
      <c r="E142" s="20">
        <v>4.444</v>
      </c>
      <c r="F142" s="21">
        <f t="shared" si="20"/>
        <v>96.84375</v>
      </c>
      <c r="G142" s="21">
        <f t="shared" si="21"/>
        <v>96.875</v>
      </c>
      <c r="H142" s="15">
        <f t="shared" si="22"/>
        <v>96.859375</v>
      </c>
      <c r="I142" s="15">
        <f t="shared" si="23"/>
        <v>0.58606557377049184</v>
      </c>
      <c r="J142" s="16">
        <f t="shared" si="24"/>
        <v>97.445440573770497</v>
      </c>
      <c r="K142" s="16">
        <f t="shared" si="25"/>
        <v>2.8219178082191783</v>
      </c>
      <c r="L142" s="16">
        <f>SUMIF('Cash Flows'!$A$2:$A$5628,ROW(),'Cash Flows'!$E$2:$E$5628)</f>
        <v>97.411140433351306</v>
      </c>
      <c r="M142" s="16">
        <f t="shared" si="26"/>
        <v>-3.4300140419190939E-2</v>
      </c>
      <c r="N142" s="16">
        <f t="shared" si="27"/>
        <v>3.4300140419190939E-2</v>
      </c>
      <c r="O142" s="17">
        <f t="shared" si="28"/>
        <v>96.825074859580809</v>
      </c>
      <c r="P142" s="17" t="str">
        <f t="shared" si="29"/>
        <v>No</v>
      </c>
    </row>
    <row r="143" spans="1:16" ht="15" customHeight="1" x14ac:dyDescent="0.25">
      <c r="A143" s="18">
        <v>47299</v>
      </c>
      <c r="B143" s="19">
        <v>4.25</v>
      </c>
      <c r="C143" s="19">
        <v>99.152000000000001</v>
      </c>
      <c r="D143" s="19">
        <v>99.162000000000006</v>
      </c>
      <c r="E143" s="20">
        <v>4.4359999999999999</v>
      </c>
      <c r="F143" s="21">
        <f t="shared" si="20"/>
        <v>99.4765625</v>
      </c>
      <c r="G143" s="21">
        <f t="shared" si="21"/>
        <v>99.5078125</v>
      </c>
      <c r="H143" s="15">
        <f t="shared" si="22"/>
        <v>99.4921875</v>
      </c>
      <c r="I143" s="15">
        <f t="shared" si="23"/>
        <v>0.76639344262295084</v>
      </c>
      <c r="J143" s="16">
        <f t="shared" si="24"/>
        <v>100.25858094262296</v>
      </c>
      <c r="K143" s="16">
        <f t="shared" si="25"/>
        <v>2.8219178082191783</v>
      </c>
      <c r="L143" s="16">
        <f>SUMIF('Cash Flows'!$A$2:$A$5628,ROW(),'Cash Flows'!$E$2:$E$5628)</f>
        <v>100.21689841132782</v>
      </c>
      <c r="M143" s="16">
        <f t="shared" si="26"/>
        <v>-4.1682531295137437E-2</v>
      </c>
      <c r="N143" s="16">
        <f t="shared" si="27"/>
        <v>4.1682531295137437E-2</v>
      </c>
      <c r="O143" s="17">
        <f t="shared" si="28"/>
        <v>99.450504968704863</v>
      </c>
      <c r="P143" s="17" t="str">
        <f t="shared" si="29"/>
        <v>No</v>
      </c>
    </row>
    <row r="144" spans="1:16" ht="15" customHeight="1" x14ac:dyDescent="0.25">
      <c r="A144" s="18">
        <v>47314</v>
      </c>
      <c r="B144" s="19">
        <v>4.125</v>
      </c>
      <c r="C144" s="19">
        <v>99.04</v>
      </c>
      <c r="D144" s="19">
        <v>99.05</v>
      </c>
      <c r="E144" s="20">
        <v>4.4420000000000002</v>
      </c>
      <c r="F144" s="21">
        <f t="shared" si="20"/>
        <v>99.125</v>
      </c>
      <c r="G144" s="21">
        <f t="shared" si="21"/>
        <v>99.15625</v>
      </c>
      <c r="H144" s="15">
        <f t="shared" si="22"/>
        <v>99.140625</v>
      </c>
      <c r="I144" s="15">
        <f t="shared" si="23"/>
        <v>0.57167119565217395</v>
      </c>
      <c r="J144" s="16">
        <f t="shared" si="24"/>
        <v>99.712296195652172</v>
      </c>
      <c r="K144" s="16">
        <f t="shared" si="25"/>
        <v>2.8630136986301369</v>
      </c>
      <c r="L144" s="16">
        <f>SUMIF('Cash Flows'!$A$2:$A$5628,ROW(),'Cash Flows'!$E$2:$E$5628)</f>
        <v>99.677057077796434</v>
      </c>
      <c r="M144" s="16">
        <f t="shared" si="26"/>
        <v>-3.52391178557383E-2</v>
      </c>
      <c r="N144" s="16">
        <f t="shared" si="27"/>
        <v>3.52391178557383E-2</v>
      </c>
      <c r="O144" s="17">
        <f t="shared" si="28"/>
        <v>99.105385882144262</v>
      </c>
      <c r="P144" s="17" t="str">
        <f t="shared" si="29"/>
        <v>No</v>
      </c>
    </row>
    <row r="145" spans="1:16" ht="15" customHeight="1" x14ac:dyDescent="0.25">
      <c r="A145" s="18">
        <v>47330</v>
      </c>
      <c r="B145" s="19">
        <v>2.625</v>
      </c>
      <c r="C145" s="19">
        <v>95.024000000000001</v>
      </c>
      <c r="D145" s="19">
        <v>95.034000000000006</v>
      </c>
      <c r="E145" s="20">
        <v>4.444</v>
      </c>
      <c r="F145" s="21">
        <f t="shared" si="20"/>
        <v>95.078125</v>
      </c>
      <c r="G145" s="21">
        <f t="shared" si="21"/>
        <v>95.109375</v>
      </c>
      <c r="H145" s="15">
        <f t="shared" si="22"/>
        <v>95.09375</v>
      </c>
      <c r="I145" s="15">
        <f t="shared" si="23"/>
        <v>0.24966032608695651</v>
      </c>
      <c r="J145" s="16">
        <f t="shared" si="24"/>
        <v>95.343410326086953</v>
      </c>
      <c r="K145" s="16">
        <f t="shared" si="25"/>
        <v>2.9068493150684933</v>
      </c>
      <c r="L145" s="16">
        <f>SUMIF('Cash Flows'!$A$2:$A$5628,ROW(),'Cash Flows'!$E$2:$E$5628)</f>
        <v>95.28307842709124</v>
      </c>
      <c r="M145" s="16">
        <f t="shared" si="26"/>
        <v>-6.0331898995713118E-2</v>
      </c>
      <c r="N145" s="16">
        <f t="shared" si="27"/>
        <v>6.0331898995713118E-2</v>
      </c>
      <c r="O145" s="17">
        <f t="shared" si="28"/>
        <v>95.033418101004287</v>
      </c>
      <c r="P145" s="17" t="str">
        <f t="shared" si="29"/>
        <v>No</v>
      </c>
    </row>
    <row r="146" spans="1:16" ht="15" customHeight="1" x14ac:dyDescent="0.25">
      <c r="A146" s="18">
        <v>47330</v>
      </c>
      <c r="B146" s="19">
        <v>4</v>
      </c>
      <c r="C146" s="19">
        <v>98.244</v>
      </c>
      <c r="D146" s="19">
        <v>98.254000000000005</v>
      </c>
      <c r="E146" s="20">
        <v>4.4459999999999997</v>
      </c>
      <c r="F146" s="21">
        <f t="shared" si="20"/>
        <v>98.765625</v>
      </c>
      <c r="G146" s="21">
        <f t="shared" si="21"/>
        <v>98.796875</v>
      </c>
      <c r="H146" s="15">
        <f t="shared" si="22"/>
        <v>98.78125</v>
      </c>
      <c r="I146" s="15">
        <f t="shared" si="23"/>
        <v>0.38043478260869568</v>
      </c>
      <c r="J146" s="16">
        <f t="shared" si="24"/>
        <v>99.161684782608702</v>
      </c>
      <c r="K146" s="16">
        <f t="shared" si="25"/>
        <v>2.9068493150684933</v>
      </c>
      <c r="L146" s="16">
        <f>SUMIF('Cash Flows'!$A$2:$A$5628,ROW(),'Cash Flows'!$E$2:$E$5628)</f>
        <v>99.126433349800351</v>
      </c>
      <c r="M146" s="16">
        <f t="shared" si="26"/>
        <v>-3.5251432808351524E-2</v>
      </c>
      <c r="N146" s="16">
        <f t="shared" si="27"/>
        <v>3.5251432808351524E-2</v>
      </c>
      <c r="O146" s="17">
        <f t="shared" si="28"/>
        <v>98.745998567191648</v>
      </c>
      <c r="P146" s="17" t="str">
        <f t="shared" si="29"/>
        <v>No</v>
      </c>
    </row>
    <row r="147" spans="1:16" ht="15" customHeight="1" x14ac:dyDescent="0.25">
      <c r="A147" s="18">
        <v>47345</v>
      </c>
      <c r="B147" s="19">
        <v>1.625</v>
      </c>
      <c r="C147" s="19">
        <v>92.103999999999999</v>
      </c>
      <c r="D147" s="19">
        <v>92.114000000000004</v>
      </c>
      <c r="E147" s="20">
        <v>4.43</v>
      </c>
      <c r="F147" s="21">
        <f t="shared" si="20"/>
        <v>92.328125</v>
      </c>
      <c r="G147" s="21">
        <f t="shared" si="21"/>
        <v>92.359375</v>
      </c>
      <c r="H147" s="15">
        <f t="shared" si="22"/>
        <v>92.34375</v>
      </c>
      <c r="I147" s="15">
        <f t="shared" si="23"/>
        <v>8.8315217391304351E-2</v>
      </c>
      <c r="J147" s="16">
        <f t="shared" si="24"/>
        <v>92.432065217391298</v>
      </c>
      <c r="K147" s="16">
        <f t="shared" si="25"/>
        <v>2.9479452054794519</v>
      </c>
      <c r="L147" s="16">
        <f>SUMIF('Cash Flows'!$A$2:$A$5628,ROW(),'Cash Flows'!$E$2:$E$5628)</f>
        <v>92.31223185060523</v>
      </c>
      <c r="M147" s="16">
        <f t="shared" si="26"/>
        <v>-0.11983336678606804</v>
      </c>
      <c r="N147" s="16">
        <f t="shared" si="27"/>
        <v>0.11983336678606804</v>
      </c>
      <c r="O147" s="17">
        <f t="shared" si="28"/>
        <v>92.223916633213932</v>
      </c>
      <c r="P147" s="17" t="str">
        <f t="shared" si="29"/>
        <v>No</v>
      </c>
    </row>
    <row r="148" spans="1:16" ht="15" customHeight="1" x14ac:dyDescent="0.25">
      <c r="A148" s="18">
        <v>47345</v>
      </c>
      <c r="B148" s="19">
        <v>4.25</v>
      </c>
      <c r="C148" s="19">
        <v>99.14</v>
      </c>
      <c r="D148" s="19">
        <v>99.15</v>
      </c>
      <c r="E148" s="20">
        <v>4.444</v>
      </c>
      <c r="F148" s="21">
        <f t="shared" si="20"/>
        <v>99.4375</v>
      </c>
      <c r="G148" s="21">
        <f t="shared" si="21"/>
        <v>99.46875</v>
      </c>
      <c r="H148" s="15">
        <f t="shared" si="22"/>
        <v>99.453125</v>
      </c>
      <c r="I148" s="15">
        <f t="shared" si="23"/>
        <v>0.23097826086956522</v>
      </c>
      <c r="J148" s="16">
        <f t="shared" si="24"/>
        <v>99.684103260869563</v>
      </c>
      <c r="K148" s="16">
        <f t="shared" si="25"/>
        <v>2.9479452054794519</v>
      </c>
      <c r="L148" s="16">
        <f>SUMIF('Cash Flows'!$A$2:$A$5628,ROW(),'Cash Flows'!$E$2:$E$5628)</f>
        <v>99.636079131885197</v>
      </c>
      <c r="M148" s="16">
        <f t="shared" si="26"/>
        <v>-4.8024128984366143E-2</v>
      </c>
      <c r="N148" s="16">
        <f t="shared" si="27"/>
        <v>4.8024128984366143E-2</v>
      </c>
      <c r="O148" s="17">
        <f t="shared" si="28"/>
        <v>99.405100871015634</v>
      </c>
      <c r="P148" s="17" t="str">
        <f t="shared" si="29"/>
        <v>No</v>
      </c>
    </row>
    <row r="149" spans="1:16" ht="15" customHeight="1" x14ac:dyDescent="0.25">
      <c r="A149" s="18">
        <v>47345</v>
      </c>
      <c r="B149" s="19">
        <v>6.125</v>
      </c>
      <c r="C149" s="19">
        <v>104.17</v>
      </c>
      <c r="D149" s="19">
        <v>104.18</v>
      </c>
      <c r="E149" s="20">
        <v>4.4480000000000004</v>
      </c>
      <c r="F149" s="21">
        <f t="shared" si="20"/>
        <v>104.53125</v>
      </c>
      <c r="G149" s="21">
        <f t="shared" si="21"/>
        <v>104.5625</v>
      </c>
      <c r="H149" s="15">
        <f t="shared" si="22"/>
        <v>104.546875</v>
      </c>
      <c r="I149" s="15">
        <f t="shared" si="23"/>
        <v>0.3328804347826087</v>
      </c>
      <c r="J149" s="16">
        <f t="shared" si="24"/>
        <v>104.87975543478261</v>
      </c>
      <c r="K149" s="16">
        <f t="shared" si="25"/>
        <v>2.9479452054794519</v>
      </c>
      <c r="L149" s="16">
        <f>SUMIF('Cash Flows'!$A$2:$A$5628,ROW(),'Cash Flows'!$E$2:$E$5628)</f>
        <v>104.86739861851376</v>
      </c>
      <c r="M149" s="16">
        <f t="shared" si="26"/>
        <v>-1.2356816268848547E-2</v>
      </c>
      <c r="N149" s="16">
        <f t="shared" si="27"/>
        <v>1.2356816268848547E-2</v>
      </c>
      <c r="O149" s="17">
        <f t="shared" si="28"/>
        <v>104.53451818373115</v>
      </c>
      <c r="P149" s="17" t="str">
        <f t="shared" si="29"/>
        <v>Yes</v>
      </c>
    </row>
    <row r="150" spans="1:16" ht="15" customHeight="1" x14ac:dyDescent="0.25">
      <c r="A150" s="18">
        <v>47361</v>
      </c>
      <c r="B150" s="19">
        <v>3.125</v>
      </c>
      <c r="C150" s="19">
        <v>96.096000000000004</v>
      </c>
      <c r="D150" s="19">
        <v>96.111999999999995</v>
      </c>
      <c r="E150" s="20">
        <v>4.4459999999999997</v>
      </c>
      <c r="F150" s="21">
        <f t="shared" si="20"/>
        <v>96.3046875</v>
      </c>
      <c r="G150" s="21">
        <f t="shared" si="21"/>
        <v>96.3515625</v>
      </c>
      <c r="H150" s="15">
        <f t="shared" si="22"/>
        <v>96.328125</v>
      </c>
      <c r="I150" s="15">
        <f t="shared" si="23"/>
        <v>3.4530386740331494E-2</v>
      </c>
      <c r="J150" s="16">
        <f t="shared" si="24"/>
        <v>96.362655386740329</v>
      </c>
      <c r="K150" s="16">
        <f t="shared" si="25"/>
        <v>2.9917808219178084</v>
      </c>
      <c r="L150" s="16">
        <f>SUMIF('Cash Flows'!$A$2:$A$5628,ROW(),'Cash Flows'!$E$2:$E$5628)</f>
        <v>96.303196635577535</v>
      </c>
      <c r="M150" s="16">
        <f t="shared" si="26"/>
        <v>-5.9458751162793533E-2</v>
      </c>
      <c r="N150" s="16">
        <f t="shared" si="27"/>
        <v>5.9458751162793533E-2</v>
      </c>
      <c r="O150" s="17">
        <f t="shared" si="28"/>
        <v>96.268666248837206</v>
      </c>
      <c r="P150" s="17" t="str">
        <f t="shared" si="29"/>
        <v>No</v>
      </c>
    </row>
    <row r="151" spans="1:16" ht="15" customHeight="1" x14ac:dyDescent="0.25">
      <c r="A151" s="18">
        <v>47361</v>
      </c>
      <c r="B151" s="19">
        <v>3.625</v>
      </c>
      <c r="C151" s="19">
        <v>97.213999999999999</v>
      </c>
      <c r="D151" s="19">
        <v>97.23</v>
      </c>
      <c r="E151" s="20">
        <v>4.4509999999999996</v>
      </c>
      <c r="F151" s="21">
        <f t="shared" si="20"/>
        <v>97.671875</v>
      </c>
      <c r="G151" s="21">
        <f t="shared" si="21"/>
        <v>97.71875</v>
      </c>
      <c r="H151" s="15">
        <f t="shared" si="22"/>
        <v>97.6953125</v>
      </c>
      <c r="I151" s="15">
        <f t="shared" si="23"/>
        <v>4.0055248618784532E-2</v>
      </c>
      <c r="J151" s="16">
        <f t="shared" si="24"/>
        <v>97.735367748618785</v>
      </c>
      <c r="K151" s="16">
        <f t="shared" si="25"/>
        <v>2.9917808219178084</v>
      </c>
      <c r="L151" s="16">
        <f>SUMIF('Cash Flows'!$A$2:$A$5628,ROW(),'Cash Flows'!$E$2:$E$5628)</f>
        <v>97.695704397072021</v>
      </c>
      <c r="M151" s="16">
        <f t="shared" si="26"/>
        <v>-3.9663351546764147E-2</v>
      </c>
      <c r="N151" s="16">
        <f t="shared" si="27"/>
        <v>3.9663351546764147E-2</v>
      </c>
      <c r="O151" s="17">
        <f t="shared" si="28"/>
        <v>97.655649148453236</v>
      </c>
      <c r="P151" s="17" t="str">
        <f t="shared" si="29"/>
        <v>No</v>
      </c>
    </row>
    <row r="152" spans="1:16" ht="15" customHeight="1" x14ac:dyDescent="0.25">
      <c r="A152" s="18">
        <v>47391</v>
      </c>
      <c r="B152" s="19">
        <v>3.5</v>
      </c>
      <c r="C152" s="19">
        <v>97.075999999999993</v>
      </c>
      <c r="D152" s="19">
        <v>97.091999999999999</v>
      </c>
      <c r="E152" s="20">
        <v>4.4569999999999999</v>
      </c>
      <c r="F152" s="21">
        <f t="shared" si="20"/>
        <v>97.2421875</v>
      </c>
      <c r="G152" s="21">
        <f t="shared" si="21"/>
        <v>97.2890625</v>
      </c>
      <c r="H152" s="15">
        <f t="shared" si="22"/>
        <v>97.265625</v>
      </c>
      <c r="I152" s="15">
        <f t="shared" si="23"/>
        <v>1.5013661202185793</v>
      </c>
      <c r="J152" s="16">
        <f t="shared" si="24"/>
        <v>98.766991120218577</v>
      </c>
      <c r="K152" s="16">
        <f t="shared" si="25"/>
        <v>3.0739726027397261</v>
      </c>
      <c r="L152" s="16">
        <f>SUMIF('Cash Flows'!$A$2:$A$5628,ROW(),'Cash Flows'!$E$2:$E$5628)</f>
        <v>98.72326543063059</v>
      </c>
      <c r="M152" s="16">
        <f t="shared" si="26"/>
        <v>-4.3725689587986949E-2</v>
      </c>
      <c r="N152" s="16">
        <f t="shared" si="27"/>
        <v>4.3725689587986949E-2</v>
      </c>
      <c r="O152" s="17">
        <f t="shared" si="28"/>
        <v>97.221899310412013</v>
      </c>
      <c r="P152" s="17" t="str">
        <f t="shared" si="29"/>
        <v>No</v>
      </c>
    </row>
    <row r="153" spans="1:16" ht="15" customHeight="1" x14ac:dyDescent="0.25">
      <c r="A153" s="18">
        <v>47391</v>
      </c>
      <c r="B153" s="19">
        <v>3.875</v>
      </c>
      <c r="C153" s="19">
        <v>98.1</v>
      </c>
      <c r="D153" s="19">
        <v>98.114000000000004</v>
      </c>
      <c r="E153" s="20">
        <v>4.4539999999999997</v>
      </c>
      <c r="F153" s="21">
        <f t="shared" si="20"/>
        <v>98.3125</v>
      </c>
      <c r="G153" s="21">
        <f t="shared" si="21"/>
        <v>98.359375</v>
      </c>
      <c r="H153" s="15">
        <f t="shared" si="22"/>
        <v>98.3359375</v>
      </c>
      <c r="I153" s="15">
        <f t="shared" si="23"/>
        <v>1.6622267759562841</v>
      </c>
      <c r="J153" s="16">
        <f t="shared" si="24"/>
        <v>99.998164275956285</v>
      </c>
      <c r="K153" s="16">
        <f t="shared" si="25"/>
        <v>3.0739726027397261</v>
      </c>
      <c r="L153" s="16">
        <f>SUMIF('Cash Flows'!$A$2:$A$5628,ROW(),'Cash Flows'!$E$2:$E$5628)</f>
        <v>99.950728410846693</v>
      </c>
      <c r="M153" s="16">
        <f t="shared" si="26"/>
        <v>-4.7435865109591191E-2</v>
      </c>
      <c r="N153" s="16">
        <f t="shared" si="27"/>
        <v>4.7435865109591191E-2</v>
      </c>
      <c r="O153" s="17">
        <f t="shared" si="28"/>
        <v>98.288501634890409</v>
      </c>
      <c r="P153" s="17" t="str">
        <f t="shared" si="29"/>
        <v>No</v>
      </c>
    </row>
    <row r="154" spans="1:16" ht="15" customHeight="1" x14ac:dyDescent="0.25">
      <c r="A154" s="18">
        <v>47422</v>
      </c>
      <c r="B154" s="19">
        <v>4</v>
      </c>
      <c r="C154" s="19">
        <v>98.191999999999993</v>
      </c>
      <c r="D154" s="19">
        <v>98.206000000000003</v>
      </c>
      <c r="E154" s="20">
        <v>4.4640000000000004</v>
      </c>
      <c r="F154" s="21">
        <f t="shared" si="20"/>
        <v>98.6015625</v>
      </c>
      <c r="G154" s="21">
        <f t="shared" si="21"/>
        <v>98.6484375</v>
      </c>
      <c r="H154" s="15">
        <f t="shared" si="22"/>
        <v>98.625</v>
      </c>
      <c r="I154" s="15">
        <f t="shared" si="23"/>
        <v>1.3879781420765027</v>
      </c>
      <c r="J154" s="16">
        <f t="shared" si="24"/>
        <v>100.01297814207651</v>
      </c>
      <c r="K154" s="16">
        <f t="shared" si="25"/>
        <v>3.1589041095890411</v>
      </c>
      <c r="L154" s="16">
        <f>SUMIF('Cash Flows'!$A$2:$A$5628,ROW(),'Cash Flows'!$E$2:$E$5628)</f>
        <v>99.968905144529145</v>
      </c>
      <c r="M154" s="16">
        <f t="shared" si="26"/>
        <v>-4.407299754736016E-2</v>
      </c>
      <c r="N154" s="16">
        <f t="shared" si="27"/>
        <v>4.407299754736016E-2</v>
      </c>
      <c r="O154" s="17">
        <f t="shared" si="28"/>
        <v>98.58092700245264</v>
      </c>
      <c r="P154" s="17" t="str">
        <f t="shared" si="29"/>
        <v>No</v>
      </c>
    </row>
    <row r="155" spans="1:16" ht="15" customHeight="1" x14ac:dyDescent="0.25">
      <c r="A155" s="18">
        <v>47422</v>
      </c>
      <c r="B155" s="19">
        <v>4.125</v>
      </c>
      <c r="C155" s="19">
        <v>98.31</v>
      </c>
      <c r="D155" s="19">
        <v>99.004000000000005</v>
      </c>
      <c r="E155" s="20">
        <v>4.4619999999999997</v>
      </c>
      <c r="F155" s="21">
        <f t="shared" si="20"/>
        <v>98.96875</v>
      </c>
      <c r="G155" s="21">
        <f t="shared" si="21"/>
        <v>99.015625</v>
      </c>
      <c r="H155" s="15">
        <f t="shared" si="22"/>
        <v>98.9921875</v>
      </c>
      <c r="I155" s="15">
        <f t="shared" si="23"/>
        <v>1.4313524590163935</v>
      </c>
      <c r="J155" s="16">
        <f t="shared" si="24"/>
        <v>100.4235399590164</v>
      </c>
      <c r="K155" s="16">
        <f t="shared" si="25"/>
        <v>3.1589041095890411</v>
      </c>
      <c r="L155" s="16">
        <f>SUMIF('Cash Flows'!$A$2:$A$5628,ROW(),'Cash Flows'!$E$2:$E$5628)</f>
        <v>100.37655081959383</v>
      </c>
      <c r="M155" s="16">
        <f t="shared" si="26"/>
        <v>-4.6989139422564108E-2</v>
      </c>
      <c r="N155" s="16">
        <f t="shared" si="27"/>
        <v>4.6989139422564108E-2</v>
      </c>
      <c r="O155" s="17">
        <f t="shared" si="28"/>
        <v>98.945198360577436</v>
      </c>
      <c r="P155" s="17" t="str">
        <f t="shared" si="29"/>
        <v>No</v>
      </c>
    </row>
    <row r="156" spans="1:16" ht="15" customHeight="1" x14ac:dyDescent="0.25">
      <c r="A156" s="18">
        <v>47437</v>
      </c>
      <c r="B156" s="19">
        <v>1.75</v>
      </c>
      <c r="C156" s="19">
        <v>92</v>
      </c>
      <c r="D156" s="19">
        <v>92.013999999999996</v>
      </c>
      <c r="E156" s="20">
        <v>4.4550000000000001</v>
      </c>
      <c r="F156" s="21">
        <f t="shared" si="20"/>
        <v>92</v>
      </c>
      <c r="G156" s="21">
        <f t="shared" si="21"/>
        <v>92.046875</v>
      </c>
      <c r="H156" s="15">
        <f t="shared" si="22"/>
        <v>92.0234375</v>
      </c>
      <c r="I156" s="15">
        <f t="shared" si="23"/>
        <v>0.53260869565217395</v>
      </c>
      <c r="J156" s="16">
        <f t="shared" si="24"/>
        <v>92.556046195652172</v>
      </c>
      <c r="K156" s="16">
        <f t="shared" si="25"/>
        <v>3.2</v>
      </c>
      <c r="L156" s="16">
        <f>SUMIF('Cash Flows'!$A$2:$A$5628,ROW(),'Cash Flows'!$E$2:$E$5628)</f>
        <v>92.45548415757618</v>
      </c>
      <c r="M156" s="16">
        <f t="shared" si="26"/>
        <v>-0.10056203807599218</v>
      </c>
      <c r="N156" s="16">
        <f t="shared" si="27"/>
        <v>0.10056203807599218</v>
      </c>
      <c r="O156" s="17">
        <f t="shared" si="28"/>
        <v>91.922875461924008</v>
      </c>
      <c r="P156" s="17" t="str">
        <f t="shared" si="29"/>
        <v>No</v>
      </c>
    </row>
    <row r="157" spans="1:16" ht="15" customHeight="1" x14ac:dyDescent="0.25">
      <c r="A157" s="18">
        <v>47452</v>
      </c>
      <c r="B157" s="19">
        <v>3.875</v>
      </c>
      <c r="C157" s="19">
        <v>98.061999999999998</v>
      </c>
      <c r="D157" s="19">
        <v>98.075999999999993</v>
      </c>
      <c r="E157" s="20">
        <v>4.4640000000000004</v>
      </c>
      <c r="F157" s="21">
        <f t="shared" si="20"/>
        <v>98.1953125</v>
      </c>
      <c r="G157" s="21">
        <f t="shared" si="21"/>
        <v>98.2421875</v>
      </c>
      <c r="H157" s="15">
        <f t="shared" si="22"/>
        <v>98.21875</v>
      </c>
      <c r="I157" s="15">
        <f t="shared" si="23"/>
        <v>1.0163934426229508</v>
      </c>
      <c r="J157" s="16">
        <f t="shared" si="24"/>
        <v>99.235143442622956</v>
      </c>
      <c r="K157" s="16">
        <f t="shared" si="25"/>
        <v>3.2410958904109588</v>
      </c>
      <c r="L157" s="16">
        <f>SUMIF('Cash Flows'!$A$2:$A$5628,ROW(),'Cash Flows'!$E$2:$E$5628)</f>
        <v>99.184096311877127</v>
      </c>
      <c r="M157" s="16">
        <f t="shared" si="26"/>
        <v>-5.1047130745828895E-2</v>
      </c>
      <c r="N157" s="16">
        <f t="shared" si="27"/>
        <v>5.1047130745828895E-2</v>
      </c>
      <c r="O157" s="17">
        <f t="shared" si="28"/>
        <v>98.167702869254171</v>
      </c>
      <c r="P157" s="17" t="str">
        <f t="shared" si="29"/>
        <v>No</v>
      </c>
    </row>
    <row r="158" spans="1:16" ht="15" customHeight="1" x14ac:dyDescent="0.25">
      <c r="A158" s="18">
        <v>47452</v>
      </c>
      <c r="B158" s="19">
        <v>4.125</v>
      </c>
      <c r="C158" s="19">
        <v>98.296000000000006</v>
      </c>
      <c r="D158" s="19">
        <v>98.311999999999998</v>
      </c>
      <c r="E158" s="20">
        <v>4.4669999999999996</v>
      </c>
      <c r="F158" s="21">
        <f t="shared" si="20"/>
        <v>98.9296875</v>
      </c>
      <c r="G158" s="21">
        <f t="shared" si="21"/>
        <v>98.9765625</v>
      </c>
      <c r="H158" s="15">
        <f t="shared" si="22"/>
        <v>98.953125</v>
      </c>
      <c r="I158" s="15">
        <f t="shared" si="23"/>
        <v>1.0819672131147542</v>
      </c>
      <c r="J158" s="16">
        <f t="shared" si="24"/>
        <v>100.03509221311475</v>
      </c>
      <c r="K158" s="16">
        <f t="shared" si="25"/>
        <v>3.2410958904109588</v>
      </c>
      <c r="L158" s="16">
        <f>SUMIF('Cash Flows'!$A$2:$A$5628,ROW(),'Cash Flows'!$E$2:$E$5628)</f>
        <v>99.99637874797331</v>
      </c>
      <c r="M158" s="16">
        <f t="shared" si="26"/>
        <v>-3.8713465141441361E-2</v>
      </c>
      <c r="N158" s="16">
        <f t="shared" si="27"/>
        <v>3.8713465141441361E-2</v>
      </c>
      <c r="O158" s="17">
        <f t="shared" si="28"/>
        <v>98.914411534858559</v>
      </c>
      <c r="P158" s="17" t="str">
        <f t="shared" si="29"/>
        <v>No</v>
      </c>
    </row>
    <row r="159" spans="1:16" ht="15" customHeight="1" x14ac:dyDescent="0.25">
      <c r="A159" s="18">
        <v>47483</v>
      </c>
      <c r="B159" s="19">
        <v>3.875</v>
      </c>
      <c r="C159" s="19">
        <v>98.036000000000001</v>
      </c>
      <c r="D159" s="19">
        <v>98.052000000000007</v>
      </c>
      <c r="E159" s="20">
        <v>4.476</v>
      </c>
      <c r="F159" s="21">
        <f t="shared" si="20"/>
        <v>98.1171875</v>
      </c>
      <c r="G159" s="21">
        <f t="shared" si="21"/>
        <v>98.1640625</v>
      </c>
      <c r="H159" s="15">
        <f t="shared" si="22"/>
        <v>98.140625</v>
      </c>
      <c r="I159" s="15">
        <f t="shared" si="23"/>
        <v>0.69877049180327866</v>
      </c>
      <c r="J159" s="16">
        <f t="shared" si="24"/>
        <v>98.839395491803273</v>
      </c>
      <c r="K159" s="16">
        <f t="shared" si="25"/>
        <v>3.3260273972602739</v>
      </c>
      <c r="L159" s="16">
        <f>SUMIF('Cash Flows'!$A$2:$A$5628,ROW(),'Cash Flows'!$E$2:$E$5628)</f>
        <v>98.797129678800744</v>
      </c>
      <c r="M159" s="16">
        <f t="shared" si="26"/>
        <v>-4.226581300252974E-2</v>
      </c>
      <c r="N159" s="16">
        <f t="shared" si="27"/>
        <v>4.226581300252974E-2</v>
      </c>
      <c r="O159" s="17">
        <f t="shared" si="28"/>
        <v>98.09835918699747</v>
      </c>
      <c r="P159" s="17" t="str">
        <f t="shared" si="29"/>
        <v>No</v>
      </c>
    </row>
    <row r="160" spans="1:16" ht="15" customHeight="1" x14ac:dyDescent="0.25">
      <c r="A160" s="18">
        <v>47483</v>
      </c>
      <c r="B160" s="19">
        <v>4.375</v>
      </c>
      <c r="C160" s="19">
        <v>99.206000000000003</v>
      </c>
      <c r="D160" s="19">
        <v>99.221999999999994</v>
      </c>
      <c r="E160" s="20">
        <v>4.4729999999999999</v>
      </c>
      <c r="F160" s="21">
        <f t="shared" si="20"/>
        <v>99.6484375</v>
      </c>
      <c r="G160" s="21">
        <f t="shared" si="21"/>
        <v>99.6953125</v>
      </c>
      <c r="H160" s="15">
        <f t="shared" si="22"/>
        <v>99.671875</v>
      </c>
      <c r="I160" s="15">
        <f t="shared" si="23"/>
        <v>0.78893442622950816</v>
      </c>
      <c r="J160" s="16">
        <f t="shared" si="24"/>
        <v>100.4608094262295</v>
      </c>
      <c r="K160" s="16">
        <f t="shared" si="25"/>
        <v>3.3260273972602739</v>
      </c>
      <c r="L160" s="16">
        <f>SUMIF('Cash Flows'!$A$2:$A$5628,ROW(),'Cash Flows'!$E$2:$E$5628)</f>
        <v>100.41564280025776</v>
      </c>
      <c r="M160" s="16">
        <f t="shared" si="26"/>
        <v>-4.5166625971745589E-2</v>
      </c>
      <c r="N160" s="16">
        <f t="shared" si="27"/>
        <v>4.5166625971745589E-2</v>
      </c>
      <c r="O160" s="17">
        <f t="shared" si="28"/>
        <v>99.626708374028254</v>
      </c>
      <c r="P160" s="17" t="str">
        <f t="shared" si="29"/>
        <v>No</v>
      </c>
    </row>
    <row r="161" spans="1:16" ht="15" customHeight="1" x14ac:dyDescent="0.25">
      <c r="A161" s="18">
        <v>47514</v>
      </c>
      <c r="B161" s="19">
        <v>3.5</v>
      </c>
      <c r="C161" s="19">
        <v>96.28</v>
      </c>
      <c r="D161" s="19">
        <v>96.293999999999997</v>
      </c>
      <c r="E161" s="20">
        <v>4.4870000000000001</v>
      </c>
      <c r="F161" s="21">
        <f t="shared" si="20"/>
        <v>96.875</v>
      </c>
      <c r="G161" s="21">
        <f t="shared" si="21"/>
        <v>96.921875</v>
      </c>
      <c r="H161" s="15">
        <f t="shared" si="22"/>
        <v>96.8984375</v>
      </c>
      <c r="I161" s="15">
        <f t="shared" si="23"/>
        <v>0.3328804347826087</v>
      </c>
      <c r="J161" s="16">
        <f t="shared" si="24"/>
        <v>97.231317934782609</v>
      </c>
      <c r="K161" s="16">
        <f t="shared" si="25"/>
        <v>3.4109589041095889</v>
      </c>
      <c r="L161" s="16">
        <f>SUMIF('Cash Flows'!$A$2:$A$5628,ROW(),'Cash Flows'!$E$2:$E$5628)</f>
        <v>97.201109674360055</v>
      </c>
      <c r="M161" s="16">
        <f t="shared" si="26"/>
        <v>-3.0208260422554645E-2</v>
      </c>
      <c r="N161" s="16">
        <f t="shared" si="27"/>
        <v>3.0208260422554645E-2</v>
      </c>
      <c r="O161" s="17">
        <f t="shared" si="28"/>
        <v>96.868229239577445</v>
      </c>
      <c r="P161" s="17" t="str">
        <f t="shared" si="29"/>
        <v>No</v>
      </c>
    </row>
    <row r="162" spans="1:16" ht="15" customHeight="1" x14ac:dyDescent="0.25">
      <c r="A162" s="18">
        <v>47514</v>
      </c>
      <c r="B162" s="19">
        <v>4.25</v>
      </c>
      <c r="C162" s="19">
        <v>99.073999999999998</v>
      </c>
      <c r="D162" s="19">
        <v>99.09</v>
      </c>
      <c r="E162" s="20">
        <v>4.4790000000000001</v>
      </c>
      <c r="F162" s="21">
        <f t="shared" si="20"/>
        <v>99.234375</v>
      </c>
      <c r="G162" s="21">
        <f t="shared" si="21"/>
        <v>99.28125</v>
      </c>
      <c r="H162" s="15">
        <f t="shared" si="22"/>
        <v>99.2578125</v>
      </c>
      <c r="I162" s="15">
        <f t="shared" si="23"/>
        <v>0.40421195652173914</v>
      </c>
      <c r="J162" s="16">
        <f t="shared" si="24"/>
        <v>99.662024456521735</v>
      </c>
      <c r="K162" s="16">
        <f t="shared" si="25"/>
        <v>3.4109589041095889</v>
      </c>
      <c r="L162" s="16">
        <f>SUMIF('Cash Flows'!$A$2:$A$5628,ROW(),'Cash Flows'!$E$2:$E$5628)</f>
        <v>99.619664537913494</v>
      </c>
      <c r="M162" s="16">
        <f t="shared" si="26"/>
        <v>-4.2359918608241287E-2</v>
      </c>
      <c r="N162" s="16">
        <f t="shared" si="27"/>
        <v>4.2359918608241287E-2</v>
      </c>
      <c r="O162" s="17">
        <f t="shared" si="28"/>
        <v>99.215452581391759</v>
      </c>
      <c r="P162" s="17" t="str">
        <f t="shared" si="29"/>
        <v>No</v>
      </c>
    </row>
    <row r="163" spans="1:16" ht="15" customHeight="1" x14ac:dyDescent="0.25">
      <c r="A163" s="18">
        <v>47529</v>
      </c>
      <c r="B163" s="19">
        <v>1.5</v>
      </c>
      <c r="C163" s="19">
        <v>90.186000000000007</v>
      </c>
      <c r="D163" s="19">
        <v>90.201999999999998</v>
      </c>
      <c r="E163" s="20">
        <v>4.4720000000000004</v>
      </c>
      <c r="F163" s="21">
        <f t="shared" si="20"/>
        <v>90.5859375</v>
      </c>
      <c r="G163" s="21">
        <f t="shared" si="21"/>
        <v>90.6328125</v>
      </c>
      <c r="H163" s="15">
        <f t="shared" si="22"/>
        <v>90.609375</v>
      </c>
      <c r="I163" s="15">
        <f t="shared" si="23"/>
        <v>8.1521739130434784E-2</v>
      </c>
      <c r="J163" s="16">
        <f t="shared" si="24"/>
        <v>90.690896739130437</v>
      </c>
      <c r="K163" s="16">
        <f t="shared" si="25"/>
        <v>3.452054794520548</v>
      </c>
      <c r="L163" s="16">
        <f>SUMIF('Cash Flows'!$A$2:$A$5628,ROW(),'Cash Flows'!$E$2:$E$5628)</f>
        <v>90.579203777044711</v>
      </c>
      <c r="M163" s="16">
        <f t="shared" si="26"/>
        <v>-0.11169296208572632</v>
      </c>
      <c r="N163" s="16">
        <f t="shared" si="27"/>
        <v>0.11169296208572632</v>
      </c>
      <c r="O163" s="17">
        <f t="shared" si="28"/>
        <v>90.497682037914274</v>
      </c>
      <c r="P163" s="17" t="str">
        <f t="shared" si="29"/>
        <v>No</v>
      </c>
    </row>
    <row r="164" spans="1:16" ht="15" customHeight="1" x14ac:dyDescent="0.25">
      <c r="A164" s="18">
        <v>47542</v>
      </c>
      <c r="B164" s="19">
        <v>4</v>
      </c>
      <c r="C164" s="19">
        <v>98.14</v>
      </c>
      <c r="D164" s="19">
        <v>98.153999999999996</v>
      </c>
      <c r="E164" s="20">
        <v>4.4749999999999996</v>
      </c>
      <c r="F164" s="21">
        <f t="shared" si="20"/>
        <v>98.4375</v>
      </c>
      <c r="G164" s="21">
        <f t="shared" si="21"/>
        <v>98.484375</v>
      </c>
      <c r="H164" s="15">
        <f t="shared" si="22"/>
        <v>98.4609375</v>
      </c>
      <c r="I164" s="15">
        <f t="shared" si="23"/>
        <v>4.4198895027624308E-2</v>
      </c>
      <c r="J164" s="16">
        <f t="shared" si="24"/>
        <v>98.50513639502762</v>
      </c>
      <c r="K164" s="16">
        <f t="shared" si="25"/>
        <v>3.4876712328767123</v>
      </c>
      <c r="L164" s="16">
        <f>SUMIF('Cash Flows'!$A$2:$A$5628,ROW(),'Cash Flows'!$E$2:$E$5628)</f>
        <v>98.461895334396104</v>
      </c>
      <c r="M164" s="16">
        <f t="shared" si="26"/>
        <v>-4.3241060631515893E-2</v>
      </c>
      <c r="N164" s="16">
        <f t="shared" si="27"/>
        <v>4.3241060631515893E-2</v>
      </c>
      <c r="O164" s="17">
        <f t="shared" si="28"/>
        <v>98.417696439368484</v>
      </c>
      <c r="P164" s="17" t="str">
        <f t="shared" si="29"/>
        <v>No</v>
      </c>
    </row>
    <row r="165" spans="1:16" ht="15" customHeight="1" x14ac:dyDescent="0.25">
      <c r="A165" s="18">
        <v>47573</v>
      </c>
      <c r="B165" s="19">
        <v>3.625</v>
      </c>
      <c r="C165" s="19">
        <v>97.046000000000006</v>
      </c>
      <c r="D165" s="19">
        <v>97.061999999999998</v>
      </c>
      <c r="E165" s="20">
        <v>4.4859999999999998</v>
      </c>
      <c r="F165" s="21">
        <f t="shared" si="20"/>
        <v>97.1484375</v>
      </c>
      <c r="G165" s="21">
        <f t="shared" si="21"/>
        <v>97.1953125</v>
      </c>
      <c r="H165" s="15">
        <f t="shared" si="22"/>
        <v>97.171875</v>
      </c>
      <c r="I165" s="15">
        <f t="shared" si="23"/>
        <v>1.5549863387978142</v>
      </c>
      <c r="J165" s="16">
        <f t="shared" si="24"/>
        <v>98.726861338797818</v>
      </c>
      <c r="K165" s="16">
        <f t="shared" si="25"/>
        <v>3.5726027397260274</v>
      </c>
      <c r="L165" s="16">
        <f>SUMIF('Cash Flows'!$A$2:$A$5628,ROW(),'Cash Flows'!$E$2:$E$5628)</f>
        <v>98.684469352555084</v>
      </c>
      <c r="M165" s="16">
        <f t="shared" si="26"/>
        <v>-4.2391986242733992E-2</v>
      </c>
      <c r="N165" s="16">
        <f t="shared" si="27"/>
        <v>4.2391986242733992E-2</v>
      </c>
      <c r="O165" s="17">
        <f t="shared" si="28"/>
        <v>97.129483013757266</v>
      </c>
      <c r="P165" s="17" t="str">
        <f t="shared" si="29"/>
        <v>No</v>
      </c>
    </row>
    <row r="166" spans="1:16" ht="15" customHeight="1" x14ac:dyDescent="0.25">
      <c r="A166" s="18">
        <v>47573</v>
      </c>
      <c r="B166" s="19">
        <v>4</v>
      </c>
      <c r="C166" s="19">
        <v>98.116</v>
      </c>
      <c r="D166" s="19">
        <v>98.132000000000005</v>
      </c>
      <c r="E166" s="20">
        <v>4.4859999999999998</v>
      </c>
      <c r="F166" s="21">
        <f t="shared" si="20"/>
        <v>98.3671875</v>
      </c>
      <c r="G166" s="21">
        <f t="shared" si="21"/>
        <v>98.4140625</v>
      </c>
      <c r="H166" s="15">
        <f t="shared" si="22"/>
        <v>98.390625</v>
      </c>
      <c r="I166" s="15">
        <f t="shared" si="23"/>
        <v>1.715846994535519</v>
      </c>
      <c r="J166" s="16">
        <f t="shared" si="24"/>
        <v>100.10647199453553</v>
      </c>
      <c r="K166" s="16">
        <f t="shared" si="25"/>
        <v>3.5726027397260274</v>
      </c>
      <c r="L166" s="16">
        <f>SUMIF('Cash Flows'!$A$2:$A$5628,ROW(),'Cash Flows'!$E$2:$E$5628)</f>
        <v>100.07181998263701</v>
      </c>
      <c r="M166" s="16">
        <f t="shared" si="26"/>
        <v>-3.4652011898515411E-2</v>
      </c>
      <c r="N166" s="16">
        <f t="shared" si="27"/>
        <v>3.4652011898515411E-2</v>
      </c>
      <c r="O166" s="17">
        <f t="shared" si="28"/>
        <v>98.355972988101485</v>
      </c>
      <c r="P166" s="17" t="str">
        <f t="shared" si="29"/>
        <v>No</v>
      </c>
    </row>
    <row r="167" spans="1:16" ht="15" customHeight="1" x14ac:dyDescent="0.25">
      <c r="A167" s="18">
        <v>47603</v>
      </c>
      <c r="B167" s="19">
        <v>3.5</v>
      </c>
      <c r="C167" s="19">
        <v>96.206000000000003</v>
      </c>
      <c r="D167" s="19">
        <v>96.221999999999994</v>
      </c>
      <c r="E167" s="20">
        <v>4.492</v>
      </c>
      <c r="F167" s="21">
        <f t="shared" si="20"/>
        <v>96.6484375</v>
      </c>
      <c r="G167" s="21">
        <f t="shared" si="21"/>
        <v>96.6953125</v>
      </c>
      <c r="H167" s="15">
        <f t="shared" si="22"/>
        <v>96.671875</v>
      </c>
      <c r="I167" s="15">
        <f t="shared" si="23"/>
        <v>1.21448087431694</v>
      </c>
      <c r="J167" s="16">
        <f t="shared" si="24"/>
        <v>97.886355874316934</v>
      </c>
      <c r="K167" s="16">
        <f t="shared" si="25"/>
        <v>3.6547945205479451</v>
      </c>
      <c r="L167" s="16">
        <f>SUMIF('Cash Flows'!$A$2:$A$5628,ROW(),'Cash Flows'!$E$2:$E$5628)</f>
        <v>97.849803178125825</v>
      </c>
      <c r="M167" s="16">
        <f t="shared" si="26"/>
        <v>-3.655269619110868E-2</v>
      </c>
      <c r="N167" s="16">
        <f t="shared" si="27"/>
        <v>3.655269619110868E-2</v>
      </c>
      <c r="O167" s="17">
        <f t="shared" si="28"/>
        <v>96.635322303808891</v>
      </c>
      <c r="P167" s="17" t="str">
        <f t="shared" si="29"/>
        <v>No</v>
      </c>
    </row>
    <row r="168" spans="1:16" ht="15" customHeight="1" x14ac:dyDescent="0.25">
      <c r="A168" s="18">
        <v>47603</v>
      </c>
      <c r="B168" s="19">
        <v>3.875</v>
      </c>
      <c r="C168" s="19">
        <v>97.293999999999997</v>
      </c>
      <c r="D168" s="19">
        <v>97.31</v>
      </c>
      <c r="E168" s="20">
        <v>4.484</v>
      </c>
      <c r="F168" s="21">
        <f t="shared" si="20"/>
        <v>97.921875</v>
      </c>
      <c r="G168" s="21">
        <f t="shared" si="21"/>
        <v>97.96875</v>
      </c>
      <c r="H168" s="15">
        <f t="shared" si="22"/>
        <v>97.9453125</v>
      </c>
      <c r="I168" s="15">
        <f t="shared" si="23"/>
        <v>1.3446038251366119</v>
      </c>
      <c r="J168" s="16">
        <f t="shared" si="24"/>
        <v>99.289916325136616</v>
      </c>
      <c r="K168" s="16">
        <f t="shared" si="25"/>
        <v>3.6547945205479451</v>
      </c>
      <c r="L168" s="16">
        <f>SUMIF('Cash Flows'!$A$2:$A$5628,ROW(),'Cash Flows'!$E$2:$E$5628)</f>
        <v>99.23201979350965</v>
      </c>
      <c r="M168" s="16">
        <f t="shared" si="26"/>
        <v>-5.7896531626965952E-2</v>
      </c>
      <c r="N168" s="16">
        <f t="shared" si="27"/>
        <v>5.7896531626965952E-2</v>
      </c>
      <c r="O168" s="17">
        <f t="shared" si="28"/>
        <v>97.887415968373034</v>
      </c>
      <c r="P168" s="17" t="str">
        <f t="shared" si="29"/>
        <v>No</v>
      </c>
    </row>
    <row r="169" spans="1:16" ht="15" customHeight="1" x14ac:dyDescent="0.25">
      <c r="A169" s="18">
        <v>47618</v>
      </c>
      <c r="B169" s="19">
        <v>0.625</v>
      </c>
      <c r="C169" s="19">
        <v>86.304000000000002</v>
      </c>
      <c r="D169" s="19">
        <v>87</v>
      </c>
      <c r="E169" s="20">
        <v>4.492</v>
      </c>
      <c r="F169" s="21">
        <f t="shared" si="20"/>
        <v>86.953125</v>
      </c>
      <c r="G169" s="21">
        <f t="shared" si="21"/>
        <v>87</v>
      </c>
      <c r="H169" s="15">
        <f t="shared" si="22"/>
        <v>86.9765625</v>
      </c>
      <c r="I169" s="15">
        <f t="shared" si="23"/>
        <v>0.19021739130434784</v>
      </c>
      <c r="J169" s="16">
        <f t="shared" si="24"/>
        <v>87.166779891304344</v>
      </c>
      <c r="K169" s="16">
        <f t="shared" si="25"/>
        <v>3.6958904109589041</v>
      </c>
      <c r="L169" s="16">
        <f>SUMIF('Cash Flows'!$A$2:$A$5628,ROW(),'Cash Flows'!$E$2:$E$5628)</f>
        <v>87.086899042503774</v>
      </c>
      <c r="M169" s="16">
        <f t="shared" si="26"/>
        <v>-7.9880848800570448E-2</v>
      </c>
      <c r="N169" s="16">
        <f t="shared" si="27"/>
        <v>7.9880848800570448E-2</v>
      </c>
      <c r="O169" s="17">
        <f t="shared" si="28"/>
        <v>86.89668165119943</v>
      </c>
      <c r="P169" s="17" t="str">
        <f t="shared" si="29"/>
        <v>No</v>
      </c>
    </row>
    <row r="170" spans="1:16" ht="15" customHeight="1" x14ac:dyDescent="0.25">
      <c r="A170" s="18">
        <v>47618</v>
      </c>
      <c r="B170" s="19">
        <v>6.25</v>
      </c>
      <c r="C170" s="19">
        <v>105.276</v>
      </c>
      <c r="D170" s="19">
        <v>105.292</v>
      </c>
      <c r="E170" s="20">
        <v>4.4880000000000004</v>
      </c>
      <c r="F170" s="21">
        <f t="shared" si="20"/>
        <v>105.8671875</v>
      </c>
      <c r="G170" s="21">
        <f t="shared" si="21"/>
        <v>105.9140625</v>
      </c>
      <c r="H170" s="15">
        <f t="shared" si="22"/>
        <v>105.890625</v>
      </c>
      <c r="I170" s="15">
        <f t="shared" si="23"/>
        <v>1.9021739130434783</v>
      </c>
      <c r="J170" s="16">
        <f t="shared" si="24"/>
        <v>107.79279891304348</v>
      </c>
      <c r="K170" s="16">
        <f t="shared" si="25"/>
        <v>3.6958904109589041</v>
      </c>
      <c r="L170" s="16">
        <f>SUMIF('Cash Flows'!$A$2:$A$5628,ROW(),'Cash Flows'!$E$2:$E$5628)</f>
        <v>107.78223821899023</v>
      </c>
      <c r="M170" s="16">
        <f t="shared" si="26"/>
        <v>-1.0560694053253883E-2</v>
      </c>
      <c r="N170" s="16">
        <f t="shared" si="27"/>
        <v>1.0560694053253883E-2</v>
      </c>
      <c r="O170" s="17">
        <f t="shared" si="28"/>
        <v>105.88006430594675</v>
      </c>
      <c r="P170" s="17" t="str">
        <f t="shared" si="29"/>
        <v>Yes</v>
      </c>
    </row>
    <row r="171" spans="1:16" ht="15" customHeight="1" x14ac:dyDescent="0.25">
      <c r="A171" s="18">
        <v>47634</v>
      </c>
      <c r="B171" s="19">
        <v>3.75</v>
      </c>
      <c r="C171" s="19">
        <v>97.126000000000005</v>
      </c>
      <c r="D171" s="19">
        <v>97.141999999999996</v>
      </c>
      <c r="E171" s="20">
        <v>4.5010000000000003</v>
      </c>
      <c r="F171" s="21">
        <f t="shared" si="20"/>
        <v>97.3984375</v>
      </c>
      <c r="G171" s="21">
        <f t="shared" si="21"/>
        <v>97.4453125</v>
      </c>
      <c r="H171" s="15">
        <f t="shared" si="22"/>
        <v>97.421875</v>
      </c>
      <c r="I171" s="15">
        <f t="shared" si="23"/>
        <v>0.98360655737704916</v>
      </c>
      <c r="J171" s="16">
        <f t="shared" si="24"/>
        <v>98.405481557377044</v>
      </c>
      <c r="K171" s="16">
        <f t="shared" si="25"/>
        <v>3.7397260273972601</v>
      </c>
      <c r="L171" s="16">
        <f>SUMIF('Cash Flows'!$A$2:$A$5628,ROW(),'Cash Flows'!$E$2:$E$5628)</f>
        <v>98.386200596720627</v>
      </c>
      <c r="M171" s="16">
        <f t="shared" si="26"/>
        <v>-1.9280960656416823E-2</v>
      </c>
      <c r="N171" s="16">
        <f t="shared" si="27"/>
        <v>1.9280960656416823E-2</v>
      </c>
      <c r="O171" s="17">
        <f t="shared" si="28"/>
        <v>97.402594039343583</v>
      </c>
      <c r="P171" s="17" t="str">
        <f t="shared" si="29"/>
        <v>Yes</v>
      </c>
    </row>
    <row r="172" spans="1:16" ht="15" customHeight="1" x14ac:dyDescent="0.25">
      <c r="A172" s="18">
        <v>47634</v>
      </c>
      <c r="B172" s="19">
        <v>4</v>
      </c>
      <c r="C172" s="19">
        <v>98.081999999999994</v>
      </c>
      <c r="D172" s="19">
        <v>98.096000000000004</v>
      </c>
      <c r="E172" s="20">
        <v>4.4980000000000002</v>
      </c>
      <c r="F172" s="21">
        <f t="shared" si="20"/>
        <v>98.2578125</v>
      </c>
      <c r="G172" s="21">
        <f t="shared" si="21"/>
        <v>98.3046875</v>
      </c>
      <c r="H172" s="15">
        <f t="shared" si="22"/>
        <v>98.28125</v>
      </c>
      <c r="I172" s="15">
        <f t="shared" si="23"/>
        <v>1.0491803278688525</v>
      </c>
      <c r="J172" s="16">
        <f t="shared" si="24"/>
        <v>99.330430327868854</v>
      </c>
      <c r="K172" s="16">
        <f t="shared" si="25"/>
        <v>3.7397260273972601</v>
      </c>
      <c r="L172" s="16">
        <f>SUMIF('Cash Flows'!$A$2:$A$5628,ROW(),'Cash Flows'!$E$2:$E$5628)</f>
        <v>99.304252313866243</v>
      </c>
      <c r="M172" s="16">
        <f t="shared" si="26"/>
        <v>-2.6178014002610439E-2</v>
      </c>
      <c r="N172" s="16">
        <f t="shared" si="27"/>
        <v>2.6178014002610439E-2</v>
      </c>
      <c r="O172" s="17">
        <f t="shared" si="28"/>
        <v>98.25507198599739</v>
      </c>
      <c r="P172" s="17" t="str">
        <f t="shared" si="29"/>
        <v>No</v>
      </c>
    </row>
    <row r="173" spans="1:16" ht="15" customHeight="1" x14ac:dyDescent="0.25">
      <c r="A173" s="18">
        <v>47664</v>
      </c>
      <c r="B173" s="19">
        <v>3.75</v>
      </c>
      <c r="C173" s="19">
        <v>97.105999999999995</v>
      </c>
      <c r="D173" s="19">
        <v>97.122</v>
      </c>
      <c r="E173" s="20">
        <v>4.5039999999999996</v>
      </c>
      <c r="F173" s="21">
        <f t="shared" si="20"/>
        <v>97.3359375</v>
      </c>
      <c r="G173" s="21">
        <f t="shared" si="21"/>
        <v>97.3828125</v>
      </c>
      <c r="H173" s="15">
        <f t="shared" si="22"/>
        <v>97.359375</v>
      </c>
      <c r="I173" s="15">
        <f t="shared" si="23"/>
        <v>0.67622950819672134</v>
      </c>
      <c r="J173" s="16">
        <f t="shared" si="24"/>
        <v>98.035604508196727</v>
      </c>
      <c r="K173" s="16">
        <f t="shared" si="25"/>
        <v>3.8219178082191783</v>
      </c>
      <c r="L173" s="16">
        <f>SUMIF('Cash Flows'!$A$2:$A$5628,ROW(),'Cash Flows'!$E$2:$E$5628)</f>
        <v>98.012903120212272</v>
      </c>
      <c r="M173" s="16">
        <f t="shared" si="26"/>
        <v>-2.2701387984454868E-2</v>
      </c>
      <c r="N173" s="16">
        <f t="shared" si="27"/>
        <v>2.2701387984454868E-2</v>
      </c>
      <c r="O173" s="17">
        <f t="shared" si="28"/>
        <v>97.336673612015545</v>
      </c>
      <c r="P173" s="17" t="str">
        <f t="shared" si="29"/>
        <v>Yes</v>
      </c>
    </row>
    <row r="174" spans="1:16" ht="15" customHeight="1" x14ac:dyDescent="0.25">
      <c r="A174" s="18">
        <v>47664</v>
      </c>
      <c r="B174" s="19">
        <v>3.875</v>
      </c>
      <c r="C174" s="19">
        <v>97.254000000000005</v>
      </c>
      <c r="D174" s="19">
        <v>97.27</v>
      </c>
      <c r="E174" s="20">
        <v>4.4960000000000004</v>
      </c>
      <c r="F174" s="21">
        <f t="shared" si="20"/>
        <v>97.796875</v>
      </c>
      <c r="G174" s="21">
        <f t="shared" si="21"/>
        <v>97.84375</v>
      </c>
      <c r="H174" s="15">
        <f t="shared" si="22"/>
        <v>97.8203125</v>
      </c>
      <c r="I174" s="15">
        <f t="shared" si="23"/>
        <v>0.69877049180327866</v>
      </c>
      <c r="J174" s="16">
        <f t="shared" si="24"/>
        <v>98.519082991803273</v>
      </c>
      <c r="K174" s="16">
        <f t="shared" si="25"/>
        <v>3.8219178082191783</v>
      </c>
      <c r="L174" s="16">
        <f>SUMIF('Cash Flows'!$A$2:$A$5628,ROW(),'Cash Flows'!$E$2:$E$5628)</f>
        <v>98.470214869723335</v>
      </c>
      <c r="M174" s="16">
        <f t="shared" si="26"/>
        <v>-4.8868122079937848E-2</v>
      </c>
      <c r="N174" s="16">
        <f t="shared" si="27"/>
        <v>4.8868122079937848E-2</v>
      </c>
      <c r="O174" s="17">
        <f t="shared" si="28"/>
        <v>97.771444377920062</v>
      </c>
      <c r="P174" s="17" t="str">
        <f t="shared" si="29"/>
        <v>No</v>
      </c>
    </row>
    <row r="175" spans="1:16" ht="15" customHeight="1" x14ac:dyDescent="0.25">
      <c r="A175" s="18">
        <v>47695</v>
      </c>
      <c r="B175" s="19">
        <v>3.875</v>
      </c>
      <c r="C175" s="19">
        <v>97.231999999999999</v>
      </c>
      <c r="D175" s="19">
        <v>97.245999999999995</v>
      </c>
      <c r="E175" s="20">
        <v>4.5039999999999996</v>
      </c>
      <c r="F175" s="21">
        <f t="shared" si="20"/>
        <v>97.7265625</v>
      </c>
      <c r="G175" s="21">
        <f t="shared" si="21"/>
        <v>97.7734375</v>
      </c>
      <c r="H175" s="15">
        <f t="shared" si="22"/>
        <v>97.75</v>
      </c>
      <c r="I175" s="15">
        <f t="shared" si="23"/>
        <v>0.36854619565217389</v>
      </c>
      <c r="J175" s="16">
        <f t="shared" si="24"/>
        <v>98.118546195652172</v>
      </c>
      <c r="K175" s="16">
        <f t="shared" si="25"/>
        <v>3.9068493150684933</v>
      </c>
      <c r="L175" s="16">
        <f>SUMIF('Cash Flows'!$A$2:$A$5628,ROW(),'Cash Flows'!$E$2:$E$5628)</f>
        <v>98.084964712295459</v>
      </c>
      <c r="M175" s="16">
        <f t="shared" si="26"/>
        <v>-3.3581483356712738E-2</v>
      </c>
      <c r="N175" s="16">
        <f t="shared" si="27"/>
        <v>3.3581483356712738E-2</v>
      </c>
      <c r="O175" s="17">
        <f t="shared" si="28"/>
        <v>97.716418516643287</v>
      </c>
      <c r="P175" s="17" t="str">
        <f t="shared" si="29"/>
        <v>No</v>
      </c>
    </row>
    <row r="176" spans="1:16" ht="15" customHeight="1" x14ac:dyDescent="0.25">
      <c r="A176" s="18">
        <v>47695</v>
      </c>
      <c r="B176" s="19">
        <v>4</v>
      </c>
      <c r="C176" s="19">
        <v>98.054000000000002</v>
      </c>
      <c r="D176" s="19">
        <v>98.07</v>
      </c>
      <c r="E176" s="20">
        <v>4.5030000000000001</v>
      </c>
      <c r="F176" s="21">
        <f t="shared" si="20"/>
        <v>98.171875</v>
      </c>
      <c r="G176" s="21">
        <f t="shared" si="21"/>
        <v>98.21875</v>
      </c>
      <c r="H176" s="15">
        <f t="shared" si="22"/>
        <v>98.1953125</v>
      </c>
      <c r="I176" s="15">
        <f t="shared" si="23"/>
        <v>0.38043478260869568</v>
      </c>
      <c r="J176" s="16">
        <f t="shared" si="24"/>
        <v>98.575747282608702</v>
      </c>
      <c r="K176" s="16">
        <f t="shared" si="25"/>
        <v>3.9068493150684933</v>
      </c>
      <c r="L176" s="16">
        <f>SUMIF('Cash Flows'!$A$2:$A$5628,ROW(),'Cash Flows'!$E$2:$E$5628)</f>
        <v>98.540533644439279</v>
      </c>
      <c r="M176" s="16">
        <f t="shared" si="26"/>
        <v>-3.5213638169423689E-2</v>
      </c>
      <c r="N176" s="16">
        <f t="shared" si="27"/>
        <v>3.5213638169423689E-2</v>
      </c>
      <c r="O176" s="17">
        <f t="shared" si="28"/>
        <v>98.160098861830576</v>
      </c>
      <c r="P176" s="17" t="str">
        <f t="shared" si="29"/>
        <v>No</v>
      </c>
    </row>
    <row r="177" spans="1:16" ht="15" customHeight="1" x14ac:dyDescent="0.25">
      <c r="A177" s="18">
        <v>47710</v>
      </c>
      <c r="B177" s="19">
        <v>0.625</v>
      </c>
      <c r="C177" s="19">
        <v>86.034000000000006</v>
      </c>
      <c r="D177" s="19">
        <v>86.05</v>
      </c>
      <c r="E177" s="20">
        <v>4.5030000000000001</v>
      </c>
      <c r="F177" s="21">
        <f t="shared" si="20"/>
        <v>86.109375</v>
      </c>
      <c r="G177" s="21">
        <f t="shared" si="21"/>
        <v>86.15625</v>
      </c>
      <c r="H177" s="15">
        <f t="shared" si="22"/>
        <v>86.1328125</v>
      </c>
      <c r="I177" s="15">
        <f t="shared" si="23"/>
        <v>3.3967391304347824E-2</v>
      </c>
      <c r="J177" s="16">
        <f t="shared" si="24"/>
        <v>86.166779891304344</v>
      </c>
      <c r="K177" s="16">
        <f t="shared" si="25"/>
        <v>3.9479452054794519</v>
      </c>
      <c r="L177" s="16">
        <f>SUMIF('Cash Flows'!$A$2:$A$5628,ROW(),'Cash Flows'!$E$2:$E$5628)</f>
        <v>86.076051408293097</v>
      </c>
      <c r="M177" s="16">
        <f t="shared" si="26"/>
        <v>-9.0728483011247363E-2</v>
      </c>
      <c r="N177" s="16">
        <f t="shared" si="27"/>
        <v>9.0728483011247363E-2</v>
      </c>
      <c r="O177" s="17">
        <f t="shared" si="28"/>
        <v>86.042084016988753</v>
      </c>
      <c r="P177" s="17" t="str">
        <f t="shared" si="29"/>
        <v>No</v>
      </c>
    </row>
    <row r="178" spans="1:16" ht="15" customHeight="1" x14ac:dyDescent="0.25">
      <c r="A178" s="18">
        <v>47726</v>
      </c>
      <c r="B178" s="19">
        <v>3.625</v>
      </c>
      <c r="C178" s="19">
        <v>96.242000000000004</v>
      </c>
      <c r="D178" s="19">
        <v>96.256</v>
      </c>
      <c r="E178" s="20">
        <v>4.5110000000000001</v>
      </c>
      <c r="F178" s="21">
        <f t="shared" si="20"/>
        <v>96.7578125</v>
      </c>
      <c r="G178" s="21">
        <f t="shared" si="21"/>
        <v>96.8046875</v>
      </c>
      <c r="H178" s="15">
        <f t="shared" si="22"/>
        <v>96.78125</v>
      </c>
      <c r="I178" s="15">
        <f t="shared" si="23"/>
        <v>4.0055248618784532E-2</v>
      </c>
      <c r="J178" s="16">
        <f t="shared" si="24"/>
        <v>96.821305248618785</v>
      </c>
      <c r="K178" s="16">
        <f t="shared" si="25"/>
        <v>3.9917808219178084</v>
      </c>
      <c r="L178" s="16">
        <f>SUMIF('Cash Flows'!$A$2:$A$5628,ROW(),'Cash Flows'!$E$2:$E$5628)</f>
        <v>96.795124497694758</v>
      </c>
      <c r="M178" s="16">
        <f t="shared" si="26"/>
        <v>-2.6180750924027052E-2</v>
      </c>
      <c r="N178" s="16">
        <f t="shared" si="27"/>
        <v>2.6180750924027052E-2</v>
      </c>
      <c r="O178" s="17">
        <f t="shared" si="28"/>
        <v>96.755069249075973</v>
      </c>
      <c r="P178" s="17" t="str">
        <f t="shared" si="29"/>
        <v>No</v>
      </c>
    </row>
    <row r="179" spans="1:16" ht="15" customHeight="1" x14ac:dyDescent="0.25">
      <c r="A179" s="18">
        <v>47726</v>
      </c>
      <c r="B179" s="19">
        <v>4.125</v>
      </c>
      <c r="C179" s="19">
        <v>98.183999999999997</v>
      </c>
      <c r="D179" s="19">
        <v>98.2</v>
      </c>
      <c r="E179" s="20">
        <v>4.5060000000000002</v>
      </c>
      <c r="F179" s="21">
        <f t="shared" si="20"/>
        <v>98.578125</v>
      </c>
      <c r="G179" s="21">
        <f t="shared" si="21"/>
        <v>98.625</v>
      </c>
      <c r="H179" s="15">
        <f t="shared" si="22"/>
        <v>98.6015625</v>
      </c>
      <c r="I179" s="15">
        <f t="shared" si="23"/>
        <v>4.5580110497237571E-2</v>
      </c>
      <c r="J179" s="16">
        <f t="shared" si="24"/>
        <v>98.647142610497241</v>
      </c>
      <c r="K179" s="16">
        <f t="shared" si="25"/>
        <v>3.9917808219178084</v>
      </c>
      <c r="L179" s="16">
        <f>SUMIF('Cash Flows'!$A$2:$A$5628,ROW(),'Cash Flows'!$E$2:$E$5628)</f>
        <v>98.610736209246028</v>
      </c>
      <c r="M179" s="16">
        <f t="shared" si="26"/>
        <v>-3.6406401251213083E-2</v>
      </c>
      <c r="N179" s="16">
        <f t="shared" si="27"/>
        <v>3.6406401251213083E-2</v>
      </c>
      <c r="O179" s="17">
        <f t="shared" si="28"/>
        <v>98.565156098748787</v>
      </c>
      <c r="P179" s="17" t="str">
        <f t="shared" si="29"/>
        <v>No</v>
      </c>
    </row>
    <row r="180" spans="1:16" ht="15" customHeight="1" x14ac:dyDescent="0.25">
      <c r="A180" s="18">
        <v>47756</v>
      </c>
      <c r="B180" s="19">
        <v>3.625</v>
      </c>
      <c r="C180" s="19">
        <v>96.224000000000004</v>
      </c>
      <c r="D180" s="19">
        <v>96.24</v>
      </c>
      <c r="E180" s="20">
        <v>4.5090000000000003</v>
      </c>
      <c r="F180" s="21">
        <f t="shared" si="20"/>
        <v>96.703125</v>
      </c>
      <c r="G180" s="21">
        <f t="shared" si="21"/>
        <v>96.75</v>
      </c>
      <c r="H180" s="15">
        <f t="shared" si="22"/>
        <v>96.7265625</v>
      </c>
      <c r="I180" s="15">
        <f t="shared" si="23"/>
        <v>1.5549863387978142</v>
      </c>
      <c r="J180" s="16">
        <f t="shared" si="24"/>
        <v>98.281548838797818</v>
      </c>
      <c r="K180" s="16">
        <f t="shared" si="25"/>
        <v>4.0739726027397261</v>
      </c>
      <c r="L180" s="16">
        <f>SUMIF('Cash Flows'!$A$2:$A$5628,ROW(),'Cash Flows'!$E$2:$E$5628)</f>
        <v>98.234693676417933</v>
      </c>
      <c r="M180" s="16">
        <f t="shared" si="26"/>
        <v>-4.6855162379884518E-2</v>
      </c>
      <c r="N180" s="16">
        <f t="shared" si="27"/>
        <v>4.6855162379884518E-2</v>
      </c>
      <c r="O180" s="17">
        <f t="shared" si="28"/>
        <v>96.679707337620115</v>
      </c>
      <c r="P180" s="17" t="str">
        <f t="shared" si="29"/>
        <v>No</v>
      </c>
    </row>
    <row r="181" spans="1:16" ht="15" customHeight="1" x14ac:dyDescent="0.25">
      <c r="A181" s="18">
        <v>47756</v>
      </c>
      <c r="B181" s="19">
        <v>4.625</v>
      </c>
      <c r="C181" s="19">
        <v>100.12</v>
      </c>
      <c r="D181" s="19">
        <v>100.134</v>
      </c>
      <c r="E181" s="20">
        <v>4.5090000000000003</v>
      </c>
      <c r="F181" s="21">
        <f t="shared" si="20"/>
        <v>100.375</v>
      </c>
      <c r="G181" s="21">
        <f t="shared" si="21"/>
        <v>100.421875</v>
      </c>
      <c r="H181" s="15">
        <f t="shared" si="22"/>
        <v>100.3984375</v>
      </c>
      <c r="I181" s="15">
        <f t="shared" si="23"/>
        <v>1.9839480874316939</v>
      </c>
      <c r="J181" s="16">
        <f t="shared" si="24"/>
        <v>102.3823855874317</v>
      </c>
      <c r="K181" s="16">
        <f t="shared" si="25"/>
        <v>4.0739726027397261</v>
      </c>
      <c r="L181" s="16">
        <f>SUMIF('Cash Flows'!$A$2:$A$5628,ROW(),'Cash Flows'!$E$2:$E$5628)</f>
        <v>102.35086325147066</v>
      </c>
      <c r="M181" s="16">
        <f t="shared" si="26"/>
        <v>-3.1522335961042813E-2</v>
      </c>
      <c r="N181" s="16">
        <f t="shared" si="27"/>
        <v>3.1522335961042813E-2</v>
      </c>
      <c r="O181" s="17">
        <f t="shared" si="28"/>
        <v>100.36691516403896</v>
      </c>
      <c r="P181" s="17" t="str">
        <f t="shared" si="29"/>
        <v>No</v>
      </c>
    </row>
    <row r="182" spans="1:16" ht="15" customHeight="1" x14ac:dyDescent="0.25">
      <c r="A182" s="18">
        <v>47787</v>
      </c>
      <c r="B182" s="19">
        <v>3.625</v>
      </c>
      <c r="C182" s="19">
        <v>96.194000000000003</v>
      </c>
      <c r="D182" s="19">
        <v>96.21</v>
      </c>
      <c r="E182" s="20">
        <v>4.5179999999999998</v>
      </c>
      <c r="F182" s="21">
        <f t="shared" si="20"/>
        <v>96.609375</v>
      </c>
      <c r="G182" s="21">
        <f t="shared" si="21"/>
        <v>96.65625</v>
      </c>
      <c r="H182" s="15">
        <f t="shared" si="22"/>
        <v>96.6328125</v>
      </c>
      <c r="I182" s="15">
        <f t="shared" si="23"/>
        <v>1.2578551912568305</v>
      </c>
      <c r="J182" s="16">
        <f t="shared" si="24"/>
        <v>97.890667691256837</v>
      </c>
      <c r="K182" s="16">
        <f t="shared" si="25"/>
        <v>4.1589041095890407</v>
      </c>
      <c r="L182" s="16">
        <f>SUMIF('Cash Flows'!$A$2:$A$5628,ROW(),'Cash Flows'!$E$2:$E$5628)</f>
        <v>97.851466319016481</v>
      </c>
      <c r="M182" s="16">
        <f t="shared" si="26"/>
        <v>-3.9201372240356136E-2</v>
      </c>
      <c r="N182" s="16">
        <f t="shared" si="27"/>
        <v>3.9201372240356136E-2</v>
      </c>
      <c r="O182" s="17">
        <f t="shared" si="28"/>
        <v>96.593611127759644</v>
      </c>
      <c r="P182" s="17" t="str">
        <f t="shared" si="29"/>
        <v>No</v>
      </c>
    </row>
    <row r="183" spans="1:16" ht="15" customHeight="1" x14ac:dyDescent="0.25">
      <c r="A183" s="18">
        <v>47787</v>
      </c>
      <c r="B183" s="19">
        <v>4.875</v>
      </c>
      <c r="C183" s="19">
        <v>101.096</v>
      </c>
      <c r="D183" s="19">
        <v>101.11199999999999</v>
      </c>
      <c r="E183" s="20">
        <v>4.5119999999999996</v>
      </c>
      <c r="F183" s="21">
        <f t="shared" si="20"/>
        <v>101.3046875</v>
      </c>
      <c r="G183" s="21">
        <f t="shared" si="21"/>
        <v>101.3515625</v>
      </c>
      <c r="H183" s="15">
        <f t="shared" si="22"/>
        <v>101.328125</v>
      </c>
      <c r="I183" s="15">
        <f t="shared" si="23"/>
        <v>1.6915983606557377</v>
      </c>
      <c r="J183" s="16">
        <f t="shared" si="24"/>
        <v>103.01972336065573</v>
      </c>
      <c r="K183" s="16">
        <f t="shared" si="25"/>
        <v>4.1589041095890407</v>
      </c>
      <c r="L183" s="16">
        <f>SUMIF('Cash Flows'!$A$2:$A$5628,ROW(),'Cash Flows'!$E$2:$E$5628)</f>
        <v>102.97751703227857</v>
      </c>
      <c r="M183" s="16">
        <f t="shared" si="26"/>
        <v>-4.2206328377162095E-2</v>
      </c>
      <c r="N183" s="16">
        <f t="shared" si="27"/>
        <v>4.2206328377162095E-2</v>
      </c>
      <c r="O183" s="17">
        <f t="shared" si="28"/>
        <v>101.28591867162284</v>
      </c>
      <c r="P183" s="17" t="str">
        <f t="shared" si="29"/>
        <v>No</v>
      </c>
    </row>
    <row r="184" spans="1:16" ht="15" customHeight="1" x14ac:dyDescent="0.25">
      <c r="A184" s="18">
        <v>47802</v>
      </c>
      <c r="B184" s="19">
        <v>0.875</v>
      </c>
      <c r="C184" s="19">
        <v>86.063999999999993</v>
      </c>
      <c r="D184" s="19">
        <v>86.08</v>
      </c>
      <c r="E184" s="20">
        <v>4.5179999999999998</v>
      </c>
      <c r="F184" s="21">
        <f t="shared" si="20"/>
        <v>86.203125</v>
      </c>
      <c r="G184" s="21">
        <f t="shared" si="21"/>
        <v>86.25</v>
      </c>
      <c r="H184" s="15">
        <f t="shared" si="22"/>
        <v>86.2265625</v>
      </c>
      <c r="I184" s="15">
        <f t="shared" si="23"/>
        <v>0.26630434782608697</v>
      </c>
      <c r="J184" s="16">
        <f t="shared" si="24"/>
        <v>86.492866847826093</v>
      </c>
      <c r="K184" s="16">
        <f t="shared" si="25"/>
        <v>4.2</v>
      </c>
      <c r="L184" s="16">
        <f>SUMIF('Cash Flows'!$A$2:$A$5628,ROW(),'Cash Flows'!$E$2:$E$5628)</f>
        <v>86.409361265056702</v>
      </c>
      <c r="M184" s="16">
        <f t="shared" si="26"/>
        <v>-8.3505582769390685E-2</v>
      </c>
      <c r="N184" s="16">
        <f t="shared" si="27"/>
        <v>8.3505582769390685E-2</v>
      </c>
      <c r="O184" s="17">
        <f t="shared" si="28"/>
        <v>86.143056917230609</v>
      </c>
      <c r="P184" s="17" t="str">
        <f t="shared" si="29"/>
        <v>No</v>
      </c>
    </row>
    <row r="185" spans="1:16" ht="15" customHeight="1" x14ac:dyDescent="0.25">
      <c r="A185" s="18">
        <v>47817</v>
      </c>
      <c r="B185" s="19">
        <v>3.5</v>
      </c>
      <c r="C185" s="19">
        <v>96.013999999999996</v>
      </c>
      <c r="D185" s="19">
        <v>96.03</v>
      </c>
      <c r="E185" s="20">
        <v>4.524</v>
      </c>
      <c r="F185" s="21">
        <f t="shared" si="20"/>
        <v>96.046875</v>
      </c>
      <c r="G185" s="21">
        <f t="shared" si="21"/>
        <v>96.09375</v>
      </c>
      <c r="H185" s="15">
        <f t="shared" si="22"/>
        <v>96.0703125</v>
      </c>
      <c r="I185" s="15">
        <f t="shared" si="23"/>
        <v>0.91803278688524592</v>
      </c>
      <c r="J185" s="16">
        <f t="shared" si="24"/>
        <v>96.988345286885249</v>
      </c>
      <c r="K185" s="16">
        <f t="shared" si="25"/>
        <v>4.2410958904109588</v>
      </c>
      <c r="L185" s="16">
        <f>SUMIF('Cash Flows'!$A$2:$A$5628,ROW(),'Cash Flows'!$E$2:$E$5628)</f>
        <v>96.969223158530809</v>
      </c>
      <c r="M185" s="16">
        <f t="shared" si="26"/>
        <v>-1.9122128354439383E-2</v>
      </c>
      <c r="N185" s="16">
        <f t="shared" si="27"/>
        <v>1.9122128354439383E-2</v>
      </c>
      <c r="O185" s="17">
        <f t="shared" si="28"/>
        <v>96.051190371645561</v>
      </c>
      <c r="P185" s="17" t="str">
        <f t="shared" si="29"/>
        <v>Yes</v>
      </c>
    </row>
    <row r="186" spans="1:16" ht="15" customHeight="1" x14ac:dyDescent="0.25">
      <c r="A186" s="18">
        <v>47817</v>
      </c>
      <c r="B186" s="19">
        <v>4.375</v>
      </c>
      <c r="C186" s="19">
        <v>99.123999999999995</v>
      </c>
      <c r="D186" s="19">
        <v>99.14</v>
      </c>
      <c r="E186" s="20">
        <v>4.5209999999999999</v>
      </c>
      <c r="F186" s="21">
        <f t="shared" si="20"/>
        <v>99.390625</v>
      </c>
      <c r="G186" s="21">
        <f t="shared" si="21"/>
        <v>99.4375</v>
      </c>
      <c r="H186" s="15">
        <f t="shared" si="22"/>
        <v>99.4140625</v>
      </c>
      <c r="I186" s="15">
        <f t="shared" si="23"/>
        <v>1.1475409836065573</v>
      </c>
      <c r="J186" s="16">
        <f t="shared" si="24"/>
        <v>100.56160348360656</v>
      </c>
      <c r="K186" s="16">
        <f t="shared" si="25"/>
        <v>4.2410958904109588</v>
      </c>
      <c r="L186" s="16">
        <f>SUMIF('Cash Flows'!$A$2:$A$5628,ROW(),'Cash Flows'!$E$2:$E$5628)</f>
        <v>100.54408444730545</v>
      </c>
      <c r="M186" s="16">
        <f t="shared" si="26"/>
        <v>-1.7519036301109736E-2</v>
      </c>
      <c r="N186" s="16">
        <f t="shared" si="27"/>
        <v>1.7519036301109736E-2</v>
      </c>
      <c r="O186" s="17">
        <f t="shared" si="28"/>
        <v>99.39654346369889</v>
      </c>
      <c r="P186" s="17" t="str">
        <f t="shared" si="29"/>
        <v>Yes</v>
      </c>
    </row>
    <row r="187" spans="1:16" ht="15" customHeight="1" x14ac:dyDescent="0.25">
      <c r="A187" s="18">
        <v>47848</v>
      </c>
      <c r="B187" s="19">
        <v>3.625</v>
      </c>
      <c r="C187" s="19">
        <v>96.146000000000001</v>
      </c>
      <c r="D187" s="19">
        <v>96.162000000000006</v>
      </c>
      <c r="E187" s="20">
        <v>4.5250000000000004</v>
      </c>
      <c r="F187" s="21">
        <f t="shared" si="20"/>
        <v>96.4609375</v>
      </c>
      <c r="G187" s="21">
        <f t="shared" si="21"/>
        <v>96.5078125</v>
      </c>
      <c r="H187" s="15">
        <f t="shared" si="22"/>
        <v>96.484375</v>
      </c>
      <c r="I187" s="15">
        <f t="shared" si="23"/>
        <v>0.65368852459016391</v>
      </c>
      <c r="J187" s="16">
        <f t="shared" si="24"/>
        <v>97.138063524590166</v>
      </c>
      <c r="K187" s="16">
        <f t="shared" si="25"/>
        <v>4.3260273972602743</v>
      </c>
      <c r="L187" s="16">
        <f>SUMIF('Cash Flows'!$A$2:$A$5628,ROW(),'Cash Flows'!$E$2:$E$5628)</f>
        <v>97.098894371675186</v>
      </c>
      <c r="M187" s="16">
        <f t="shared" si="26"/>
        <v>-3.9169152914979577E-2</v>
      </c>
      <c r="N187" s="16">
        <f t="shared" si="27"/>
        <v>3.9169152914979577E-2</v>
      </c>
      <c r="O187" s="17">
        <f t="shared" si="28"/>
        <v>96.44520584708502</v>
      </c>
      <c r="P187" s="17" t="str">
        <f t="shared" si="29"/>
        <v>No</v>
      </c>
    </row>
    <row r="188" spans="1:16" ht="15" customHeight="1" x14ac:dyDescent="0.25">
      <c r="A188" s="18">
        <v>47848</v>
      </c>
      <c r="B188" s="19">
        <v>3.75</v>
      </c>
      <c r="C188" s="19">
        <v>96.3</v>
      </c>
      <c r="D188" s="19">
        <v>96.313999999999993</v>
      </c>
      <c r="E188" s="20">
        <v>4.5270000000000001</v>
      </c>
      <c r="F188" s="21">
        <f t="shared" si="20"/>
        <v>96.9375</v>
      </c>
      <c r="G188" s="21">
        <f t="shared" si="21"/>
        <v>96.984375</v>
      </c>
      <c r="H188" s="15">
        <f t="shared" si="22"/>
        <v>96.9609375</v>
      </c>
      <c r="I188" s="15">
        <f t="shared" si="23"/>
        <v>0.67622950819672134</v>
      </c>
      <c r="J188" s="16">
        <f t="shared" si="24"/>
        <v>97.637167008196727</v>
      </c>
      <c r="K188" s="16">
        <f t="shared" si="25"/>
        <v>4.3260273972602743</v>
      </c>
      <c r="L188" s="16">
        <f>SUMIF('Cash Flows'!$A$2:$A$5628,ROW(),'Cash Flows'!$E$2:$E$5628)</f>
        <v>97.607671347482054</v>
      </c>
      <c r="M188" s="16">
        <f t="shared" si="26"/>
        <v>-2.9495660714673022E-2</v>
      </c>
      <c r="N188" s="16">
        <f t="shared" si="27"/>
        <v>2.9495660714673022E-2</v>
      </c>
      <c r="O188" s="17">
        <f t="shared" si="28"/>
        <v>96.931441839285327</v>
      </c>
      <c r="P188" s="17" t="str">
        <f t="shared" si="29"/>
        <v>No</v>
      </c>
    </row>
    <row r="189" spans="1:16" ht="15" customHeight="1" x14ac:dyDescent="0.25">
      <c r="A189" s="18">
        <v>47879</v>
      </c>
      <c r="B189" s="19">
        <v>3.75</v>
      </c>
      <c r="C189" s="19">
        <v>96.281999999999996</v>
      </c>
      <c r="D189" s="19">
        <v>96.296000000000006</v>
      </c>
      <c r="E189" s="20">
        <v>4.5279999999999996</v>
      </c>
      <c r="F189" s="21">
        <f t="shared" si="20"/>
        <v>96.8828125</v>
      </c>
      <c r="G189" s="21">
        <f t="shared" si="21"/>
        <v>96.9296875</v>
      </c>
      <c r="H189" s="15">
        <f t="shared" si="22"/>
        <v>96.90625</v>
      </c>
      <c r="I189" s="15">
        <f t="shared" si="23"/>
        <v>0.35665760869565216</v>
      </c>
      <c r="J189" s="16">
        <f t="shared" si="24"/>
        <v>97.262907608695656</v>
      </c>
      <c r="K189" s="16">
        <f t="shared" si="25"/>
        <v>4.4109589041095889</v>
      </c>
      <c r="L189" s="16">
        <f>SUMIF('Cash Flows'!$A$2:$A$5628,ROW(),'Cash Flows'!$E$2:$E$5628)</f>
        <v>97.224603168825965</v>
      </c>
      <c r="M189" s="16">
        <f t="shared" si="26"/>
        <v>-3.8304439869691009E-2</v>
      </c>
      <c r="N189" s="16">
        <f t="shared" si="27"/>
        <v>3.8304439869691009E-2</v>
      </c>
      <c r="O189" s="17">
        <f t="shared" si="28"/>
        <v>96.867945560130309</v>
      </c>
      <c r="P189" s="17" t="str">
        <f t="shared" si="29"/>
        <v>No</v>
      </c>
    </row>
    <row r="190" spans="1:16" ht="15" customHeight="1" x14ac:dyDescent="0.25">
      <c r="A190" s="18">
        <v>47879</v>
      </c>
      <c r="B190" s="19">
        <v>4</v>
      </c>
      <c r="C190" s="19">
        <v>97.275999999999996</v>
      </c>
      <c r="D190" s="19">
        <v>97.292000000000002</v>
      </c>
      <c r="E190" s="20">
        <v>4.5279999999999996</v>
      </c>
      <c r="F190" s="21">
        <f t="shared" si="20"/>
        <v>97.8671875</v>
      </c>
      <c r="G190" s="21">
        <f t="shared" si="21"/>
        <v>97.9140625</v>
      </c>
      <c r="H190" s="15">
        <f t="shared" si="22"/>
        <v>97.890625</v>
      </c>
      <c r="I190" s="15">
        <f t="shared" si="23"/>
        <v>0.38043478260869568</v>
      </c>
      <c r="J190" s="16">
        <f t="shared" si="24"/>
        <v>98.271059782608702</v>
      </c>
      <c r="K190" s="16">
        <f t="shared" si="25"/>
        <v>4.4109589041095889</v>
      </c>
      <c r="L190" s="16">
        <f>SUMIF('Cash Flows'!$A$2:$A$5628,ROW(),'Cash Flows'!$E$2:$E$5628)</f>
        <v>98.238265616186595</v>
      </c>
      <c r="M190" s="16">
        <f t="shared" si="26"/>
        <v>-3.2794166422107196E-2</v>
      </c>
      <c r="N190" s="16">
        <f t="shared" si="27"/>
        <v>3.2794166422107196E-2</v>
      </c>
      <c r="O190" s="17">
        <f t="shared" si="28"/>
        <v>97.857830833577893</v>
      </c>
      <c r="P190" s="17" t="str">
        <f t="shared" si="29"/>
        <v>No</v>
      </c>
    </row>
    <row r="191" spans="1:16" ht="15" customHeight="1" x14ac:dyDescent="0.25">
      <c r="A191" s="18">
        <v>47894</v>
      </c>
      <c r="B191" s="19">
        <v>1.125</v>
      </c>
      <c r="C191" s="19">
        <v>86.164000000000001</v>
      </c>
      <c r="D191" s="19">
        <v>86.18</v>
      </c>
      <c r="E191" s="20">
        <v>4.5010000000000003</v>
      </c>
      <c r="F191" s="21">
        <f t="shared" si="20"/>
        <v>86.515625</v>
      </c>
      <c r="G191" s="21">
        <f t="shared" si="21"/>
        <v>86.5625</v>
      </c>
      <c r="H191" s="15">
        <f t="shared" si="22"/>
        <v>86.5390625</v>
      </c>
      <c r="I191" s="15">
        <f t="shared" si="23"/>
        <v>6.1141304347826088E-2</v>
      </c>
      <c r="J191" s="16">
        <f t="shared" si="24"/>
        <v>86.600203804347828</v>
      </c>
      <c r="K191" s="16">
        <f t="shared" si="25"/>
        <v>4.4520547945205475</v>
      </c>
      <c r="L191" s="16">
        <f>SUMIF('Cash Flows'!$A$2:$A$5628,ROW(),'Cash Flows'!$E$2:$E$5628)</f>
        <v>86.416064218518429</v>
      </c>
      <c r="M191" s="16">
        <f t="shared" si="26"/>
        <v>-0.18413958582939927</v>
      </c>
      <c r="N191" s="16">
        <f t="shared" si="27"/>
        <v>0.18413958582939927</v>
      </c>
      <c r="O191" s="17">
        <f t="shared" si="28"/>
        <v>86.354922914170601</v>
      </c>
      <c r="P191" s="17" t="str">
        <f t="shared" si="29"/>
        <v>No</v>
      </c>
    </row>
    <row r="192" spans="1:16" ht="15" customHeight="1" x14ac:dyDescent="0.25">
      <c r="A192" s="18">
        <v>47894</v>
      </c>
      <c r="B192" s="19">
        <v>5.375</v>
      </c>
      <c r="C192" s="19">
        <v>103.124</v>
      </c>
      <c r="D192" s="19">
        <v>103.14</v>
      </c>
      <c r="E192" s="20">
        <v>4.51</v>
      </c>
      <c r="F192" s="21">
        <f t="shared" si="20"/>
        <v>103.390625</v>
      </c>
      <c r="G192" s="21">
        <f t="shared" si="21"/>
        <v>103.4375</v>
      </c>
      <c r="H192" s="15">
        <f t="shared" si="22"/>
        <v>103.4140625</v>
      </c>
      <c r="I192" s="15">
        <f t="shared" si="23"/>
        <v>0.2921195652173913</v>
      </c>
      <c r="J192" s="16">
        <f t="shared" si="24"/>
        <v>103.70618206521739</v>
      </c>
      <c r="K192" s="16">
        <f t="shared" si="25"/>
        <v>4.4520547945205475</v>
      </c>
      <c r="L192" s="16">
        <f>SUMIF('Cash Flows'!$A$2:$A$5628,ROW(),'Cash Flows'!$E$2:$E$5628)</f>
        <v>103.61632222045813</v>
      </c>
      <c r="M192" s="16">
        <f t="shared" si="26"/>
        <v>-8.9859844759260454E-2</v>
      </c>
      <c r="N192" s="16">
        <f t="shared" si="27"/>
        <v>8.9859844759260454E-2</v>
      </c>
      <c r="O192" s="17">
        <f t="shared" si="28"/>
        <v>103.32420265524074</v>
      </c>
      <c r="P192" s="17" t="str">
        <f t="shared" si="29"/>
        <v>No</v>
      </c>
    </row>
    <row r="193" spans="1:16" ht="15" customHeight="1" x14ac:dyDescent="0.25">
      <c r="A193" s="18">
        <v>47907</v>
      </c>
      <c r="B193" s="19">
        <v>3.5</v>
      </c>
      <c r="C193" s="19">
        <v>95.27</v>
      </c>
      <c r="D193" s="19">
        <v>95.284000000000006</v>
      </c>
      <c r="E193" s="20">
        <v>4.524</v>
      </c>
      <c r="F193" s="21">
        <f t="shared" si="20"/>
        <v>95.84375</v>
      </c>
      <c r="G193" s="21">
        <f t="shared" si="21"/>
        <v>95.890625</v>
      </c>
      <c r="H193" s="15">
        <f t="shared" si="22"/>
        <v>95.8671875</v>
      </c>
      <c r="I193" s="15">
        <f t="shared" si="23"/>
        <v>3.8674033149171269E-2</v>
      </c>
      <c r="J193" s="16">
        <f t="shared" si="24"/>
        <v>95.905861533149178</v>
      </c>
      <c r="K193" s="16">
        <f t="shared" si="25"/>
        <v>4.4876712328767123</v>
      </c>
      <c r="L193" s="16">
        <f>SUMIF('Cash Flows'!$A$2:$A$5628,ROW(),'Cash Flows'!$E$2:$E$5628)</f>
        <v>95.867117111484305</v>
      </c>
      <c r="M193" s="16">
        <f t="shared" si="26"/>
        <v>-3.874442166487313E-2</v>
      </c>
      <c r="N193" s="16">
        <f t="shared" si="27"/>
        <v>3.874442166487313E-2</v>
      </c>
      <c r="O193" s="17">
        <f t="shared" si="28"/>
        <v>95.828443078335127</v>
      </c>
      <c r="P193" s="17" t="str">
        <f t="shared" si="29"/>
        <v>No</v>
      </c>
    </row>
    <row r="194" spans="1:16" ht="15" customHeight="1" x14ac:dyDescent="0.25">
      <c r="A194" s="18">
        <v>47907</v>
      </c>
      <c r="B194" s="19">
        <v>4.25</v>
      </c>
      <c r="C194" s="19">
        <v>98.263999999999996</v>
      </c>
      <c r="D194" s="19">
        <v>98.28</v>
      </c>
      <c r="E194" s="20">
        <v>4.53</v>
      </c>
      <c r="F194" s="21">
        <f t="shared" ref="F194:F257" si="30">INT(C194)+INT(ROUND((C194-INT(C194))*1000,0)/10)/32+MOD(ROUND((C194-INT(C194))*1000,0),10)/256</f>
        <v>98.828125</v>
      </c>
      <c r="G194" s="21">
        <f t="shared" ref="G194:G257" si="31">INT(D194)+INT(ROUND((D194-INT(D194))*1000,0)/10)/32+MOD(ROUND((D194-INT(D194))*1000,0),10)/256</f>
        <v>98.875</v>
      </c>
      <c r="H194" s="15">
        <f t="shared" ref="H194:H257" si="32">(F194+G194)/2</f>
        <v>98.8515625</v>
      </c>
      <c r="I194" s="15">
        <f t="shared" ref="I194:I257" si="33">(B194/2)*COUPDAYBS($R$2,A194,2,1)/COUPDAYS($R$2,A194,2,1)</f>
        <v>4.6961325966850827E-2</v>
      </c>
      <c r="J194" s="16">
        <f t="shared" ref="J194:J257" si="34">H194+I194</f>
        <v>98.898523825966848</v>
      </c>
      <c r="K194" s="16">
        <f t="shared" ref="K194:K257" si="35">(A194-$R$2)/365</f>
        <v>4.4876712328767123</v>
      </c>
      <c r="L194" s="16">
        <f>SUMIF('Cash Flows'!$A$2:$A$5628,ROW(),'Cash Flows'!$E$2:$E$5628)</f>
        <v>98.897013186663628</v>
      </c>
      <c r="M194" s="16">
        <f t="shared" ref="M194:M257" si="36">L194-J194</f>
        <v>-1.5106393032198184E-3</v>
      </c>
      <c r="N194" s="16">
        <f t="shared" ref="N194:N257" si="37">ABS(M194)</f>
        <v>1.5106393032198184E-3</v>
      </c>
      <c r="O194" s="17">
        <f t="shared" ref="O194:O257" si="38">L194-I194</f>
        <v>98.85005186069678</v>
      </c>
      <c r="P194" s="17" t="str">
        <f t="shared" ref="P194:P257" si="39">IF(AND(O194&gt;=F194,O194&lt;=G194),"Yes","No")</f>
        <v>Yes</v>
      </c>
    </row>
    <row r="195" spans="1:16" ht="15" customHeight="1" x14ac:dyDescent="0.25">
      <c r="A195" s="18">
        <v>47938</v>
      </c>
      <c r="B195" s="19">
        <v>3.875</v>
      </c>
      <c r="C195" s="19">
        <v>97.091999999999999</v>
      </c>
      <c r="D195" s="19">
        <v>97.105999999999995</v>
      </c>
      <c r="E195" s="20">
        <v>4.5279999999999996</v>
      </c>
      <c r="F195" s="21">
        <f t="shared" si="30"/>
        <v>97.2890625</v>
      </c>
      <c r="G195" s="21">
        <f t="shared" si="31"/>
        <v>97.3359375</v>
      </c>
      <c r="H195" s="15">
        <f t="shared" si="32"/>
        <v>97.3125</v>
      </c>
      <c r="I195" s="15">
        <f t="shared" si="33"/>
        <v>1.6622267759562841</v>
      </c>
      <c r="J195" s="16">
        <f t="shared" si="34"/>
        <v>98.974726775956285</v>
      </c>
      <c r="K195" s="16">
        <f t="shared" si="35"/>
        <v>4.5726027397260278</v>
      </c>
      <c r="L195" s="16">
        <f>SUMIF('Cash Flows'!$A$2:$A$5628,ROW(),'Cash Flows'!$E$2:$E$5628)</f>
        <v>98.93269737013901</v>
      </c>
      <c r="M195" s="16">
        <f t="shared" si="36"/>
        <v>-4.2029405817274323E-2</v>
      </c>
      <c r="N195" s="16">
        <f t="shared" si="37"/>
        <v>4.2029405817274323E-2</v>
      </c>
      <c r="O195" s="17">
        <f t="shared" si="38"/>
        <v>97.270470594182726</v>
      </c>
      <c r="P195" s="17" t="str">
        <f t="shared" si="39"/>
        <v>No</v>
      </c>
    </row>
    <row r="196" spans="1:16" ht="15" customHeight="1" x14ac:dyDescent="0.25">
      <c r="A196" s="18">
        <v>47938</v>
      </c>
      <c r="B196" s="19">
        <v>4.125</v>
      </c>
      <c r="C196" s="19">
        <v>98.09</v>
      </c>
      <c r="D196" s="19">
        <v>98.103999999999999</v>
      </c>
      <c r="E196" s="20">
        <v>4.5339999999999998</v>
      </c>
      <c r="F196" s="21">
        <f t="shared" si="30"/>
        <v>98.28125</v>
      </c>
      <c r="G196" s="21">
        <f t="shared" si="31"/>
        <v>98.328125</v>
      </c>
      <c r="H196" s="15">
        <f t="shared" si="32"/>
        <v>98.3046875</v>
      </c>
      <c r="I196" s="15">
        <f t="shared" si="33"/>
        <v>1.7694672131147542</v>
      </c>
      <c r="J196" s="16">
        <f t="shared" si="34"/>
        <v>100.07415471311475</v>
      </c>
      <c r="K196" s="16">
        <f t="shared" si="35"/>
        <v>4.5726027397260278</v>
      </c>
      <c r="L196" s="16">
        <f>SUMIF('Cash Flows'!$A$2:$A$5628,ROW(),'Cash Flows'!$E$2:$E$5628)</f>
        <v>100.06349640432745</v>
      </c>
      <c r="M196" s="16">
        <f t="shared" si="36"/>
        <v>-1.065830878729912E-2</v>
      </c>
      <c r="N196" s="16">
        <f t="shared" si="37"/>
        <v>1.065830878729912E-2</v>
      </c>
      <c r="O196" s="17">
        <f t="shared" si="38"/>
        <v>98.294029191212701</v>
      </c>
      <c r="P196" s="17" t="str">
        <f t="shared" si="39"/>
        <v>Yes</v>
      </c>
    </row>
    <row r="197" spans="1:16" ht="15" customHeight="1" x14ac:dyDescent="0.25">
      <c r="A197" s="18">
        <v>47968</v>
      </c>
      <c r="B197" s="19">
        <v>3.875</v>
      </c>
      <c r="C197" s="19">
        <v>97.075999999999993</v>
      </c>
      <c r="D197" s="19">
        <v>97.091999999999999</v>
      </c>
      <c r="E197" s="20">
        <v>4.5279999999999996</v>
      </c>
      <c r="F197" s="21">
        <f t="shared" si="30"/>
        <v>97.2421875</v>
      </c>
      <c r="G197" s="21">
        <f t="shared" si="31"/>
        <v>97.2890625</v>
      </c>
      <c r="H197" s="15">
        <f t="shared" si="32"/>
        <v>97.265625</v>
      </c>
      <c r="I197" s="15">
        <f t="shared" si="33"/>
        <v>1.3446038251366119</v>
      </c>
      <c r="J197" s="16">
        <f t="shared" si="34"/>
        <v>98.610228825136616</v>
      </c>
      <c r="K197" s="16">
        <f t="shared" si="35"/>
        <v>4.6547945205479451</v>
      </c>
      <c r="L197" s="16">
        <f>SUMIF('Cash Flows'!$A$2:$A$5628,ROW(),'Cash Flows'!$E$2:$E$5628)</f>
        <v>98.55620595909734</v>
      </c>
      <c r="M197" s="16">
        <f t="shared" si="36"/>
        <v>-5.4022866039275641E-2</v>
      </c>
      <c r="N197" s="16">
        <f t="shared" si="37"/>
        <v>5.4022866039275641E-2</v>
      </c>
      <c r="O197" s="17">
        <f t="shared" si="38"/>
        <v>97.211602133960724</v>
      </c>
      <c r="P197" s="17" t="str">
        <f t="shared" si="39"/>
        <v>No</v>
      </c>
    </row>
    <row r="198" spans="1:16" ht="15" customHeight="1" x14ac:dyDescent="0.25">
      <c r="A198" s="18">
        <v>47968</v>
      </c>
      <c r="B198" s="19">
        <v>4.625</v>
      </c>
      <c r="C198" s="19">
        <v>100.102</v>
      </c>
      <c r="D198" s="19">
        <v>100.116</v>
      </c>
      <c r="E198" s="20">
        <v>4.5350000000000001</v>
      </c>
      <c r="F198" s="21">
        <f t="shared" si="30"/>
        <v>100.3203125</v>
      </c>
      <c r="G198" s="21">
        <f t="shared" si="31"/>
        <v>100.3671875</v>
      </c>
      <c r="H198" s="15">
        <f t="shared" si="32"/>
        <v>100.34375</v>
      </c>
      <c r="I198" s="15">
        <f t="shared" si="33"/>
        <v>1.6048497267759563</v>
      </c>
      <c r="J198" s="16">
        <f t="shared" si="34"/>
        <v>101.94859972677595</v>
      </c>
      <c r="K198" s="16">
        <f t="shared" si="35"/>
        <v>4.6547945205479451</v>
      </c>
      <c r="L198" s="16">
        <f>SUMIF('Cash Flows'!$A$2:$A$5628,ROW(),'Cash Flows'!$E$2:$E$5628)</f>
        <v>101.93593981592517</v>
      </c>
      <c r="M198" s="16">
        <f t="shared" si="36"/>
        <v>-1.2659910850786105E-2</v>
      </c>
      <c r="N198" s="16">
        <f t="shared" si="37"/>
        <v>1.2659910850786105E-2</v>
      </c>
      <c r="O198" s="17">
        <f t="shared" si="38"/>
        <v>100.33109008914921</v>
      </c>
      <c r="P198" s="17" t="str">
        <f t="shared" si="39"/>
        <v>Yes</v>
      </c>
    </row>
    <row r="199" spans="1:16" ht="15" customHeight="1" x14ac:dyDescent="0.25">
      <c r="A199" s="18">
        <v>47983</v>
      </c>
      <c r="B199" s="19">
        <v>1.625</v>
      </c>
      <c r="C199" s="19">
        <v>87.25</v>
      </c>
      <c r="D199" s="19">
        <v>87.263999999999996</v>
      </c>
      <c r="E199" s="20">
        <v>4.5380000000000003</v>
      </c>
      <c r="F199" s="21">
        <f t="shared" si="30"/>
        <v>87.78125</v>
      </c>
      <c r="G199" s="21">
        <f t="shared" si="31"/>
        <v>87.828125</v>
      </c>
      <c r="H199" s="15">
        <f t="shared" si="32"/>
        <v>87.8046875</v>
      </c>
      <c r="I199" s="15">
        <f t="shared" si="33"/>
        <v>0.49456521739130432</v>
      </c>
      <c r="J199" s="16">
        <f t="shared" si="34"/>
        <v>88.299252717391298</v>
      </c>
      <c r="K199" s="16">
        <f t="shared" si="35"/>
        <v>4.6958904109589037</v>
      </c>
      <c r="L199" s="16">
        <f>SUMIF('Cash Flows'!$A$2:$A$5628,ROW(),'Cash Flows'!$E$2:$E$5628)</f>
        <v>88.248326132066126</v>
      </c>
      <c r="M199" s="16">
        <f t="shared" si="36"/>
        <v>-5.0926585325171914E-2</v>
      </c>
      <c r="N199" s="16">
        <f t="shared" si="37"/>
        <v>5.0926585325171914E-2</v>
      </c>
      <c r="O199" s="17">
        <f t="shared" si="38"/>
        <v>87.753760914674828</v>
      </c>
      <c r="P199" s="17" t="str">
        <f t="shared" si="39"/>
        <v>No</v>
      </c>
    </row>
    <row r="200" spans="1:16" ht="15" customHeight="1" x14ac:dyDescent="0.25">
      <c r="A200" s="18">
        <v>47999</v>
      </c>
      <c r="B200" s="19">
        <v>4.125</v>
      </c>
      <c r="C200" s="19">
        <v>98.066000000000003</v>
      </c>
      <c r="D200" s="19">
        <v>98.081999999999994</v>
      </c>
      <c r="E200" s="20">
        <v>4.5369999999999999</v>
      </c>
      <c r="F200" s="21">
        <f t="shared" si="30"/>
        <v>98.2109375</v>
      </c>
      <c r="G200" s="21">
        <f t="shared" si="31"/>
        <v>98.2578125</v>
      </c>
      <c r="H200" s="15">
        <f t="shared" si="32"/>
        <v>98.234375</v>
      </c>
      <c r="I200" s="15">
        <f t="shared" si="33"/>
        <v>1.0819672131147542</v>
      </c>
      <c r="J200" s="16">
        <f t="shared" si="34"/>
        <v>99.316342213114751</v>
      </c>
      <c r="K200" s="16">
        <f t="shared" si="35"/>
        <v>4.7397260273972606</v>
      </c>
      <c r="L200" s="16">
        <f>SUMIF('Cash Flows'!$A$2:$A$5628,ROW(),'Cash Flows'!$E$2:$E$5628)</f>
        <v>99.292826853616276</v>
      </c>
      <c r="M200" s="16">
        <f t="shared" si="36"/>
        <v>-2.3515359498475163E-2</v>
      </c>
      <c r="N200" s="16">
        <f t="shared" si="37"/>
        <v>2.3515359498475163E-2</v>
      </c>
      <c r="O200" s="17">
        <f t="shared" si="38"/>
        <v>98.210859640501525</v>
      </c>
      <c r="P200" s="17" t="str">
        <f t="shared" si="39"/>
        <v>No</v>
      </c>
    </row>
    <row r="201" spans="1:16" ht="15" customHeight="1" x14ac:dyDescent="0.25">
      <c r="A201" s="18">
        <v>47999</v>
      </c>
      <c r="B201" s="19">
        <v>4.625</v>
      </c>
      <c r="C201" s="19">
        <v>100.092</v>
      </c>
      <c r="D201" s="19">
        <v>100.10599999999999</v>
      </c>
      <c r="E201" s="20">
        <v>4.5439999999999996</v>
      </c>
      <c r="F201" s="21">
        <f t="shared" si="30"/>
        <v>100.2890625</v>
      </c>
      <c r="G201" s="21">
        <f t="shared" si="31"/>
        <v>100.3359375</v>
      </c>
      <c r="H201" s="15">
        <f t="shared" si="32"/>
        <v>100.3125</v>
      </c>
      <c r="I201" s="15">
        <f t="shared" si="33"/>
        <v>1.2131147540983607</v>
      </c>
      <c r="J201" s="16">
        <f t="shared" si="34"/>
        <v>101.52561475409836</v>
      </c>
      <c r="K201" s="16">
        <f t="shared" si="35"/>
        <v>4.7397260273972606</v>
      </c>
      <c r="L201" s="16">
        <f>SUMIF('Cash Flows'!$A$2:$A$5628,ROW(),'Cash Flows'!$E$2:$E$5628)</f>
        <v>101.53753959966289</v>
      </c>
      <c r="M201" s="16">
        <f t="shared" si="36"/>
        <v>1.1924845564536213E-2</v>
      </c>
      <c r="N201" s="16">
        <f t="shared" si="37"/>
        <v>1.1924845564536213E-2</v>
      </c>
      <c r="O201" s="17">
        <f t="shared" si="38"/>
        <v>100.32442484556454</v>
      </c>
      <c r="P201" s="17" t="str">
        <f t="shared" si="39"/>
        <v>Yes</v>
      </c>
    </row>
    <row r="202" spans="1:16" ht="15" customHeight="1" x14ac:dyDescent="0.25">
      <c r="A202" s="18">
        <v>48029</v>
      </c>
      <c r="B202" s="19">
        <v>4.125</v>
      </c>
      <c r="C202" s="19">
        <v>98.06</v>
      </c>
      <c r="D202" s="19">
        <v>98.073999999999998</v>
      </c>
      <c r="E202" s="20">
        <v>4.5359999999999996</v>
      </c>
      <c r="F202" s="21">
        <f t="shared" si="30"/>
        <v>98.1875</v>
      </c>
      <c r="G202" s="21">
        <f t="shared" si="31"/>
        <v>98.234375</v>
      </c>
      <c r="H202" s="15">
        <f t="shared" si="32"/>
        <v>98.2109375</v>
      </c>
      <c r="I202" s="15">
        <f t="shared" si="33"/>
        <v>0.74385245901639341</v>
      </c>
      <c r="J202" s="16">
        <f t="shared" si="34"/>
        <v>98.954789959016395</v>
      </c>
      <c r="K202" s="16">
        <f t="shared" si="35"/>
        <v>4.8219178082191778</v>
      </c>
      <c r="L202" s="16">
        <f>SUMIF('Cash Flows'!$A$2:$A$5628,ROW(),'Cash Flows'!$E$2:$E$5628)</f>
        <v>98.913982155593771</v>
      </c>
      <c r="M202" s="16">
        <f t="shared" si="36"/>
        <v>-4.0807803422623579E-2</v>
      </c>
      <c r="N202" s="16">
        <f t="shared" si="37"/>
        <v>4.0807803422623579E-2</v>
      </c>
      <c r="O202" s="17">
        <f t="shared" si="38"/>
        <v>98.170129696577376</v>
      </c>
      <c r="P202" s="17" t="str">
        <f t="shared" si="39"/>
        <v>No</v>
      </c>
    </row>
    <row r="203" spans="1:16" ht="15" customHeight="1" x14ac:dyDescent="0.25">
      <c r="A203" s="18">
        <v>48029</v>
      </c>
      <c r="B203" s="19">
        <v>4.25</v>
      </c>
      <c r="C203" s="19">
        <v>98.215999999999994</v>
      </c>
      <c r="D203" s="19">
        <v>98.231999999999999</v>
      </c>
      <c r="E203" s="20">
        <v>4.5460000000000003</v>
      </c>
      <c r="F203" s="21">
        <f t="shared" si="30"/>
        <v>98.6796875</v>
      </c>
      <c r="G203" s="21">
        <f t="shared" si="31"/>
        <v>98.7265625</v>
      </c>
      <c r="H203" s="15">
        <f t="shared" si="32"/>
        <v>98.703125</v>
      </c>
      <c r="I203" s="15">
        <f t="shared" si="33"/>
        <v>0.76639344262295084</v>
      </c>
      <c r="J203" s="16">
        <f t="shared" si="34"/>
        <v>99.469518442622956</v>
      </c>
      <c r="K203" s="16">
        <f t="shared" si="35"/>
        <v>4.8219178082191778</v>
      </c>
      <c r="L203" s="16">
        <f>SUMIF('Cash Flows'!$A$2:$A$5628,ROW(),'Cash Flows'!$E$2:$E$5628)</f>
        <v>99.473049604121996</v>
      </c>
      <c r="M203" s="16">
        <f t="shared" si="36"/>
        <v>3.531161499040536E-3</v>
      </c>
      <c r="N203" s="16">
        <f t="shared" si="37"/>
        <v>3.531161499040536E-3</v>
      </c>
      <c r="O203" s="17">
        <f t="shared" si="38"/>
        <v>98.706656161499041</v>
      </c>
      <c r="P203" s="17" t="str">
        <f t="shared" si="39"/>
        <v>Yes</v>
      </c>
    </row>
    <row r="204" spans="1:16" ht="15" customHeight="1" x14ac:dyDescent="0.25">
      <c r="A204" s="18">
        <v>48060</v>
      </c>
      <c r="B204" s="19">
        <v>4.125</v>
      </c>
      <c r="C204" s="19">
        <v>98.031999999999996</v>
      </c>
      <c r="D204" s="19">
        <v>98.046000000000006</v>
      </c>
      <c r="E204" s="20">
        <v>4.55</v>
      </c>
      <c r="F204" s="21">
        <f t="shared" si="30"/>
        <v>98.1015625</v>
      </c>
      <c r="G204" s="21">
        <f t="shared" si="31"/>
        <v>98.1484375</v>
      </c>
      <c r="H204" s="15">
        <f t="shared" si="32"/>
        <v>98.125</v>
      </c>
      <c r="I204" s="15">
        <f t="shared" si="33"/>
        <v>0.39232336956521741</v>
      </c>
      <c r="J204" s="16">
        <f t="shared" si="34"/>
        <v>98.517323369565219</v>
      </c>
      <c r="K204" s="16">
        <f t="shared" si="35"/>
        <v>4.9068493150684933</v>
      </c>
      <c r="L204" s="16">
        <f>SUMIF('Cash Flows'!$A$2:$A$5628,ROW(),'Cash Flows'!$E$2:$E$5628)</f>
        <v>98.52478693930729</v>
      </c>
      <c r="M204" s="16">
        <f t="shared" si="36"/>
        <v>7.4635697420717406E-3</v>
      </c>
      <c r="N204" s="16">
        <f t="shared" si="37"/>
        <v>7.4635697420717406E-3</v>
      </c>
      <c r="O204" s="17">
        <f t="shared" si="38"/>
        <v>98.132463569742072</v>
      </c>
      <c r="P204" s="17" t="str">
        <f t="shared" si="39"/>
        <v>Yes</v>
      </c>
    </row>
    <row r="205" spans="1:16" ht="15" customHeight="1" x14ac:dyDescent="0.25">
      <c r="A205" s="18">
        <v>48060</v>
      </c>
      <c r="B205" s="19">
        <v>4.375</v>
      </c>
      <c r="C205" s="19">
        <v>99.070999999999998</v>
      </c>
      <c r="D205" s="19">
        <v>99.084999999999994</v>
      </c>
      <c r="E205" s="20">
        <v>4.5419999999999998</v>
      </c>
      <c r="F205" s="21">
        <f t="shared" si="30"/>
        <v>99.22265625</v>
      </c>
      <c r="G205" s="21">
        <f t="shared" si="31"/>
        <v>99.26953125</v>
      </c>
      <c r="H205" s="15">
        <f t="shared" si="32"/>
        <v>99.24609375</v>
      </c>
      <c r="I205" s="15">
        <f t="shared" si="33"/>
        <v>0.41610054347826086</v>
      </c>
      <c r="J205" s="16">
        <f t="shared" si="34"/>
        <v>99.662194293478265</v>
      </c>
      <c r="K205" s="16">
        <f t="shared" si="35"/>
        <v>4.9068493150684933</v>
      </c>
      <c r="L205" s="16">
        <f>SUMIF('Cash Flows'!$A$2:$A$5628,ROW(),'Cash Flows'!$E$2:$E$5628)</f>
        <v>99.638632309580174</v>
      </c>
      <c r="M205" s="16">
        <f t="shared" si="36"/>
        <v>-2.3561983898090944E-2</v>
      </c>
      <c r="N205" s="16">
        <f t="shared" si="37"/>
        <v>2.3561983898090944E-2</v>
      </c>
      <c r="O205" s="17">
        <f t="shared" si="38"/>
        <v>99.222531766101909</v>
      </c>
      <c r="P205" s="17" t="str">
        <f t="shared" si="39"/>
        <v>No</v>
      </c>
    </row>
    <row r="206" spans="1:16" ht="15" customHeight="1" x14ac:dyDescent="0.25">
      <c r="A206" s="18">
        <v>48075</v>
      </c>
      <c r="B206" s="19">
        <v>1.25</v>
      </c>
      <c r="C206" s="19">
        <v>85.153999999999996</v>
      </c>
      <c r="D206" s="19">
        <v>85.17</v>
      </c>
      <c r="E206" s="20">
        <v>4.5570000000000004</v>
      </c>
      <c r="F206" s="21">
        <f t="shared" si="30"/>
        <v>85.484375</v>
      </c>
      <c r="G206" s="21">
        <f t="shared" si="31"/>
        <v>85.53125</v>
      </c>
      <c r="H206" s="15">
        <f t="shared" si="32"/>
        <v>85.5078125</v>
      </c>
      <c r="I206" s="15">
        <f t="shared" si="33"/>
        <v>6.7934782608695649E-2</v>
      </c>
      <c r="J206" s="16">
        <f t="shared" si="34"/>
        <v>85.575747282608702</v>
      </c>
      <c r="K206" s="16">
        <f t="shared" si="35"/>
        <v>4.9479452054794519</v>
      </c>
      <c r="L206" s="16">
        <f>SUMIF('Cash Flows'!$A$2:$A$5628,ROW(),'Cash Flows'!$E$2:$E$5628)</f>
        <v>85.55137603101798</v>
      </c>
      <c r="M206" s="16">
        <f t="shared" si="36"/>
        <v>-2.4371251590721954E-2</v>
      </c>
      <c r="N206" s="16">
        <f t="shared" si="37"/>
        <v>2.4371251590721954E-2</v>
      </c>
      <c r="O206" s="17">
        <f t="shared" si="38"/>
        <v>85.483441248409278</v>
      </c>
      <c r="P206" s="17" t="str">
        <f t="shared" si="39"/>
        <v>No</v>
      </c>
    </row>
    <row r="207" spans="1:16" ht="15" customHeight="1" x14ac:dyDescent="0.25">
      <c r="A207" s="18">
        <v>48091</v>
      </c>
      <c r="B207" s="19">
        <v>3.75</v>
      </c>
      <c r="C207" s="19">
        <v>96.126000000000005</v>
      </c>
      <c r="D207" s="19">
        <v>96.141999999999996</v>
      </c>
      <c r="E207" s="20">
        <v>4.556</v>
      </c>
      <c r="F207" s="21">
        <f t="shared" si="30"/>
        <v>96.3984375</v>
      </c>
      <c r="G207" s="21">
        <f t="shared" si="31"/>
        <v>96.4453125</v>
      </c>
      <c r="H207" s="15">
        <f t="shared" si="32"/>
        <v>96.421875</v>
      </c>
      <c r="I207" s="15">
        <f t="shared" si="33"/>
        <v>4.1436464088397788E-2</v>
      </c>
      <c r="J207" s="16">
        <f t="shared" si="34"/>
        <v>96.463311464088392</v>
      </c>
      <c r="K207" s="16">
        <f t="shared" si="35"/>
        <v>4.9917808219178079</v>
      </c>
      <c r="L207" s="16">
        <f>SUMIF('Cash Flows'!$A$2:$A$5628,ROW(),'Cash Flows'!$E$2:$E$5628)</f>
        <v>96.474727276735308</v>
      </c>
      <c r="M207" s="16">
        <f t="shared" si="36"/>
        <v>1.1415812646916379E-2</v>
      </c>
      <c r="N207" s="16">
        <f t="shared" si="37"/>
        <v>1.1415812646916379E-2</v>
      </c>
      <c r="O207" s="17">
        <f t="shared" si="38"/>
        <v>96.433290812646916</v>
      </c>
      <c r="P207" s="17" t="str">
        <f t="shared" si="39"/>
        <v>Yes</v>
      </c>
    </row>
    <row r="208" spans="1:16" ht="15" customHeight="1" x14ac:dyDescent="0.25">
      <c r="A208" s="18">
        <v>48091</v>
      </c>
      <c r="B208" s="19">
        <v>4.375</v>
      </c>
      <c r="C208" s="19">
        <v>99.07</v>
      </c>
      <c r="D208" s="19">
        <v>99.084000000000003</v>
      </c>
      <c r="E208" s="20">
        <v>4.5410000000000004</v>
      </c>
      <c r="F208" s="21">
        <f t="shared" si="30"/>
        <v>99.21875</v>
      </c>
      <c r="G208" s="21">
        <f t="shared" si="31"/>
        <v>99.265625</v>
      </c>
      <c r="H208" s="15">
        <f t="shared" si="32"/>
        <v>99.2421875</v>
      </c>
      <c r="I208" s="15">
        <f t="shared" si="33"/>
        <v>4.834254143646409E-2</v>
      </c>
      <c r="J208" s="16">
        <f t="shared" si="34"/>
        <v>99.290530041436469</v>
      </c>
      <c r="K208" s="16">
        <f t="shared" si="35"/>
        <v>4.9917808219178079</v>
      </c>
      <c r="L208" s="16">
        <f>SUMIF('Cash Flows'!$A$2:$A$5628,ROW(),'Cash Flows'!$E$2:$E$5628)</f>
        <v>99.249104620266664</v>
      </c>
      <c r="M208" s="16">
        <f t="shared" si="36"/>
        <v>-4.1425421169805077E-2</v>
      </c>
      <c r="N208" s="16">
        <f t="shared" si="37"/>
        <v>4.1425421169805077E-2</v>
      </c>
      <c r="O208" s="17">
        <f t="shared" si="38"/>
        <v>99.200762078830195</v>
      </c>
      <c r="P208" s="17" t="str">
        <f t="shared" si="39"/>
        <v>No</v>
      </c>
    </row>
    <row r="209" spans="1:16" ht="15" customHeight="1" x14ac:dyDescent="0.25">
      <c r="A209" s="18">
        <v>48121</v>
      </c>
      <c r="B209" s="19">
        <v>3.625</v>
      </c>
      <c r="C209" s="19">
        <v>95.254000000000005</v>
      </c>
      <c r="D209" s="19">
        <v>95.27</v>
      </c>
      <c r="E209" s="20">
        <v>4.5529999999999999</v>
      </c>
      <c r="F209" s="21">
        <f t="shared" si="30"/>
        <v>95.796875</v>
      </c>
      <c r="G209" s="21">
        <f t="shared" si="31"/>
        <v>95.84375</v>
      </c>
      <c r="H209" s="15">
        <f t="shared" si="32"/>
        <v>95.8203125</v>
      </c>
      <c r="I209" s="15">
        <f t="shared" si="33"/>
        <v>1.5549863387978142</v>
      </c>
      <c r="J209" s="16">
        <f t="shared" si="34"/>
        <v>97.375298838797818</v>
      </c>
      <c r="K209" s="16">
        <f t="shared" si="35"/>
        <v>5.0739726027397261</v>
      </c>
      <c r="L209" s="16">
        <f>SUMIF('Cash Flows'!$A$2:$A$5628,ROW(),'Cash Flows'!$E$2:$E$5628)</f>
        <v>97.359828057681369</v>
      </c>
      <c r="M209" s="16">
        <f t="shared" si="36"/>
        <v>-1.5470781116448507E-2</v>
      </c>
      <c r="N209" s="16">
        <f t="shared" si="37"/>
        <v>1.5470781116448507E-2</v>
      </c>
      <c r="O209" s="17">
        <f t="shared" si="38"/>
        <v>95.804841718883551</v>
      </c>
      <c r="P209" s="17" t="str">
        <f t="shared" si="39"/>
        <v>Yes</v>
      </c>
    </row>
    <row r="210" spans="1:16" ht="15" customHeight="1" x14ac:dyDescent="0.25">
      <c r="A210" s="18">
        <v>48152</v>
      </c>
      <c r="B210" s="19">
        <v>4.125</v>
      </c>
      <c r="C210" s="19">
        <v>97.311999999999998</v>
      </c>
      <c r="D210" s="19">
        <v>98.006</v>
      </c>
      <c r="E210" s="20">
        <v>4.5590000000000002</v>
      </c>
      <c r="F210" s="21">
        <f t="shared" si="30"/>
        <v>97.9765625</v>
      </c>
      <c r="G210" s="21">
        <f t="shared" si="31"/>
        <v>98.0234375</v>
      </c>
      <c r="H210" s="15">
        <f t="shared" si="32"/>
        <v>98</v>
      </c>
      <c r="I210" s="15">
        <f t="shared" si="33"/>
        <v>1.4313524590163935</v>
      </c>
      <c r="J210" s="16">
        <f t="shared" si="34"/>
        <v>99.431352459016395</v>
      </c>
      <c r="K210" s="16">
        <f t="shared" si="35"/>
        <v>5.1589041095890407</v>
      </c>
      <c r="L210" s="16">
        <f>SUMIF('Cash Flows'!$A$2:$A$5628,ROW(),'Cash Flows'!$E$2:$E$5628)</f>
        <v>99.428294700468001</v>
      </c>
      <c r="M210" s="16">
        <f t="shared" si="36"/>
        <v>-3.0577585483939629E-3</v>
      </c>
      <c r="N210" s="16">
        <f t="shared" si="37"/>
        <v>3.0577585483939629E-3</v>
      </c>
      <c r="O210" s="17">
        <f t="shared" si="38"/>
        <v>97.996942241451606</v>
      </c>
      <c r="P210" s="17" t="str">
        <f t="shared" si="39"/>
        <v>Yes</v>
      </c>
    </row>
    <row r="211" spans="1:16" ht="15" customHeight="1" x14ac:dyDescent="0.25">
      <c r="A211" s="18">
        <v>48167</v>
      </c>
      <c r="B211" s="19">
        <v>1.375</v>
      </c>
      <c r="C211" s="19">
        <v>85.103999999999999</v>
      </c>
      <c r="D211" s="19">
        <v>85.12</v>
      </c>
      <c r="E211" s="20">
        <v>4.5750000000000002</v>
      </c>
      <c r="F211" s="21">
        <f t="shared" si="30"/>
        <v>85.328125</v>
      </c>
      <c r="G211" s="21">
        <f t="shared" si="31"/>
        <v>85.375</v>
      </c>
      <c r="H211" s="15">
        <f t="shared" si="32"/>
        <v>85.3515625</v>
      </c>
      <c r="I211" s="15">
        <f t="shared" si="33"/>
        <v>0.41847826086956524</v>
      </c>
      <c r="J211" s="16">
        <f t="shared" si="34"/>
        <v>85.770040760869563</v>
      </c>
      <c r="K211" s="16">
        <f t="shared" si="35"/>
        <v>5.2</v>
      </c>
      <c r="L211" s="16">
        <f>SUMIF('Cash Flows'!$A$2:$A$5628,ROW(),'Cash Flows'!$E$2:$E$5628)</f>
        <v>85.781818438862643</v>
      </c>
      <c r="M211" s="16">
        <f t="shared" si="36"/>
        <v>1.1777677993080715E-2</v>
      </c>
      <c r="N211" s="16">
        <f t="shared" si="37"/>
        <v>1.1777677993080715E-2</v>
      </c>
      <c r="O211" s="17">
        <f t="shared" si="38"/>
        <v>85.363340177993081</v>
      </c>
      <c r="P211" s="17" t="str">
        <f t="shared" si="39"/>
        <v>Yes</v>
      </c>
    </row>
    <row r="212" spans="1:16" ht="15" customHeight="1" x14ac:dyDescent="0.25">
      <c r="A212" s="18">
        <v>48182</v>
      </c>
      <c r="B212" s="19">
        <v>4.125</v>
      </c>
      <c r="C212" s="19">
        <v>97.293999999999997</v>
      </c>
      <c r="D212" s="19">
        <v>97.31</v>
      </c>
      <c r="E212" s="20">
        <v>4.5650000000000004</v>
      </c>
      <c r="F212" s="21">
        <f t="shared" si="30"/>
        <v>97.921875</v>
      </c>
      <c r="G212" s="21">
        <f t="shared" si="31"/>
        <v>97.96875</v>
      </c>
      <c r="H212" s="15">
        <f t="shared" si="32"/>
        <v>97.9453125</v>
      </c>
      <c r="I212" s="15">
        <f t="shared" si="33"/>
        <v>1.0819672131147542</v>
      </c>
      <c r="J212" s="16">
        <f t="shared" si="34"/>
        <v>99.027279713114751</v>
      </c>
      <c r="K212" s="16">
        <f t="shared" si="35"/>
        <v>5.2410958904109588</v>
      </c>
      <c r="L212" s="16">
        <f>SUMIF('Cash Flows'!$A$2:$A$5628,ROW(),'Cash Flows'!$E$2:$E$5628)</f>
        <v>99.047414289914329</v>
      </c>
      <c r="M212" s="16">
        <f t="shared" si="36"/>
        <v>2.013457679957753E-2</v>
      </c>
      <c r="N212" s="16">
        <f t="shared" si="37"/>
        <v>2.013457679957753E-2</v>
      </c>
      <c r="O212" s="17">
        <f t="shared" si="38"/>
        <v>97.965447076799578</v>
      </c>
      <c r="P212" s="17" t="str">
        <f t="shared" si="39"/>
        <v>Yes</v>
      </c>
    </row>
    <row r="213" spans="1:16" ht="15" customHeight="1" x14ac:dyDescent="0.25">
      <c r="A213" s="18">
        <v>48213</v>
      </c>
      <c r="B213" s="19">
        <v>4.5</v>
      </c>
      <c r="C213" s="19">
        <v>99.201999999999998</v>
      </c>
      <c r="D213" s="19">
        <v>99.215999999999994</v>
      </c>
      <c r="E213" s="20">
        <v>4.5670000000000002</v>
      </c>
      <c r="F213" s="21">
        <f t="shared" si="30"/>
        <v>99.6328125</v>
      </c>
      <c r="G213" s="21">
        <f t="shared" si="31"/>
        <v>99.6796875</v>
      </c>
      <c r="H213" s="15">
        <f t="shared" si="32"/>
        <v>99.65625</v>
      </c>
      <c r="I213" s="15">
        <f t="shared" si="33"/>
        <v>0.81147540983606559</v>
      </c>
      <c r="J213" s="16">
        <f t="shared" si="34"/>
        <v>100.46772540983606</v>
      </c>
      <c r="K213" s="16">
        <f t="shared" si="35"/>
        <v>5.3260273972602743</v>
      </c>
      <c r="L213" s="16">
        <f>SUMIF('Cash Flows'!$A$2:$A$5628,ROW(),'Cash Flows'!$E$2:$E$5628)</f>
        <v>100.4816815348679</v>
      </c>
      <c r="M213" s="16">
        <f t="shared" si="36"/>
        <v>1.3956125031839406E-2</v>
      </c>
      <c r="N213" s="16">
        <f t="shared" si="37"/>
        <v>1.3956125031839406E-2</v>
      </c>
      <c r="O213" s="17">
        <f t="shared" si="38"/>
        <v>99.670206125031839</v>
      </c>
      <c r="P213" s="17" t="str">
        <f t="shared" si="39"/>
        <v>Yes</v>
      </c>
    </row>
    <row r="214" spans="1:16" ht="15" customHeight="1" x14ac:dyDescent="0.25">
      <c r="A214" s="18">
        <v>48244</v>
      </c>
      <c r="B214" s="19">
        <v>4.375</v>
      </c>
      <c r="C214" s="19">
        <v>99</v>
      </c>
      <c r="D214" s="19">
        <v>99.013999999999996</v>
      </c>
      <c r="E214" s="20">
        <v>4.5759999999999996</v>
      </c>
      <c r="F214" s="21">
        <f t="shared" si="30"/>
        <v>99</v>
      </c>
      <c r="G214" s="21">
        <f t="shared" si="31"/>
        <v>99.046875</v>
      </c>
      <c r="H214" s="15">
        <f t="shared" si="32"/>
        <v>99.0234375</v>
      </c>
      <c r="I214" s="15">
        <f t="shared" si="33"/>
        <v>0.41610054347826086</v>
      </c>
      <c r="J214" s="16">
        <f t="shared" si="34"/>
        <v>99.439538043478265</v>
      </c>
      <c r="K214" s="16">
        <f t="shared" si="35"/>
        <v>5.4109589041095889</v>
      </c>
      <c r="L214" s="16">
        <f>SUMIF('Cash Flows'!$A$2:$A$5628,ROW(),'Cash Flows'!$E$2:$E$5628)</f>
        <v>99.477833733696059</v>
      </c>
      <c r="M214" s="16">
        <f t="shared" si="36"/>
        <v>3.8295690217793776E-2</v>
      </c>
      <c r="N214" s="16">
        <f t="shared" si="37"/>
        <v>3.8295690217793776E-2</v>
      </c>
      <c r="O214" s="17">
        <f t="shared" si="38"/>
        <v>99.061733190217794</v>
      </c>
      <c r="P214" s="17" t="str">
        <f t="shared" si="39"/>
        <v>No</v>
      </c>
    </row>
    <row r="215" spans="1:16" ht="15" customHeight="1" x14ac:dyDescent="0.25">
      <c r="A215" s="18">
        <v>48259</v>
      </c>
      <c r="B215" s="19">
        <v>1.875</v>
      </c>
      <c r="C215" s="19">
        <v>87.006</v>
      </c>
      <c r="D215" s="19">
        <v>87.022000000000006</v>
      </c>
      <c r="E215" s="20">
        <v>4.59</v>
      </c>
      <c r="F215" s="21">
        <f t="shared" si="30"/>
        <v>87.0234375</v>
      </c>
      <c r="G215" s="21">
        <f t="shared" si="31"/>
        <v>87.0703125</v>
      </c>
      <c r="H215" s="15">
        <f t="shared" si="32"/>
        <v>87.046875</v>
      </c>
      <c r="I215" s="15">
        <f t="shared" si="33"/>
        <v>0.10190217391304347</v>
      </c>
      <c r="J215" s="16">
        <f t="shared" si="34"/>
        <v>87.148777173913047</v>
      </c>
      <c r="K215" s="16">
        <f t="shared" si="35"/>
        <v>5.4520547945205475</v>
      </c>
      <c r="L215" s="16">
        <f>SUMIF('Cash Flows'!$A$2:$A$5628,ROW(),'Cash Flows'!$E$2:$E$5628)</f>
        <v>87.192558743384524</v>
      </c>
      <c r="M215" s="16">
        <f t="shared" si="36"/>
        <v>4.3781569471477155E-2</v>
      </c>
      <c r="N215" s="16">
        <f t="shared" si="37"/>
        <v>4.3781569471477155E-2</v>
      </c>
      <c r="O215" s="17">
        <f t="shared" si="38"/>
        <v>87.090656569471477</v>
      </c>
      <c r="P215" s="17" t="str">
        <f t="shared" si="39"/>
        <v>No</v>
      </c>
    </row>
    <row r="216" spans="1:16" ht="15" customHeight="1" x14ac:dyDescent="0.25">
      <c r="A216" s="18">
        <v>48273</v>
      </c>
      <c r="B216" s="19">
        <v>4.125</v>
      </c>
      <c r="C216" s="19">
        <v>97.251999999999995</v>
      </c>
      <c r="D216" s="19">
        <v>97.266000000000005</v>
      </c>
      <c r="E216" s="20">
        <v>4.5759999999999996</v>
      </c>
      <c r="F216" s="21">
        <f t="shared" si="30"/>
        <v>97.7890625</v>
      </c>
      <c r="G216" s="21">
        <f t="shared" si="31"/>
        <v>97.8359375</v>
      </c>
      <c r="H216" s="15">
        <f t="shared" si="32"/>
        <v>97.8125</v>
      </c>
      <c r="I216" s="15">
        <f t="shared" si="33"/>
        <v>4.5580110497237571E-2</v>
      </c>
      <c r="J216" s="16">
        <f t="shared" si="34"/>
        <v>97.858080110497241</v>
      </c>
      <c r="K216" s="16">
        <f t="shared" si="35"/>
        <v>5.4904109589041097</v>
      </c>
      <c r="L216" s="16">
        <f>SUMIF('Cash Flows'!$A$2:$A$5628,ROW(),'Cash Flows'!$E$2:$E$5628)</f>
        <v>97.900184573922104</v>
      </c>
      <c r="M216" s="16">
        <f t="shared" si="36"/>
        <v>4.210446342486307E-2</v>
      </c>
      <c r="N216" s="16">
        <f t="shared" si="37"/>
        <v>4.210446342486307E-2</v>
      </c>
      <c r="O216" s="17">
        <f t="shared" si="38"/>
        <v>97.854604463424863</v>
      </c>
      <c r="P216" s="17" t="str">
        <f t="shared" si="39"/>
        <v>No</v>
      </c>
    </row>
    <row r="217" spans="1:16" ht="15" customHeight="1" x14ac:dyDescent="0.25">
      <c r="A217" s="18">
        <v>48304</v>
      </c>
      <c r="B217" s="19">
        <v>4.125</v>
      </c>
      <c r="C217" s="19">
        <v>97.233999999999995</v>
      </c>
      <c r="D217" s="19">
        <v>97.25</v>
      </c>
      <c r="E217" s="20">
        <v>4.5810000000000004</v>
      </c>
      <c r="F217" s="21">
        <f t="shared" si="30"/>
        <v>97.734375</v>
      </c>
      <c r="G217" s="21">
        <f t="shared" si="31"/>
        <v>97.78125</v>
      </c>
      <c r="H217" s="15">
        <f t="shared" si="32"/>
        <v>97.7578125</v>
      </c>
      <c r="I217" s="15">
        <f t="shared" si="33"/>
        <v>1.7694672131147542</v>
      </c>
      <c r="J217" s="16">
        <f t="shared" si="34"/>
        <v>99.527279713114751</v>
      </c>
      <c r="K217" s="16">
        <f t="shared" si="35"/>
        <v>5.5753424657534243</v>
      </c>
      <c r="L217" s="16">
        <f>SUMIF('Cash Flows'!$A$2:$A$5628,ROW(),'Cash Flows'!$E$2:$E$5628)</f>
        <v>99.569272799531944</v>
      </c>
      <c r="M217" s="16">
        <f t="shared" si="36"/>
        <v>4.1993086417193126E-2</v>
      </c>
      <c r="N217" s="16">
        <f t="shared" si="37"/>
        <v>4.1993086417193126E-2</v>
      </c>
      <c r="O217" s="17">
        <f t="shared" si="38"/>
        <v>97.799805586417193</v>
      </c>
      <c r="P217" s="17" t="str">
        <f t="shared" si="39"/>
        <v>No</v>
      </c>
    </row>
    <row r="218" spans="1:16" ht="15" customHeight="1" x14ac:dyDescent="0.25">
      <c r="A218" s="18">
        <v>48334</v>
      </c>
      <c r="B218" s="19">
        <v>4</v>
      </c>
      <c r="C218" s="19">
        <v>97.022000000000006</v>
      </c>
      <c r="D218" s="19">
        <v>97.036000000000001</v>
      </c>
      <c r="E218" s="20">
        <v>4.585</v>
      </c>
      <c r="F218" s="21">
        <f t="shared" si="30"/>
        <v>97.0703125</v>
      </c>
      <c r="G218" s="21">
        <f t="shared" si="31"/>
        <v>97.1171875</v>
      </c>
      <c r="H218" s="15">
        <f t="shared" si="32"/>
        <v>97.09375</v>
      </c>
      <c r="I218" s="15">
        <f t="shared" si="33"/>
        <v>1.3879781420765027</v>
      </c>
      <c r="J218" s="16">
        <f t="shared" si="34"/>
        <v>98.481728142076506</v>
      </c>
      <c r="K218" s="16">
        <f t="shared" si="35"/>
        <v>5.6575342465753424</v>
      </c>
      <c r="L218" s="16">
        <f>SUMIF('Cash Flows'!$A$2:$A$5628,ROW(),'Cash Flows'!$E$2:$E$5628)</f>
        <v>98.524439908654017</v>
      </c>
      <c r="M218" s="16">
        <f t="shared" si="36"/>
        <v>4.2711766577511412E-2</v>
      </c>
      <c r="N218" s="16">
        <f t="shared" si="37"/>
        <v>4.2711766577511412E-2</v>
      </c>
      <c r="O218" s="17">
        <f t="shared" si="38"/>
        <v>97.136461766577511</v>
      </c>
      <c r="P218" s="17" t="str">
        <f t="shared" si="39"/>
        <v>No</v>
      </c>
    </row>
    <row r="219" spans="1:16" ht="15" customHeight="1" x14ac:dyDescent="0.25">
      <c r="A219" s="18">
        <v>48349</v>
      </c>
      <c r="B219" s="19">
        <v>2.875</v>
      </c>
      <c r="C219" s="19">
        <v>91.134</v>
      </c>
      <c r="D219" s="19">
        <v>91.15</v>
      </c>
      <c r="E219" s="20">
        <v>4.5970000000000004</v>
      </c>
      <c r="F219" s="21">
        <f t="shared" si="30"/>
        <v>91.421875</v>
      </c>
      <c r="G219" s="21">
        <f t="shared" si="31"/>
        <v>91.46875</v>
      </c>
      <c r="H219" s="15">
        <f t="shared" si="32"/>
        <v>91.4453125</v>
      </c>
      <c r="I219" s="15">
        <f t="shared" si="33"/>
        <v>0.875</v>
      </c>
      <c r="J219" s="16">
        <f t="shared" si="34"/>
        <v>92.3203125</v>
      </c>
      <c r="K219" s="16">
        <f t="shared" si="35"/>
        <v>5.6986301369863011</v>
      </c>
      <c r="L219" s="16">
        <f>SUMIF('Cash Flows'!$A$2:$A$5628,ROW(),'Cash Flows'!$E$2:$E$5628)</f>
        <v>92.395464809151648</v>
      </c>
      <c r="M219" s="16">
        <f t="shared" si="36"/>
        <v>7.5152309151647501E-2</v>
      </c>
      <c r="N219" s="16">
        <f t="shared" si="37"/>
        <v>7.5152309151647501E-2</v>
      </c>
      <c r="O219" s="17">
        <f t="shared" si="38"/>
        <v>91.520464809151648</v>
      </c>
      <c r="P219" s="17" t="str">
        <f t="shared" si="39"/>
        <v>No</v>
      </c>
    </row>
    <row r="220" spans="1:16" ht="15" customHeight="1" x14ac:dyDescent="0.25">
      <c r="A220" s="18">
        <v>48365</v>
      </c>
      <c r="B220" s="19">
        <v>4.125</v>
      </c>
      <c r="C220" s="19">
        <v>97.2</v>
      </c>
      <c r="D220" s="19">
        <v>97.213999999999999</v>
      </c>
      <c r="E220" s="20">
        <v>4.5910000000000002</v>
      </c>
      <c r="F220" s="21">
        <f t="shared" si="30"/>
        <v>97.625</v>
      </c>
      <c r="G220" s="21">
        <f t="shared" si="31"/>
        <v>97.671875</v>
      </c>
      <c r="H220" s="15">
        <f t="shared" si="32"/>
        <v>97.6484375</v>
      </c>
      <c r="I220" s="15">
        <f t="shared" si="33"/>
        <v>1.0819672131147542</v>
      </c>
      <c r="J220" s="16">
        <f t="shared" si="34"/>
        <v>98.730404713114751</v>
      </c>
      <c r="K220" s="16">
        <f t="shared" si="35"/>
        <v>5.7424657534246579</v>
      </c>
      <c r="L220" s="16">
        <f>SUMIF('Cash Flows'!$A$2:$A$5628,ROW(),'Cash Flows'!$E$2:$E$5628)</f>
        <v>98.79233969310333</v>
      </c>
      <c r="M220" s="16">
        <f t="shared" si="36"/>
        <v>6.193497998857822E-2</v>
      </c>
      <c r="N220" s="16">
        <f t="shared" si="37"/>
        <v>6.193497998857822E-2</v>
      </c>
      <c r="O220" s="17">
        <f t="shared" si="38"/>
        <v>97.710372479988578</v>
      </c>
      <c r="P220" s="17" t="str">
        <f t="shared" si="39"/>
        <v>No</v>
      </c>
    </row>
    <row r="221" spans="1:16" ht="15" customHeight="1" x14ac:dyDescent="0.25">
      <c r="A221" s="18">
        <v>48395</v>
      </c>
      <c r="B221" s="19">
        <v>4</v>
      </c>
      <c r="C221" s="19">
        <v>96.305999999999997</v>
      </c>
      <c r="D221" s="19">
        <v>97.001999999999995</v>
      </c>
      <c r="E221" s="20">
        <v>4.5919999999999996</v>
      </c>
      <c r="F221" s="21">
        <f t="shared" si="30"/>
        <v>96.9609375</v>
      </c>
      <c r="G221" s="21">
        <f t="shared" si="31"/>
        <v>97.0078125</v>
      </c>
      <c r="H221" s="15">
        <f t="shared" si="32"/>
        <v>96.984375</v>
      </c>
      <c r="I221" s="15">
        <f t="shared" si="33"/>
        <v>0.72131147540983609</v>
      </c>
      <c r="J221" s="16">
        <f t="shared" si="34"/>
        <v>97.705686475409834</v>
      </c>
      <c r="K221" s="16">
        <f t="shared" si="35"/>
        <v>5.8246575342465752</v>
      </c>
      <c r="L221" s="16">
        <f>SUMIF('Cash Flows'!$A$2:$A$5628,ROW(),'Cash Flows'!$E$2:$E$5628)</f>
        <v>97.753851444479807</v>
      </c>
      <c r="M221" s="16">
        <f t="shared" si="36"/>
        <v>4.8164969069972585E-2</v>
      </c>
      <c r="N221" s="16">
        <f t="shared" si="37"/>
        <v>4.8164969069972585E-2</v>
      </c>
      <c r="O221" s="17">
        <f t="shared" si="38"/>
        <v>97.032539969069973</v>
      </c>
      <c r="P221" s="17" t="str">
        <f t="shared" si="39"/>
        <v>No</v>
      </c>
    </row>
    <row r="222" spans="1:16" ht="15" customHeight="1" x14ac:dyDescent="0.25">
      <c r="A222" s="18">
        <v>48426</v>
      </c>
      <c r="B222" s="19">
        <v>4</v>
      </c>
      <c r="C222" s="19">
        <v>96.281999999999996</v>
      </c>
      <c r="D222" s="19">
        <v>96.296000000000006</v>
      </c>
      <c r="E222" s="20">
        <v>4.5999999999999996</v>
      </c>
      <c r="F222" s="21">
        <f t="shared" si="30"/>
        <v>96.8828125</v>
      </c>
      <c r="G222" s="21">
        <f t="shared" si="31"/>
        <v>96.9296875</v>
      </c>
      <c r="H222" s="15">
        <f t="shared" si="32"/>
        <v>96.90625</v>
      </c>
      <c r="I222" s="15">
        <f t="shared" si="33"/>
        <v>0.38043478260869568</v>
      </c>
      <c r="J222" s="16">
        <f t="shared" si="34"/>
        <v>97.286684782608702</v>
      </c>
      <c r="K222" s="16">
        <f t="shared" si="35"/>
        <v>5.9095890410958907</v>
      </c>
      <c r="L222" s="16">
        <f>SUMIF('Cash Flows'!$A$2:$A$5628,ROW(),'Cash Flows'!$E$2:$E$5628)</f>
        <v>97.363535434533773</v>
      </c>
      <c r="M222" s="16">
        <f t="shared" si="36"/>
        <v>7.6850651925070679E-2</v>
      </c>
      <c r="N222" s="16">
        <f t="shared" si="37"/>
        <v>7.6850651925070679E-2</v>
      </c>
      <c r="O222" s="17">
        <f t="shared" si="38"/>
        <v>96.983100651925071</v>
      </c>
      <c r="P222" s="17" t="str">
        <f t="shared" si="39"/>
        <v>No</v>
      </c>
    </row>
    <row r="223" spans="1:16" ht="15" customHeight="1" x14ac:dyDescent="0.25">
      <c r="A223" s="18">
        <v>48441</v>
      </c>
      <c r="B223" s="19">
        <v>2.75</v>
      </c>
      <c r="C223" s="19">
        <v>90.134</v>
      </c>
      <c r="D223" s="19">
        <v>90.15</v>
      </c>
      <c r="E223" s="20">
        <v>4.6029999999999998</v>
      </c>
      <c r="F223" s="21">
        <f t="shared" si="30"/>
        <v>90.421875</v>
      </c>
      <c r="G223" s="21">
        <f t="shared" si="31"/>
        <v>90.46875</v>
      </c>
      <c r="H223" s="15">
        <f t="shared" si="32"/>
        <v>90.4453125</v>
      </c>
      <c r="I223" s="15">
        <f t="shared" si="33"/>
        <v>0.14945652173913043</v>
      </c>
      <c r="J223" s="16">
        <f t="shared" si="34"/>
        <v>90.594769021739125</v>
      </c>
      <c r="K223" s="16">
        <f t="shared" si="35"/>
        <v>5.9506849315068493</v>
      </c>
      <c r="L223" s="16">
        <f>SUMIF('Cash Flows'!$A$2:$A$5628,ROW(),'Cash Flows'!$E$2:$E$5628)</f>
        <v>90.650874506378187</v>
      </c>
      <c r="M223" s="16">
        <f t="shared" si="36"/>
        <v>5.6105484639061842E-2</v>
      </c>
      <c r="N223" s="16">
        <f t="shared" si="37"/>
        <v>5.6105484639061842E-2</v>
      </c>
      <c r="O223" s="17">
        <f t="shared" si="38"/>
        <v>90.501417984639062</v>
      </c>
      <c r="P223" s="17" t="str">
        <f t="shared" si="39"/>
        <v>No</v>
      </c>
    </row>
    <row r="224" spans="1:16" ht="15" customHeight="1" x14ac:dyDescent="0.25">
      <c r="A224" s="18">
        <v>48457</v>
      </c>
      <c r="B224" s="19">
        <v>3.875</v>
      </c>
      <c r="C224" s="19">
        <v>96.061999999999998</v>
      </c>
      <c r="D224" s="19">
        <v>96.075999999999993</v>
      </c>
      <c r="E224" s="20">
        <v>4.601</v>
      </c>
      <c r="F224" s="21">
        <f t="shared" si="30"/>
        <v>96.1953125</v>
      </c>
      <c r="G224" s="21">
        <f t="shared" si="31"/>
        <v>96.2421875</v>
      </c>
      <c r="H224" s="15">
        <f t="shared" si="32"/>
        <v>96.21875</v>
      </c>
      <c r="I224" s="15">
        <f t="shared" si="33"/>
        <v>4.2817679558011051E-2</v>
      </c>
      <c r="J224" s="16">
        <f t="shared" si="34"/>
        <v>96.261567679558013</v>
      </c>
      <c r="K224" s="16">
        <f t="shared" si="35"/>
        <v>5.9945205479452053</v>
      </c>
      <c r="L224" s="16">
        <f>SUMIF('Cash Flows'!$A$2:$A$5628,ROW(),'Cash Flows'!$E$2:$E$5628)</f>
        <v>96.32620926722042</v>
      </c>
      <c r="M224" s="16">
        <f t="shared" si="36"/>
        <v>6.4641587662407574E-2</v>
      </c>
      <c r="N224" s="16">
        <f t="shared" si="37"/>
        <v>6.4641587662407574E-2</v>
      </c>
      <c r="O224" s="17">
        <f t="shared" si="38"/>
        <v>96.283391587662408</v>
      </c>
      <c r="P224" s="17" t="str">
        <f t="shared" si="39"/>
        <v>No</v>
      </c>
    </row>
    <row r="225" spans="1:16" ht="15" customHeight="1" x14ac:dyDescent="0.25">
      <c r="A225" s="18">
        <v>48487</v>
      </c>
      <c r="B225" s="19">
        <v>3.875</v>
      </c>
      <c r="C225" s="19">
        <v>96.031999999999996</v>
      </c>
      <c r="D225" s="19">
        <v>96.046000000000006</v>
      </c>
      <c r="E225" s="20">
        <v>4.6100000000000003</v>
      </c>
      <c r="F225" s="21">
        <f t="shared" si="30"/>
        <v>96.1015625</v>
      </c>
      <c r="G225" s="21">
        <f t="shared" si="31"/>
        <v>96.1484375</v>
      </c>
      <c r="H225" s="15">
        <f t="shared" si="32"/>
        <v>96.125</v>
      </c>
      <c r="I225" s="15">
        <f t="shared" si="33"/>
        <v>1.6622267759562841</v>
      </c>
      <c r="J225" s="16">
        <f t="shared" si="34"/>
        <v>97.787226775956285</v>
      </c>
      <c r="K225" s="16">
        <f t="shared" si="35"/>
        <v>6.0767123287671234</v>
      </c>
      <c r="L225" s="16">
        <f>SUMIF('Cash Flows'!$A$2:$A$5628,ROW(),'Cash Flows'!$E$2:$E$5628)</f>
        <v>97.883169635204894</v>
      </c>
      <c r="M225" s="16">
        <f t="shared" si="36"/>
        <v>9.5942859248609125E-2</v>
      </c>
      <c r="N225" s="16">
        <f t="shared" si="37"/>
        <v>9.5942859248609125E-2</v>
      </c>
      <c r="O225" s="17">
        <f t="shared" si="38"/>
        <v>96.220942859248609</v>
      </c>
      <c r="P225" s="17" t="str">
        <f t="shared" si="39"/>
        <v>No</v>
      </c>
    </row>
    <row r="226" spans="1:16" ht="15" customHeight="1" x14ac:dyDescent="0.25">
      <c r="A226" s="18">
        <v>48518</v>
      </c>
      <c r="B226" s="19">
        <v>3.75</v>
      </c>
      <c r="C226" s="19">
        <v>95.116</v>
      </c>
      <c r="D226" s="19">
        <v>95.132000000000005</v>
      </c>
      <c r="E226" s="20">
        <v>4.6150000000000002</v>
      </c>
      <c r="F226" s="21">
        <f t="shared" si="30"/>
        <v>95.3671875</v>
      </c>
      <c r="G226" s="21">
        <f t="shared" si="31"/>
        <v>95.4140625</v>
      </c>
      <c r="H226" s="15">
        <f t="shared" si="32"/>
        <v>95.390625</v>
      </c>
      <c r="I226" s="15">
        <f t="shared" si="33"/>
        <v>1.3012295081967213</v>
      </c>
      <c r="J226" s="16">
        <f t="shared" si="34"/>
        <v>96.691854508196727</v>
      </c>
      <c r="K226" s="16">
        <f t="shared" si="35"/>
        <v>6.161643835616438</v>
      </c>
      <c r="L226" s="16">
        <f>SUMIF('Cash Flows'!$A$2:$A$5628,ROW(),'Cash Flows'!$E$2:$E$5628)</f>
        <v>96.784059042917278</v>
      </c>
      <c r="M226" s="16">
        <f t="shared" si="36"/>
        <v>9.2204534720551123E-2</v>
      </c>
      <c r="N226" s="16">
        <f t="shared" si="37"/>
        <v>9.2204534720551123E-2</v>
      </c>
      <c r="O226" s="17">
        <f t="shared" si="38"/>
        <v>95.482829534720551</v>
      </c>
      <c r="P226" s="17" t="str">
        <f t="shared" si="39"/>
        <v>No</v>
      </c>
    </row>
    <row r="227" spans="1:16" ht="15" customHeight="1" x14ac:dyDescent="0.25">
      <c r="A227" s="18">
        <v>48533</v>
      </c>
      <c r="B227" s="19">
        <v>4.125</v>
      </c>
      <c r="C227" s="19">
        <v>97.11</v>
      </c>
      <c r="D227" s="19">
        <v>97.123999999999995</v>
      </c>
      <c r="E227" s="20">
        <v>4.6139999999999999</v>
      </c>
      <c r="F227" s="21">
        <f t="shared" si="30"/>
        <v>97.34375</v>
      </c>
      <c r="G227" s="21">
        <f t="shared" si="31"/>
        <v>97.390625</v>
      </c>
      <c r="H227" s="15">
        <f t="shared" si="32"/>
        <v>97.3671875</v>
      </c>
      <c r="I227" s="15">
        <f t="shared" si="33"/>
        <v>1.2554347826086956</v>
      </c>
      <c r="J227" s="16">
        <f t="shared" si="34"/>
        <v>98.622622282608702</v>
      </c>
      <c r="K227" s="16">
        <f t="shared" si="35"/>
        <v>6.2027397260273975</v>
      </c>
      <c r="L227" s="16">
        <f>SUMIF('Cash Flows'!$A$2:$A$5628,ROW(),'Cash Flows'!$E$2:$E$5628)</f>
        <v>98.716935591259059</v>
      </c>
      <c r="M227" s="16">
        <f t="shared" si="36"/>
        <v>9.4313308650356475E-2</v>
      </c>
      <c r="N227" s="16">
        <f t="shared" si="37"/>
        <v>9.4313308650356475E-2</v>
      </c>
      <c r="O227" s="17">
        <f t="shared" si="38"/>
        <v>97.461500808650356</v>
      </c>
      <c r="P227" s="17" t="str">
        <f t="shared" si="39"/>
        <v>No</v>
      </c>
    </row>
    <row r="228" spans="1:16" ht="15" customHeight="1" x14ac:dyDescent="0.25">
      <c r="A228" s="18">
        <v>48548</v>
      </c>
      <c r="B228" s="19">
        <v>3.75</v>
      </c>
      <c r="C228" s="19">
        <v>95.091999999999999</v>
      </c>
      <c r="D228" s="19">
        <v>95.105999999999995</v>
      </c>
      <c r="E228" s="20">
        <v>4.6189999999999998</v>
      </c>
      <c r="F228" s="21">
        <f t="shared" si="30"/>
        <v>95.2890625</v>
      </c>
      <c r="G228" s="21">
        <f t="shared" si="31"/>
        <v>95.3359375</v>
      </c>
      <c r="H228" s="15">
        <f t="shared" si="32"/>
        <v>95.3125</v>
      </c>
      <c r="I228" s="15">
        <f t="shared" si="33"/>
        <v>0.98360655737704916</v>
      </c>
      <c r="J228" s="16">
        <f t="shared" si="34"/>
        <v>96.296106557377044</v>
      </c>
      <c r="K228" s="16">
        <f t="shared" si="35"/>
        <v>6.2438356164383562</v>
      </c>
      <c r="L228" s="16">
        <f>SUMIF('Cash Flows'!$A$2:$A$5628,ROW(),'Cash Flows'!$E$2:$E$5628)</f>
        <v>96.406523608290826</v>
      </c>
      <c r="M228" s="16">
        <f t="shared" si="36"/>
        <v>0.11041705091378162</v>
      </c>
      <c r="N228" s="16">
        <f t="shared" si="37"/>
        <v>0.11041705091378162</v>
      </c>
      <c r="O228" s="17">
        <f t="shared" si="38"/>
        <v>95.422917050913782</v>
      </c>
      <c r="P228" s="17" t="str">
        <f t="shared" si="39"/>
        <v>No</v>
      </c>
    </row>
    <row r="229" spans="1:16" ht="15" customHeight="1" x14ac:dyDescent="0.25">
      <c r="A229" s="18">
        <v>48579</v>
      </c>
      <c r="B229" s="19">
        <v>3.875</v>
      </c>
      <c r="C229" s="19">
        <v>95.29</v>
      </c>
      <c r="D229" s="19">
        <v>95.304000000000002</v>
      </c>
      <c r="E229" s="20">
        <v>4.6210000000000004</v>
      </c>
      <c r="F229" s="21">
        <f t="shared" si="30"/>
        <v>95.90625</v>
      </c>
      <c r="G229" s="21">
        <f t="shared" si="31"/>
        <v>95.953125</v>
      </c>
      <c r="H229" s="15">
        <f t="shared" si="32"/>
        <v>95.9296875</v>
      </c>
      <c r="I229" s="15">
        <f t="shared" si="33"/>
        <v>0.69877049180327866</v>
      </c>
      <c r="J229" s="16">
        <f t="shared" si="34"/>
        <v>96.628457991803273</v>
      </c>
      <c r="K229" s="16">
        <f t="shared" si="35"/>
        <v>6.3287671232876717</v>
      </c>
      <c r="L229" s="16">
        <f>SUMIF('Cash Flows'!$A$2:$A$5628,ROW(),'Cash Flows'!$E$2:$E$5628)</f>
        <v>96.722255953012692</v>
      </c>
      <c r="M229" s="16">
        <f t="shared" si="36"/>
        <v>9.379796120941819E-2</v>
      </c>
      <c r="N229" s="16">
        <f t="shared" si="37"/>
        <v>9.379796120941819E-2</v>
      </c>
      <c r="O229" s="17">
        <f t="shared" si="38"/>
        <v>96.023485461209418</v>
      </c>
      <c r="P229" s="17" t="str">
        <f t="shared" si="39"/>
        <v>No</v>
      </c>
    </row>
    <row r="230" spans="1:16" ht="15" customHeight="1" x14ac:dyDescent="0.25">
      <c r="A230" s="18">
        <v>48610</v>
      </c>
      <c r="B230" s="19">
        <v>4</v>
      </c>
      <c r="C230" s="19">
        <v>96.164000000000001</v>
      </c>
      <c r="D230" s="19">
        <v>96.18</v>
      </c>
      <c r="E230" s="20">
        <v>4.6260000000000003</v>
      </c>
      <c r="F230" s="21">
        <f t="shared" si="30"/>
        <v>96.515625</v>
      </c>
      <c r="G230" s="21">
        <f t="shared" si="31"/>
        <v>96.5625</v>
      </c>
      <c r="H230" s="15">
        <f t="shared" si="32"/>
        <v>96.5390625</v>
      </c>
      <c r="I230" s="15">
        <f t="shared" si="33"/>
        <v>0.38043478260869568</v>
      </c>
      <c r="J230" s="16">
        <f t="shared" si="34"/>
        <v>96.919497282608702</v>
      </c>
      <c r="K230" s="16">
        <f t="shared" si="35"/>
        <v>6.4136986301369863</v>
      </c>
      <c r="L230" s="16">
        <f>SUMIF('Cash Flows'!$A$2:$A$5628,ROW(),'Cash Flows'!$E$2:$E$5628)</f>
        <v>97.032267315694128</v>
      </c>
      <c r="M230" s="16">
        <f t="shared" si="36"/>
        <v>0.11277003308542533</v>
      </c>
      <c r="N230" s="16">
        <f t="shared" si="37"/>
        <v>0.11277003308542533</v>
      </c>
      <c r="O230" s="17">
        <f t="shared" si="38"/>
        <v>96.651832533085425</v>
      </c>
      <c r="P230" s="17" t="str">
        <f t="shared" si="39"/>
        <v>No</v>
      </c>
    </row>
    <row r="231" spans="1:16" ht="15" customHeight="1" x14ac:dyDescent="0.25">
      <c r="A231" s="18">
        <v>48625</v>
      </c>
      <c r="B231" s="19">
        <v>3.5</v>
      </c>
      <c r="C231" s="19">
        <v>93.224000000000004</v>
      </c>
      <c r="D231" s="19">
        <v>93.24</v>
      </c>
      <c r="E231" s="20">
        <v>4.6340000000000003</v>
      </c>
      <c r="F231" s="21">
        <f t="shared" si="30"/>
        <v>93.703125</v>
      </c>
      <c r="G231" s="21">
        <f t="shared" si="31"/>
        <v>93.75</v>
      </c>
      <c r="H231" s="15">
        <f t="shared" si="32"/>
        <v>93.7265625</v>
      </c>
      <c r="I231" s="15">
        <f t="shared" si="33"/>
        <v>0.19021739130434784</v>
      </c>
      <c r="J231" s="16">
        <f t="shared" si="34"/>
        <v>93.916779891304344</v>
      </c>
      <c r="K231" s="16">
        <f t="shared" si="35"/>
        <v>6.4547945205479449</v>
      </c>
      <c r="L231" s="16">
        <f>SUMIF('Cash Flows'!$A$2:$A$5628,ROW(),'Cash Flows'!$E$2:$E$5628)</f>
        <v>94.046479511787922</v>
      </c>
      <c r="M231" s="16">
        <f t="shared" si="36"/>
        <v>0.12969962048357786</v>
      </c>
      <c r="N231" s="16">
        <f t="shared" si="37"/>
        <v>0.12969962048357786</v>
      </c>
      <c r="O231" s="17">
        <f t="shared" si="38"/>
        <v>93.856262120483578</v>
      </c>
      <c r="P231" s="17" t="str">
        <f t="shared" si="39"/>
        <v>No</v>
      </c>
    </row>
    <row r="232" spans="1:16" ht="15" customHeight="1" x14ac:dyDescent="0.25">
      <c r="A232" s="18">
        <v>48638</v>
      </c>
      <c r="B232" s="19">
        <v>3.75</v>
      </c>
      <c r="C232" s="19">
        <v>95.031999999999996</v>
      </c>
      <c r="D232" s="19">
        <v>95.046000000000006</v>
      </c>
      <c r="E232" s="20">
        <v>4.625</v>
      </c>
      <c r="F232" s="21">
        <f t="shared" si="30"/>
        <v>95.1015625</v>
      </c>
      <c r="G232" s="21">
        <f t="shared" si="31"/>
        <v>95.1484375</v>
      </c>
      <c r="H232" s="15">
        <f t="shared" si="32"/>
        <v>95.125</v>
      </c>
      <c r="I232" s="15">
        <f t="shared" si="33"/>
        <v>4.1436464088397788E-2</v>
      </c>
      <c r="J232" s="16">
        <f t="shared" si="34"/>
        <v>95.166436464088392</v>
      </c>
      <c r="K232" s="16">
        <f t="shared" si="35"/>
        <v>6.4904109589041097</v>
      </c>
      <c r="L232" s="16">
        <f>SUMIF('Cash Flows'!$A$2:$A$5628,ROW(),'Cash Flows'!$E$2:$E$5628)</f>
        <v>95.278096263307404</v>
      </c>
      <c r="M232" s="16">
        <f t="shared" si="36"/>
        <v>0.11165979921901226</v>
      </c>
      <c r="N232" s="16">
        <f t="shared" si="37"/>
        <v>0.11165979921901226</v>
      </c>
      <c r="O232" s="17">
        <f t="shared" si="38"/>
        <v>95.236659799219012</v>
      </c>
      <c r="P232" s="17" t="str">
        <f t="shared" si="39"/>
        <v>No</v>
      </c>
    </row>
    <row r="233" spans="1:16" ht="15" customHeight="1" x14ac:dyDescent="0.25">
      <c r="A233" s="18">
        <v>48669</v>
      </c>
      <c r="B233" s="19">
        <v>4.25</v>
      </c>
      <c r="C233" s="19">
        <v>97.262</v>
      </c>
      <c r="D233" s="19">
        <v>97.275999999999996</v>
      </c>
      <c r="E233" s="20">
        <v>4.63</v>
      </c>
      <c r="F233" s="21">
        <f t="shared" si="30"/>
        <v>97.8203125</v>
      </c>
      <c r="G233" s="21">
        <f t="shared" si="31"/>
        <v>97.8671875</v>
      </c>
      <c r="H233" s="15">
        <f t="shared" si="32"/>
        <v>97.84375</v>
      </c>
      <c r="I233" s="15">
        <f t="shared" si="33"/>
        <v>1.8230874316939891</v>
      </c>
      <c r="J233" s="16">
        <f t="shared" si="34"/>
        <v>99.666837431693992</v>
      </c>
      <c r="K233" s="16">
        <f t="shared" si="35"/>
        <v>6.5753424657534243</v>
      </c>
      <c r="L233" s="16">
        <f>SUMIF('Cash Flows'!$A$2:$A$5628,ROW(),'Cash Flows'!$E$2:$E$5628)</f>
        <v>99.792193151200422</v>
      </c>
      <c r="M233" s="16">
        <f t="shared" si="36"/>
        <v>0.12535571950643032</v>
      </c>
      <c r="N233" s="16">
        <f t="shared" si="37"/>
        <v>0.12535571950643032</v>
      </c>
      <c r="O233" s="17">
        <f t="shared" si="38"/>
        <v>97.96910571950643</v>
      </c>
      <c r="P233" s="17" t="str">
        <f t="shared" si="39"/>
        <v>No</v>
      </c>
    </row>
    <row r="234" spans="1:16" ht="15" customHeight="1" x14ac:dyDescent="0.25">
      <c r="A234" s="18">
        <v>48699</v>
      </c>
      <c r="B234" s="19">
        <v>4.125</v>
      </c>
      <c r="C234" s="19">
        <v>97.012</v>
      </c>
      <c r="D234" s="19">
        <v>97.025999999999996</v>
      </c>
      <c r="E234" s="20">
        <v>4.6390000000000002</v>
      </c>
      <c r="F234" s="21">
        <f t="shared" si="30"/>
        <v>97.0390625</v>
      </c>
      <c r="G234" s="21">
        <f t="shared" si="31"/>
        <v>97.0859375</v>
      </c>
      <c r="H234" s="15">
        <f t="shared" si="32"/>
        <v>97.0625</v>
      </c>
      <c r="I234" s="15">
        <f t="shared" si="33"/>
        <v>1.4313524590163935</v>
      </c>
      <c r="J234" s="16">
        <f t="shared" si="34"/>
        <v>98.493852459016395</v>
      </c>
      <c r="K234" s="16">
        <f t="shared" si="35"/>
        <v>6.6575342465753424</v>
      </c>
      <c r="L234" s="16">
        <f>SUMIF('Cash Flows'!$A$2:$A$5628,ROW(),'Cash Flows'!$E$2:$E$5628)</f>
        <v>98.645450455892174</v>
      </c>
      <c r="M234" s="16">
        <f t="shared" si="36"/>
        <v>0.15159799687577902</v>
      </c>
      <c r="N234" s="16">
        <f t="shared" si="37"/>
        <v>0.15159799687577902</v>
      </c>
      <c r="O234" s="17">
        <f t="shared" si="38"/>
        <v>97.214097996875779</v>
      </c>
      <c r="P234" s="17" t="str">
        <f t="shared" si="39"/>
        <v>No</v>
      </c>
    </row>
    <row r="235" spans="1:16" ht="15" customHeight="1" x14ac:dyDescent="0.25">
      <c r="A235" s="18">
        <v>48714</v>
      </c>
      <c r="B235" s="19">
        <v>3.375</v>
      </c>
      <c r="C235" s="19">
        <v>92.231999999999999</v>
      </c>
      <c r="D235" s="19">
        <v>92.245999999999995</v>
      </c>
      <c r="E235" s="20">
        <v>4.6440000000000001</v>
      </c>
      <c r="F235" s="21">
        <f t="shared" si="30"/>
        <v>92.7265625</v>
      </c>
      <c r="G235" s="21">
        <f t="shared" si="31"/>
        <v>92.7734375</v>
      </c>
      <c r="H235" s="15">
        <f t="shared" si="32"/>
        <v>92.75</v>
      </c>
      <c r="I235" s="15">
        <f t="shared" si="33"/>
        <v>1.0271739130434783</v>
      </c>
      <c r="J235" s="16">
        <f t="shared" si="34"/>
        <v>93.777173913043484</v>
      </c>
      <c r="K235" s="16">
        <f t="shared" si="35"/>
        <v>6.6986301369863011</v>
      </c>
      <c r="L235" s="16">
        <f>SUMIF('Cash Flows'!$A$2:$A$5628,ROW(),'Cash Flows'!$E$2:$E$5628)</f>
        <v>93.933473903025515</v>
      </c>
      <c r="M235" s="16">
        <f t="shared" si="36"/>
        <v>0.15629998998203121</v>
      </c>
      <c r="N235" s="16">
        <f t="shared" si="37"/>
        <v>0.15629998998203121</v>
      </c>
      <c r="O235" s="17">
        <f t="shared" si="38"/>
        <v>92.906299989982031</v>
      </c>
      <c r="P235" s="17" t="str">
        <f t="shared" si="39"/>
        <v>No</v>
      </c>
    </row>
    <row r="236" spans="1:16" ht="15" customHeight="1" x14ac:dyDescent="0.25">
      <c r="A236" s="18">
        <v>48730</v>
      </c>
      <c r="B236" s="19">
        <v>4.25</v>
      </c>
      <c r="C236" s="19">
        <v>97.224999999999994</v>
      </c>
      <c r="D236" s="19">
        <v>97.241</v>
      </c>
      <c r="E236" s="20">
        <v>4.6420000000000003</v>
      </c>
      <c r="F236" s="21">
        <f t="shared" si="30"/>
        <v>97.70703125</v>
      </c>
      <c r="G236" s="21">
        <f t="shared" si="31"/>
        <v>97.75390625</v>
      </c>
      <c r="H236" s="15">
        <f t="shared" si="32"/>
        <v>97.73046875</v>
      </c>
      <c r="I236" s="15">
        <f t="shared" si="33"/>
        <v>1.1147540983606556</v>
      </c>
      <c r="J236" s="16">
        <f t="shared" si="34"/>
        <v>98.845222848360649</v>
      </c>
      <c r="K236" s="16">
        <f t="shared" si="35"/>
        <v>6.7424657534246579</v>
      </c>
      <c r="L236" s="16">
        <f>SUMIF('Cash Flows'!$A$2:$A$5628,ROW(),'Cash Flows'!$E$2:$E$5628)</f>
        <v>98.998076354523249</v>
      </c>
      <c r="M236" s="16">
        <f t="shared" si="36"/>
        <v>0.15285350616260018</v>
      </c>
      <c r="N236" s="16">
        <f t="shared" si="37"/>
        <v>0.15285350616260018</v>
      </c>
      <c r="O236" s="17">
        <f t="shared" si="38"/>
        <v>97.8833222561626</v>
      </c>
      <c r="P236" s="17" t="str">
        <f t="shared" si="39"/>
        <v>No</v>
      </c>
    </row>
    <row r="237" spans="1:16" ht="15" customHeight="1" x14ac:dyDescent="0.25">
      <c r="A237" s="18">
        <v>48760</v>
      </c>
      <c r="B237" s="19">
        <v>4.25</v>
      </c>
      <c r="C237" s="19">
        <v>97.212999999999994</v>
      </c>
      <c r="D237" s="19">
        <v>97.227000000000004</v>
      </c>
      <c r="E237" s="20">
        <v>4.6440000000000001</v>
      </c>
      <c r="F237" s="21">
        <f t="shared" si="30"/>
        <v>97.66796875</v>
      </c>
      <c r="G237" s="21">
        <f t="shared" si="31"/>
        <v>97.71484375</v>
      </c>
      <c r="H237" s="15">
        <f t="shared" si="32"/>
        <v>97.69140625</v>
      </c>
      <c r="I237" s="15">
        <f t="shared" si="33"/>
        <v>0.76639344262295084</v>
      </c>
      <c r="J237" s="16">
        <f t="shared" si="34"/>
        <v>98.457799692622956</v>
      </c>
      <c r="K237" s="16">
        <f t="shared" si="35"/>
        <v>6.8246575342465752</v>
      </c>
      <c r="L237" s="16">
        <f>SUMIF('Cash Flows'!$A$2:$A$5628,ROW(),'Cash Flows'!$E$2:$E$5628)</f>
        <v>98.606774699551835</v>
      </c>
      <c r="M237" s="16">
        <f t="shared" si="36"/>
        <v>0.14897500692887888</v>
      </c>
      <c r="N237" s="16">
        <f t="shared" si="37"/>
        <v>0.14897500692887888</v>
      </c>
      <c r="O237" s="17">
        <f t="shared" si="38"/>
        <v>97.840381256928879</v>
      </c>
      <c r="P237" s="17" t="str">
        <f t="shared" si="39"/>
        <v>No</v>
      </c>
    </row>
    <row r="238" spans="1:16" ht="15" customHeight="1" x14ac:dyDescent="0.25">
      <c r="A238" s="18">
        <v>48791</v>
      </c>
      <c r="B238" s="19">
        <v>4.375</v>
      </c>
      <c r="C238" s="19">
        <v>98.11</v>
      </c>
      <c r="D238" s="19">
        <v>98.123999999999995</v>
      </c>
      <c r="E238" s="20">
        <v>4.6500000000000004</v>
      </c>
      <c r="F238" s="21">
        <f t="shared" si="30"/>
        <v>98.34375</v>
      </c>
      <c r="G238" s="21">
        <f t="shared" si="31"/>
        <v>98.390625</v>
      </c>
      <c r="H238" s="15">
        <f t="shared" si="32"/>
        <v>98.3671875</v>
      </c>
      <c r="I238" s="15">
        <f t="shared" si="33"/>
        <v>0.41610054347826086</v>
      </c>
      <c r="J238" s="16">
        <f t="shared" si="34"/>
        <v>98.783288043478265</v>
      </c>
      <c r="K238" s="16">
        <f t="shared" si="35"/>
        <v>6.9095890410958907</v>
      </c>
      <c r="L238" s="16">
        <f>SUMIF('Cash Flows'!$A$2:$A$5628,ROW(),'Cash Flows'!$E$2:$E$5628)</f>
        <v>98.950545286285859</v>
      </c>
      <c r="M238" s="16">
        <f t="shared" si="36"/>
        <v>0.1672572428075938</v>
      </c>
      <c r="N238" s="16">
        <f t="shared" si="37"/>
        <v>0.1672572428075938</v>
      </c>
      <c r="O238" s="17">
        <f t="shared" si="38"/>
        <v>98.534444742807594</v>
      </c>
      <c r="P238" s="17" t="str">
        <f t="shared" si="39"/>
        <v>No</v>
      </c>
    </row>
    <row r="239" spans="1:16" ht="15" customHeight="1" x14ac:dyDescent="0.25">
      <c r="A239" s="18">
        <v>48806</v>
      </c>
      <c r="B239" s="19">
        <v>3.875</v>
      </c>
      <c r="C239" s="19">
        <v>95.114000000000004</v>
      </c>
      <c r="D239" s="19">
        <v>95.13</v>
      </c>
      <c r="E239" s="20">
        <v>4.657</v>
      </c>
      <c r="F239" s="21">
        <f t="shared" si="30"/>
        <v>95.359375</v>
      </c>
      <c r="G239" s="21">
        <f t="shared" si="31"/>
        <v>95.40625</v>
      </c>
      <c r="H239" s="15">
        <f t="shared" si="32"/>
        <v>95.3828125</v>
      </c>
      <c r="I239" s="15">
        <f t="shared" si="33"/>
        <v>0.21059782608695651</v>
      </c>
      <c r="J239" s="16">
        <f t="shared" si="34"/>
        <v>95.593410326086953</v>
      </c>
      <c r="K239" s="16">
        <f t="shared" si="35"/>
        <v>6.9506849315068493</v>
      </c>
      <c r="L239" s="16">
        <f>SUMIF('Cash Flows'!$A$2:$A$5628,ROW(),'Cash Flows'!$E$2:$E$5628)</f>
        <v>95.777193978238572</v>
      </c>
      <c r="M239" s="16">
        <f t="shared" si="36"/>
        <v>0.18378365215161807</v>
      </c>
      <c r="N239" s="16">
        <f t="shared" si="37"/>
        <v>0.18378365215161807</v>
      </c>
      <c r="O239" s="17">
        <f t="shared" si="38"/>
        <v>95.566596152151618</v>
      </c>
      <c r="P239" s="17" t="str">
        <f t="shared" si="39"/>
        <v>No</v>
      </c>
    </row>
    <row r="240" spans="1:16" ht="15" customHeight="1" x14ac:dyDescent="0.25">
      <c r="A240" s="18">
        <v>48822</v>
      </c>
      <c r="B240" s="19">
        <v>4.5</v>
      </c>
      <c r="C240" s="19">
        <v>99.016000000000005</v>
      </c>
      <c r="D240" s="19">
        <v>99.031999999999996</v>
      </c>
      <c r="E240" s="20">
        <v>4.6520000000000001</v>
      </c>
      <c r="F240" s="21">
        <f t="shared" si="30"/>
        <v>99.0546875</v>
      </c>
      <c r="G240" s="21">
        <f t="shared" si="31"/>
        <v>99.1015625</v>
      </c>
      <c r="H240" s="15">
        <f t="shared" si="32"/>
        <v>99.078125</v>
      </c>
      <c r="I240" s="15">
        <f t="shared" si="33"/>
        <v>4.9723756906077346E-2</v>
      </c>
      <c r="J240" s="16">
        <f t="shared" si="34"/>
        <v>99.127848756906076</v>
      </c>
      <c r="K240" s="16">
        <f t="shared" si="35"/>
        <v>6.9945205479452053</v>
      </c>
      <c r="L240" s="16">
        <f>SUMIF('Cash Flows'!$A$2:$A$5628,ROW(),'Cash Flows'!$E$2:$E$5628)</f>
        <v>99.293621304091886</v>
      </c>
      <c r="M240" s="16">
        <f t="shared" si="36"/>
        <v>0.16577254718581003</v>
      </c>
      <c r="N240" s="16">
        <f t="shared" si="37"/>
        <v>0.16577254718581003</v>
      </c>
      <c r="O240" s="17">
        <f t="shared" si="38"/>
        <v>99.24389754718581</v>
      </c>
      <c r="P240" s="17" t="str">
        <f t="shared" si="39"/>
        <v>No</v>
      </c>
    </row>
    <row r="241" spans="1:16" ht="15" customHeight="1" x14ac:dyDescent="0.25">
      <c r="A241" s="18">
        <v>48898</v>
      </c>
      <c r="B241" s="19">
        <v>4.5</v>
      </c>
      <c r="C241" s="19">
        <v>98.293999999999997</v>
      </c>
      <c r="D241" s="19">
        <v>98.313999999999993</v>
      </c>
      <c r="E241" s="20">
        <v>4.6669999999999998</v>
      </c>
      <c r="F241" s="21">
        <f t="shared" si="30"/>
        <v>98.921875</v>
      </c>
      <c r="G241" s="21">
        <f t="shared" si="31"/>
        <v>98.984375</v>
      </c>
      <c r="H241" s="15">
        <f t="shared" si="32"/>
        <v>98.953125</v>
      </c>
      <c r="I241" s="15">
        <f t="shared" si="33"/>
        <v>1.3695652173913044</v>
      </c>
      <c r="J241" s="16">
        <f t="shared" si="34"/>
        <v>100.3226902173913</v>
      </c>
      <c r="K241" s="16">
        <f t="shared" si="35"/>
        <v>7.2027397260273975</v>
      </c>
      <c r="L241" s="16">
        <f>SUMIF('Cash Flows'!$A$2:$A$5628,ROW(),'Cash Flows'!$E$2:$E$5628)</f>
        <v>100.530267654217</v>
      </c>
      <c r="M241" s="16">
        <f t="shared" si="36"/>
        <v>0.20757743682570151</v>
      </c>
      <c r="N241" s="16">
        <f t="shared" si="37"/>
        <v>0.20757743682570151</v>
      </c>
      <c r="O241" s="17">
        <f t="shared" si="38"/>
        <v>99.160702436825702</v>
      </c>
      <c r="P241" s="17" t="str">
        <f t="shared" si="39"/>
        <v>No</v>
      </c>
    </row>
    <row r="242" spans="1:16" ht="15" customHeight="1" x14ac:dyDescent="0.25">
      <c r="A242" s="18">
        <v>48990</v>
      </c>
      <c r="B242" s="19">
        <v>4</v>
      </c>
      <c r="C242" s="19">
        <v>95.22</v>
      </c>
      <c r="D242" s="19">
        <v>95.24</v>
      </c>
      <c r="E242" s="20">
        <v>4.6829999999999998</v>
      </c>
      <c r="F242" s="21">
        <f t="shared" si="30"/>
        <v>95.6875</v>
      </c>
      <c r="G242" s="21">
        <f t="shared" si="31"/>
        <v>95.75</v>
      </c>
      <c r="H242" s="15">
        <f t="shared" si="32"/>
        <v>95.71875</v>
      </c>
      <c r="I242" s="15">
        <f t="shared" si="33"/>
        <v>0.21739130434782608</v>
      </c>
      <c r="J242" s="16">
        <f t="shared" si="34"/>
        <v>95.936141304347828</v>
      </c>
      <c r="K242" s="16">
        <f t="shared" si="35"/>
        <v>7.4547945205479449</v>
      </c>
      <c r="L242" s="16">
        <f>SUMIF('Cash Flows'!$A$2:$A$5628,ROW(),'Cash Flows'!$E$2:$E$5628)</f>
        <v>96.151175050329584</v>
      </c>
      <c r="M242" s="16">
        <f t="shared" si="36"/>
        <v>0.2150337459817564</v>
      </c>
      <c r="N242" s="16">
        <f t="shared" si="37"/>
        <v>0.2150337459817564</v>
      </c>
      <c r="O242" s="17">
        <f t="shared" si="38"/>
        <v>95.933783745981756</v>
      </c>
      <c r="P242" s="17" t="str">
        <f t="shared" si="39"/>
        <v>No</v>
      </c>
    </row>
    <row r="243" spans="1:16" ht="15" customHeight="1" x14ac:dyDescent="0.25">
      <c r="A243" s="18">
        <v>49079</v>
      </c>
      <c r="B243" s="19">
        <v>4.375</v>
      </c>
      <c r="C243" s="19">
        <v>97.302000000000007</v>
      </c>
      <c r="D243" s="19">
        <v>98.001999999999995</v>
      </c>
      <c r="E243" s="20">
        <v>4.6859999999999999</v>
      </c>
      <c r="F243" s="21">
        <f t="shared" si="30"/>
        <v>97.9453125</v>
      </c>
      <c r="G243" s="21">
        <f t="shared" si="31"/>
        <v>98.0078125</v>
      </c>
      <c r="H243" s="15">
        <f t="shared" si="32"/>
        <v>97.9765625</v>
      </c>
      <c r="I243" s="15">
        <f t="shared" si="33"/>
        <v>1.3315217391304348</v>
      </c>
      <c r="J243" s="16">
        <f t="shared" si="34"/>
        <v>99.308084239130437</v>
      </c>
      <c r="K243" s="16">
        <f t="shared" si="35"/>
        <v>7.6986301369863011</v>
      </c>
      <c r="L243" s="16">
        <f>SUMIF('Cash Flows'!$A$2:$A$5628,ROW(),'Cash Flows'!$E$2:$E$5628)</f>
        <v>99.512046589638857</v>
      </c>
      <c r="M243" s="16">
        <f t="shared" si="36"/>
        <v>0.20396235050841938</v>
      </c>
      <c r="N243" s="16">
        <f t="shared" si="37"/>
        <v>0.20396235050841938</v>
      </c>
      <c r="O243" s="17">
        <f t="shared" si="38"/>
        <v>98.180524850508419</v>
      </c>
      <c r="P243" s="17" t="str">
        <f t="shared" si="39"/>
        <v>No</v>
      </c>
    </row>
    <row r="244" spans="1:16" ht="15" customHeight="1" x14ac:dyDescent="0.25">
      <c r="A244" s="18">
        <v>49171</v>
      </c>
      <c r="B244" s="19">
        <v>3.875</v>
      </c>
      <c r="C244" s="19">
        <v>94.16</v>
      </c>
      <c r="D244" s="19">
        <v>94.18</v>
      </c>
      <c r="E244" s="20">
        <v>4.7039999999999997</v>
      </c>
      <c r="F244" s="21">
        <f t="shared" si="30"/>
        <v>94.5</v>
      </c>
      <c r="G244" s="21">
        <f t="shared" si="31"/>
        <v>94.5625</v>
      </c>
      <c r="H244" s="15">
        <f t="shared" si="32"/>
        <v>94.53125</v>
      </c>
      <c r="I244" s="15">
        <f t="shared" si="33"/>
        <v>0.21059782608695651</v>
      </c>
      <c r="J244" s="16">
        <f t="shared" si="34"/>
        <v>94.741847826086953</v>
      </c>
      <c r="K244" s="16">
        <f t="shared" si="35"/>
        <v>7.9506849315068493</v>
      </c>
      <c r="L244" s="16">
        <f>SUMIF('Cash Flows'!$A$2:$A$5628,ROW(),'Cash Flows'!$E$2:$E$5628)</f>
        <v>94.956542242322996</v>
      </c>
      <c r="M244" s="16">
        <f t="shared" si="36"/>
        <v>0.21469441623604268</v>
      </c>
      <c r="N244" s="16">
        <f t="shared" si="37"/>
        <v>0.21469441623604268</v>
      </c>
      <c r="O244" s="17">
        <f t="shared" si="38"/>
        <v>94.745944416236043</v>
      </c>
      <c r="P244" s="17" t="str">
        <f t="shared" si="39"/>
        <v>No</v>
      </c>
    </row>
    <row r="245" spans="1:16" ht="15" customHeight="1" x14ac:dyDescent="0.25">
      <c r="A245" s="18">
        <v>49263</v>
      </c>
      <c r="B245" s="19">
        <v>4.25</v>
      </c>
      <c r="C245" s="19">
        <v>96.256</v>
      </c>
      <c r="D245" s="19">
        <v>96.275999999999996</v>
      </c>
      <c r="E245" s="20">
        <v>4.7149999999999999</v>
      </c>
      <c r="F245" s="21">
        <f t="shared" si="30"/>
        <v>96.8046875</v>
      </c>
      <c r="G245" s="21">
        <f t="shared" si="31"/>
        <v>96.8671875</v>
      </c>
      <c r="H245" s="15">
        <f t="shared" si="32"/>
        <v>96.8359375</v>
      </c>
      <c r="I245" s="15">
        <f t="shared" si="33"/>
        <v>1.2934782608695652</v>
      </c>
      <c r="J245" s="16">
        <f t="shared" si="34"/>
        <v>98.129415760869563</v>
      </c>
      <c r="K245" s="16">
        <f t="shared" si="35"/>
        <v>8.2027397260273975</v>
      </c>
      <c r="L245" s="16">
        <f>SUMIF('Cash Flows'!$A$2:$A$5628,ROW(),'Cash Flows'!$E$2:$E$5628)</f>
        <v>98.352979397485015</v>
      </c>
      <c r="M245" s="16">
        <f t="shared" si="36"/>
        <v>0.22356363661545231</v>
      </c>
      <c r="N245" s="16">
        <f t="shared" si="37"/>
        <v>0.22356363661545231</v>
      </c>
      <c r="O245" s="17">
        <f t="shared" si="38"/>
        <v>97.059501136615452</v>
      </c>
      <c r="P245" s="17" t="str">
        <f t="shared" si="39"/>
        <v>No</v>
      </c>
    </row>
    <row r="246" spans="1:16" ht="15" customHeight="1" x14ac:dyDescent="0.25">
      <c r="A246" s="18">
        <v>49355</v>
      </c>
      <c r="B246" s="19">
        <v>4.625</v>
      </c>
      <c r="C246" s="19">
        <v>99.08</v>
      </c>
      <c r="D246" s="19">
        <v>99.1</v>
      </c>
      <c r="E246" s="20">
        <v>4.7240000000000002</v>
      </c>
      <c r="F246" s="21">
        <f t="shared" si="30"/>
        <v>99.25</v>
      </c>
      <c r="G246" s="21">
        <f t="shared" si="31"/>
        <v>99.3125</v>
      </c>
      <c r="H246" s="15">
        <f t="shared" si="32"/>
        <v>99.28125</v>
      </c>
      <c r="I246" s="15">
        <f t="shared" si="33"/>
        <v>0.25135869565217389</v>
      </c>
      <c r="J246" s="16">
        <f t="shared" si="34"/>
        <v>99.532608695652172</v>
      </c>
      <c r="K246" s="16">
        <f t="shared" si="35"/>
        <v>8.4547945205479458</v>
      </c>
      <c r="L246" s="16">
        <f>SUMIF('Cash Flows'!$A$2:$A$5628,ROW(),'Cash Flows'!$E$2:$E$5628)</f>
        <v>99.744998346377145</v>
      </c>
      <c r="M246" s="16">
        <f t="shared" si="36"/>
        <v>0.21238965072497251</v>
      </c>
      <c r="N246" s="16">
        <f t="shared" si="37"/>
        <v>0.21238965072497251</v>
      </c>
      <c r="O246" s="17">
        <f t="shared" si="38"/>
        <v>99.493639650724973</v>
      </c>
      <c r="P246" s="17" t="str">
        <f t="shared" si="39"/>
        <v>No</v>
      </c>
    </row>
    <row r="247" spans="1:16" ht="15" customHeight="1" x14ac:dyDescent="0.25">
      <c r="A247" s="18">
        <v>49444</v>
      </c>
      <c r="B247" s="19">
        <v>4.25</v>
      </c>
      <c r="C247" s="19">
        <v>96.164000000000001</v>
      </c>
      <c r="D247" s="19">
        <v>96.183999999999997</v>
      </c>
      <c r="E247" s="20">
        <v>4.734</v>
      </c>
      <c r="F247" s="21">
        <f t="shared" si="30"/>
        <v>96.515625</v>
      </c>
      <c r="G247" s="21">
        <f t="shared" si="31"/>
        <v>96.578125</v>
      </c>
      <c r="H247" s="15">
        <f t="shared" si="32"/>
        <v>96.546875</v>
      </c>
      <c r="I247" s="15">
        <f t="shared" si="33"/>
        <v>1.2934782608695652</v>
      </c>
      <c r="J247" s="16">
        <f t="shared" si="34"/>
        <v>97.840353260869563</v>
      </c>
      <c r="K247" s="16">
        <f t="shared" si="35"/>
        <v>8.6986301369863011</v>
      </c>
      <c r="L247" s="16">
        <f>SUMIF('Cash Flows'!$A$2:$A$5628,ROW(),'Cash Flows'!$E$2:$E$5628)</f>
        <v>98.040449242747258</v>
      </c>
      <c r="M247" s="16">
        <f t="shared" si="36"/>
        <v>0.20009598187769484</v>
      </c>
      <c r="N247" s="16">
        <f t="shared" si="37"/>
        <v>0.20009598187769484</v>
      </c>
      <c r="O247" s="17">
        <f t="shared" si="38"/>
        <v>96.746970981877695</v>
      </c>
      <c r="P247" s="17" t="str">
        <f t="shared" si="39"/>
        <v>No</v>
      </c>
    </row>
    <row r="248" spans="1:16" ht="15" customHeight="1" x14ac:dyDescent="0.25">
      <c r="A248" s="18">
        <v>49536</v>
      </c>
      <c r="B248" s="19">
        <v>4.25</v>
      </c>
      <c r="C248" s="19">
        <v>96.11</v>
      </c>
      <c r="D248" s="19">
        <v>96.13</v>
      </c>
      <c r="E248" s="20">
        <v>4.7480000000000002</v>
      </c>
      <c r="F248" s="21">
        <f t="shared" si="30"/>
        <v>96.34375</v>
      </c>
      <c r="G248" s="21">
        <f t="shared" si="31"/>
        <v>96.40625</v>
      </c>
      <c r="H248" s="15">
        <f t="shared" si="32"/>
        <v>96.375</v>
      </c>
      <c r="I248" s="15">
        <f t="shared" si="33"/>
        <v>0.23097826086956522</v>
      </c>
      <c r="J248" s="16">
        <f t="shared" si="34"/>
        <v>96.605978260869563</v>
      </c>
      <c r="K248" s="16">
        <f t="shared" si="35"/>
        <v>8.9506849315068493</v>
      </c>
      <c r="L248" s="16">
        <f>SUMIF('Cash Flows'!$A$2:$A$5628,ROW(),'Cash Flows'!$E$2:$E$5628)</f>
        <v>96.798303755161228</v>
      </c>
      <c r="M248" s="16">
        <f t="shared" si="36"/>
        <v>0.19232549429166568</v>
      </c>
      <c r="N248" s="16">
        <f t="shared" si="37"/>
        <v>0.19232549429166568</v>
      </c>
      <c r="O248" s="17">
        <f t="shared" si="38"/>
        <v>96.567325494291666</v>
      </c>
      <c r="P248" s="17" t="str">
        <f t="shared" si="39"/>
        <v>No</v>
      </c>
    </row>
    <row r="249" spans="1:16" ht="15" customHeight="1" x14ac:dyDescent="0.25">
      <c r="A249" s="18">
        <v>49628</v>
      </c>
      <c r="B249" s="19">
        <v>4</v>
      </c>
      <c r="C249" s="19">
        <v>94.116</v>
      </c>
      <c r="D249" s="19">
        <v>94.135999999999996</v>
      </c>
      <c r="E249" s="20">
        <v>4.7549999999999999</v>
      </c>
      <c r="F249" s="21">
        <f t="shared" si="30"/>
        <v>94.3671875</v>
      </c>
      <c r="G249" s="21">
        <f t="shared" si="31"/>
        <v>94.4296875</v>
      </c>
      <c r="H249" s="15">
        <f t="shared" si="32"/>
        <v>94.3984375</v>
      </c>
      <c r="I249" s="15">
        <f t="shared" si="33"/>
        <v>1.2173913043478262</v>
      </c>
      <c r="J249" s="16">
        <f t="shared" si="34"/>
        <v>95.615828804347828</v>
      </c>
      <c r="K249" s="16">
        <f t="shared" si="35"/>
        <v>9.2027397260273975</v>
      </c>
      <c r="L249" s="16">
        <f>SUMIF('Cash Flows'!$A$2:$A$5628,ROW(),'Cash Flows'!$E$2:$E$5628)</f>
        <v>95.742823817684496</v>
      </c>
      <c r="M249" s="16">
        <f t="shared" si="36"/>
        <v>0.12699501333666774</v>
      </c>
      <c r="N249" s="16">
        <f t="shared" si="37"/>
        <v>0.12699501333666774</v>
      </c>
      <c r="O249" s="17">
        <f t="shared" si="38"/>
        <v>94.525432513336668</v>
      </c>
      <c r="P249" s="17" t="str">
        <f t="shared" si="39"/>
        <v>No</v>
      </c>
    </row>
    <row r="250" spans="1:16" ht="15" customHeight="1" x14ac:dyDescent="0.25">
      <c r="A250" s="18">
        <v>49720</v>
      </c>
      <c r="B250" s="19">
        <v>4.125</v>
      </c>
      <c r="C250" s="19">
        <v>95.042000000000002</v>
      </c>
      <c r="D250" s="19">
        <v>95.061999999999998</v>
      </c>
      <c r="E250" s="20">
        <v>4.7629999999999999</v>
      </c>
      <c r="F250" s="21">
        <f t="shared" si="30"/>
        <v>95.1328125</v>
      </c>
      <c r="G250" s="21">
        <f t="shared" si="31"/>
        <v>95.1953125</v>
      </c>
      <c r="H250" s="15">
        <f t="shared" si="32"/>
        <v>95.1640625</v>
      </c>
      <c r="I250" s="15">
        <f t="shared" si="33"/>
        <v>0.22418478260869565</v>
      </c>
      <c r="J250" s="16">
        <f t="shared" si="34"/>
        <v>95.388247282608702</v>
      </c>
      <c r="K250" s="16">
        <f t="shared" si="35"/>
        <v>9.4547945205479458</v>
      </c>
      <c r="L250" s="16">
        <f>SUMIF('Cash Flows'!$A$2:$A$5628,ROW(),'Cash Flows'!$E$2:$E$5628)</f>
        <v>95.467322706535356</v>
      </c>
      <c r="M250" s="16">
        <f t="shared" si="36"/>
        <v>7.9075423926653343E-2</v>
      </c>
      <c r="N250" s="16">
        <f t="shared" si="37"/>
        <v>7.9075423926653343E-2</v>
      </c>
      <c r="O250" s="17">
        <f t="shared" si="38"/>
        <v>95.243137923926653</v>
      </c>
      <c r="P250" s="17" t="str">
        <f t="shared" si="39"/>
        <v>No</v>
      </c>
    </row>
    <row r="251" spans="1:16" ht="15" customHeight="1" x14ac:dyDescent="0.25">
      <c r="A251" s="18">
        <v>49720</v>
      </c>
      <c r="B251" s="19">
        <v>4.5</v>
      </c>
      <c r="C251" s="19">
        <v>98.22</v>
      </c>
      <c r="D251" s="19">
        <v>98.24</v>
      </c>
      <c r="E251" s="20">
        <v>4.665</v>
      </c>
      <c r="F251" s="21">
        <f t="shared" si="30"/>
        <v>98.6875</v>
      </c>
      <c r="G251" s="21">
        <f t="shared" si="31"/>
        <v>98.75</v>
      </c>
      <c r="H251" s="15">
        <f t="shared" si="32"/>
        <v>98.71875</v>
      </c>
      <c r="I251" s="15">
        <f t="shared" si="33"/>
        <v>0.24456521739130435</v>
      </c>
      <c r="J251" s="16">
        <f t="shared" si="34"/>
        <v>98.963315217391298</v>
      </c>
      <c r="K251" s="16">
        <f t="shared" si="35"/>
        <v>9.4547945205479458</v>
      </c>
      <c r="L251" s="16">
        <f>SUMIF('Cash Flows'!$A$2:$A$5628,ROW(),'Cash Flows'!$E$2:$E$5628)</f>
        <v>98.332569813948254</v>
      </c>
      <c r="M251" s="16">
        <f t="shared" si="36"/>
        <v>-0.63074540344304353</v>
      </c>
      <c r="N251" s="16">
        <f t="shared" si="37"/>
        <v>0.63074540344304353</v>
      </c>
      <c r="O251" s="17">
        <f t="shared" si="38"/>
        <v>98.088004596556956</v>
      </c>
      <c r="P251" s="17" t="str">
        <f t="shared" si="39"/>
        <v>No</v>
      </c>
    </row>
    <row r="252" spans="1:16" ht="15" customHeight="1" x14ac:dyDescent="0.25">
      <c r="A252" s="18">
        <v>49810</v>
      </c>
      <c r="B252" s="19">
        <v>4.375</v>
      </c>
      <c r="C252" s="19">
        <v>96.281000000000006</v>
      </c>
      <c r="D252" s="19">
        <v>96.301000000000002</v>
      </c>
      <c r="E252" s="20">
        <v>4.7720000000000002</v>
      </c>
      <c r="F252" s="21">
        <f t="shared" si="30"/>
        <v>96.87890625</v>
      </c>
      <c r="G252" s="21">
        <f t="shared" si="31"/>
        <v>96.94140625</v>
      </c>
      <c r="H252" s="15">
        <f t="shared" si="32"/>
        <v>96.91015625</v>
      </c>
      <c r="I252" s="15">
        <f t="shared" si="33"/>
        <v>1.3315217391304348</v>
      </c>
      <c r="J252" s="16">
        <f t="shared" si="34"/>
        <v>98.241677989130437</v>
      </c>
      <c r="K252" s="16">
        <f t="shared" si="35"/>
        <v>9.7013698630136993</v>
      </c>
      <c r="L252" s="16">
        <f>SUMIF('Cash Flows'!$A$2:$A$5628,ROW(),'Cash Flows'!$E$2:$E$5628)</f>
        <v>98.31382227981149</v>
      </c>
      <c r="M252" s="16">
        <f t="shared" si="36"/>
        <v>7.2144290681052325E-2</v>
      </c>
      <c r="N252" s="16">
        <f t="shared" si="37"/>
        <v>7.2144290681052325E-2</v>
      </c>
      <c r="O252" s="17">
        <f t="shared" si="38"/>
        <v>96.982300540681052</v>
      </c>
      <c r="P252" s="17" t="str">
        <f t="shared" si="39"/>
        <v>No</v>
      </c>
    </row>
    <row r="253" spans="1:16" ht="15" customHeight="1" x14ac:dyDescent="0.25">
      <c r="A253" s="18">
        <v>49902</v>
      </c>
      <c r="B253" s="19">
        <v>4.625</v>
      </c>
      <c r="C253" s="19">
        <v>98.236999999999995</v>
      </c>
      <c r="D253" s="19">
        <v>98.257000000000005</v>
      </c>
      <c r="E253" s="20">
        <v>4.7770000000000001</v>
      </c>
      <c r="F253" s="21">
        <f t="shared" si="30"/>
        <v>98.74609375</v>
      </c>
      <c r="G253" s="21">
        <f t="shared" si="31"/>
        <v>98.80859375</v>
      </c>
      <c r="H253" s="15">
        <f t="shared" si="32"/>
        <v>98.77734375</v>
      </c>
      <c r="I253" s="15">
        <f t="shared" si="33"/>
        <v>0.25135869565217389</v>
      </c>
      <c r="J253" s="16">
        <f t="shared" si="34"/>
        <v>99.028702445652172</v>
      </c>
      <c r="K253" s="16">
        <f t="shared" si="35"/>
        <v>9.9534246575342458</v>
      </c>
      <c r="L253" s="16">
        <f>SUMIF('Cash Flows'!$A$2:$A$5628,ROW(),'Cash Flows'!$E$2:$E$5628)</f>
        <v>99.026414977378835</v>
      </c>
      <c r="M253" s="16">
        <f t="shared" si="36"/>
        <v>-2.2874682733373675E-3</v>
      </c>
      <c r="N253" s="16">
        <f t="shared" si="37"/>
        <v>2.2874682733373675E-3</v>
      </c>
      <c r="O253" s="17">
        <f t="shared" si="38"/>
        <v>98.775056281726663</v>
      </c>
      <c r="P253" s="17" t="str">
        <f t="shared" si="39"/>
        <v>Yes</v>
      </c>
    </row>
    <row r="254" spans="1:16" ht="15" customHeight="1" x14ac:dyDescent="0.25">
      <c r="A254" s="18">
        <v>50086</v>
      </c>
      <c r="B254" s="19">
        <v>4.75</v>
      </c>
      <c r="C254" s="19">
        <v>100.01600000000001</v>
      </c>
      <c r="D254" s="19">
        <v>100.036</v>
      </c>
      <c r="E254" s="20">
        <v>4.7350000000000003</v>
      </c>
      <c r="F254" s="21">
        <f t="shared" si="30"/>
        <v>100.0546875</v>
      </c>
      <c r="G254" s="21">
        <f t="shared" si="31"/>
        <v>100.1171875</v>
      </c>
      <c r="H254" s="15">
        <f t="shared" si="32"/>
        <v>100.0859375</v>
      </c>
      <c r="I254" s="15">
        <f t="shared" si="33"/>
        <v>0.25815217391304346</v>
      </c>
      <c r="J254" s="16">
        <f t="shared" si="34"/>
        <v>100.34408967391305</v>
      </c>
      <c r="K254" s="16">
        <f t="shared" si="35"/>
        <v>10.457534246575342</v>
      </c>
      <c r="L254" s="16">
        <f>SUMIF('Cash Flows'!$A$2:$A$5628,ROW(),'Cash Flows'!$E$2:$E$5628)</f>
        <v>99.756010542999576</v>
      </c>
      <c r="M254" s="16">
        <f t="shared" si="36"/>
        <v>-0.58807913091347075</v>
      </c>
      <c r="N254" s="16">
        <f t="shared" si="37"/>
        <v>0.58807913091347075</v>
      </c>
      <c r="O254" s="17">
        <f t="shared" si="38"/>
        <v>99.497858369086529</v>
      </c>
      <c r="P254" s="17" t="str">
        <f t="shared" si="39"/>
        <v>No</v>
      </c>
    </row>
    <row r="255" spans="1:16" ht="15" customHeight="1" x14ac:dyDescent="0.25">
      <c r="A255" s="18">
        <v>50175</v>
      </c>
      <c r="B255" s="19">
        <v>5</v>
      </c>
      <c r="C255" s="19">
        <v>102.05</v>
      </c>
      <c r="D255" s="19">
        <v>102.07</v>
      </c>
      <c r="E255" s="20">
        <v>4.7320000000000002</v>
      </c>
      <c r="F255" s="21">
        <f t="shared" si="30"/>
        <v>102.15625</v>
      </c>
      <c r="G255" s="21">
        <f t="shared" si="31"/>
        <v>102.21875</v>
      </c>
      <c r="H255" s="15">
        <f t="shared" si="32"/>
        <v>102.1875</v>
      </c>
      <c r="I255" s="15">
        <f t="shared" si="33"/>
        <v>1.5217391304347827</v>
      </c>
      <c r="J255" s="16">
        <f t="shared" si="34"/>
        <v>103.70923913043478</v>
      </c>
      <c r="K255" s="16">
        <f t="shared" si="35"/>
        <v>10.701369863013699</v>
      </c>
      <c r="L255" s="16">
        <f>SUMIF('Cash Flows'!$A$2:$A$5628,ROW(),'Cash Flows'!$E$2:$E$5628)</f>
        <v>102.99474519321473</v>
      </c>
      <c r="M255" s="16">
        <f t="shared" si="36"/>
        <v>-0.71449393722005539</v>
      </c>
      <c r="N255" s="16">
        <f t="shared" si="37"/>
        <v>0.71449393722005539</v>
      </c>
      <c r="O255" s="17">
        <f t="shared" si="38"/>
        <v>101.47300606277994</v>
      </c>
      <c r="P255" s="17" t="str">
        <f t="shared" si="39"/>
        <v>No</v>
      </c>
    </row>
    <row r="256" spans="1:16" ht="15" customHeight="1" x14ac:dyDescent="0.25">
      <c r="A256" s="18">
        <v>50451</v>
      </c>
      <c r="B256" s="19">
        <v>4.375</v>
      </c>
      <c r="C256" s="19">
        <v>96.18</v>
      </c>
      <c r="D256" s="19">
        <v>96.2</v>
      </c>
      <c r="E256" s="20">
        <v>4.7610000000000001</v>
      </c>
      <c r="F256" s="21">
        <f t="shared" si="30"/>
        <v>96.5625</v>
      </c>
      <c r="G256" s="21">
        <f t="shared" si="31"/>
        <v>96.625</v>
      </c>
      <c r="H256" s="15">
        <f t="shared" si="32"/>
        <v>96.59375</v>
      </c>
      <c r="I256" s="15">
        <f t="shared" si="33"/>
        <v>0.23777173913043478</v>
      </c>
      <c r="J256" s="16">
        <f t="shared" si="34"/>
        <v>96.831521739130437</v>
      </c>
      <c r="K256" s="16">
        <f t="shared" si="35"/>
        <v>11.457534246575342</v>
      </c>
      <c r="L256" s="16">
        <f>SUMIF('Cash Flows'!$A$2:$A$5628,ROW(),'Cash Flows'!$E$2:$E$5628)</f>
        <v>95.883132694238753</v>
      </c>
      <c r="M256" s="16">
        <f t="shared" si="36"/>
        <v>-0.94838904489168385</v>
      </c>
      <c r="N256" s="16">
        <f t="shared" si="37"/>
        <v>0.94838904489168385</v>
      </c>
      <c r="O256" s="17">
        <f t="shared" si="38"/>
        <v>95.645360955108316</v>
      </c>
      <c r="P256" s="17" t="str">
        <f t="shared" si="39"/>
        <v>No</v>
      </c>
    </row>
    <row r="257" spans="1:16" ht="15" customHeight="1" x14ac:dyDescent="0.25">
      <c r="A257" s="18">
        <v>50540</v>
      </c>
      <c r="B257" s="19">
        <v>4.5</v>
      </c>
      <c r="C257" s="19">
        <v>97.091999999999999</v>
      </c>
      <c r="D257" s="19">
        <v>97.111999999999995</v>
      </c>
      <c r="E257" s="20">
        <v>4.798</v>
      </c>
      <c r="F257" s="21">
        <f t="shared" si="30"/>
        <v>97.2890625</v>
      </c>
      <c r="G257" s="21">
        <f t="shared" si="31"/>
        <v>97.3515625</v>
      </c>
      <c r="H257" s="15">
        <f t="shared" si="32"/>
        <v>97.3203125</v>
      </c>
      <c r="I257" s="15">
        <f t="shared" si="33"/>
        <v>1.3695652173913044</v>
      </c>
      <c r="J257" s="16">
        <f t="shared" si="34"/>
        <v>98.689877717391298</v>
      </c>
      <c r="K257" s="16">
        <f t="shared" si="35"/>
        <v>11.701369863013699</v>
      </c>
      <c r="L257" s="16">
        <f>SUMIF('Cash Flows'!$A$2:$A$5628,ROW(),'Cash Flows'!$E$2:$E$5628)</f>
        <v>97.948122473779335</v>
      </c>
      <c r="M257" s="16">
        <f t="shared" si="36"/>
        <v>-0.7417552436119621</v>
      </c>
      <c r="N257" s="16">
        <f t="shared" si="37"/>
        <v>0.7417552436119621</v>
      </c>
      <c r="O257" s="17">
        <f t="shared" si="38"/>
        <v>96.578557256388038</v>
      </c>
      <c r="P257" s="17" t="str">
        <f t="shared" si="39"/>
        <v>No</v>
      </c>
    </row>
    <row r="258" spans="1:16" ht="15" customHeight="1" x14ac:dyDescent="0.25">
      <c r="A258" s="18">
        <v>50816</v>
      </c>
      <c r="B258" s="19">
        <v>3.5</v>
      </c>
      <c r="C258" s="19">
        <v>87.12</v>
      </c>
      <c r="D258" s="19">
        <v>87.14</v>
      </c>
      <c r="E258" s="20">
        <v>4.8579999999999997</v>
      </c>
      <c r="F258" s="21">
        <f t="shared" ref="F258:F321" si="40">INT(C258)+INT(ROUND((C258-INT(C258))*1000,0)/10)/32+MOD(ROUND((C258-INT(C258))*1000,0),10)/256</f>
        <v>87.375</v>
      </c>
      <c r="G258" s="21">
        <f t="shared" ref="G258:G321" si="41">INT(D258)+INT(ROUND((D258-INT(D258))*1000,0)/10)/32+MOD(ROUND((D258-INT(D258))*1000,0),10)/256</f>
        <v>87.4375</v>
      </c>
      <c r="H258" s="15">
        <f t="shared" ref="H258:H321" si="42">(F258+G258)/2</f>
        <v>87.40625</v>
      </c>
      <c r="I258" s="15">
        <f t="shared" ref="I258:I321" si="43">(B258/2)*COUPDAYBS($R$2,A258,2,1)/COUPDAYS($R$2,A258,2,1)</f>
        <v>0.19021739130434784</v>
      </c>
      <c r="J258" s="16">
        <f t="shared" ref="J258:J321" si="44">H258+I258</f>
        <v>87.596467391304344</v>
      </c>
      <c r="K258" s="16">
        <f t="shared" ref="K258:K321" si="45">(A258-$R$2)/365</f>
        <v>12.457534246575342</v>
      </c>
      <c r="L258" s="16">
        <f>SUMIF('Cash Flows'!$A$2:$A$5628,ROW(),'Cash Flows'!$E$2:$E$5628)</f>
        <v>86.847980791601074</v>
      </c>
      <c r="M258" s="16">
        <f t="shared" ref="M258:M321" si="46">L258-J258</f>
        <v>-0.74848659970326992</v>
      </c>
      <c r="N258" s="16">
        <f t="shared" ref="N258:N321" si="47">ABS(M258)</f>
        <v>0.74848659970326992</v>
      </c>
      <c r="O258" s="17">
        <f t="shared" ref="O258:O321" si="48">L258-I258</f>
        <v>86.65776340029673</v>
      </c>
      <c r="P258" s="17" t="str">
        <f t="shared" ref="P258:P321" si="49">IF(AND(O258&gt;=F258,O258&lt;=G258),"Yes","No")</f>
        <v>No</v>
      </c>
    </row>
    <row r="259" spans="1:16" ht="15" customHeight="1" x14ac:dyDescent="0.25">
      <c r="A259" s="18">
        <v>50905</v>
      </c>
      <c r="B259" s="19">
        <v>4.25</v>
      </c>
      <c r="C259" s="19">
        <v>93.263999999999996</v>
      </c>
      <c r="D259" s="19">
        <v>93.284000000000006</v>
      </c>
      <c r="E259" s="20">
        <v>4.9020000000000001</v>
      </c>
      <c r="F259" s="21">
        <f t="shared" si="40"/>
        <v>93.828125</v>
      </c>
      <c r="G259" s="21">
        <f t="shared" si="41"/>
        <v>93.890625</v>
      </c>
      <c r="H259" s="15">
        <f t="shared" si="42"/>
        <v>93.859375</v>
      </c>
      <c r="I259" s="15">
        <f t="shared" si="43"/>
        <v>1.2934782608695652</v>
      </c>
      <c r="J259" s="16">
        <f t="shared" si="44"/>
        <v>95.152853260869563</v>
      </c>
      <c r="K259" s="16">
        <f t="shared" si="45"/>
        <v>12.701369863013699</v>
      </c>
      <c r="L259" s="16">
        <f>SUMIF('Cash Flows'!$A$2:$A$5628,ROW(),'Cash Flows'!$E$2:$E$5628)</f>
        <v>94.740954246232036</v>
      </c>
      <c r="M259" s="16">
        <f t="shared" si="46"/>
        <v>-0.41189901463752676</v>
      </c>
      <c r="N259" s="16">
        <f t="shared" si="47"/>
        <v>0.41189901463752676</v>
      </c>
      <c r="O259" s="17">
        <f t="shared" si="48"/>
        <v>93.447475985362473</v>
      </c>
      <c r="P259" s="17" t="str">
        <f t="shared" si="49"/>
        <v>No</v>
      </c>
    </row>
    <row r="260" spans="1:16" ht="15" customHeight="1" x14ac:dyDescent="0.25">
      <c r="A260" s="18">
        <v>50997</v>
      </c>
      <c r="B260" s="19">
        <v>4.5</v>
      </c>
      <c r="C260" s="19">
        <v>95.263999999999996</v>
      </c>
      <c r="D260" s="19">
        <v>95.284000000000006</v>
      </c>
      <c r="E260" s="20">
        <v>4.9329999999999998</v>
      </c>
      <c r="F260" s="21">
        <f t="shared" si="40"/>
        <v>95.828125</v>
      </c>
      <c r="G260" s="21">
        <f t="shared" si="41"/>
        <v>95.890625</v>
      </c>
      <c r="H260" s="15">
        <f t="shared" si="42"/>
        <v>95.859375</v>
      </c>
      <c r="I260" s="15">
        <f t="shared" si="43"/>
        <v>0.24456521739130435</v>
      </c>
      <c r="J260" s="16">
        <f t="shared" si="44"/>
        <v>96.103940217391298</v>
      </c>
      <c r="K260" s="16">
        <f t="shared" si="45"/>
        <v>12.953424657534246</v>
      </c>
      <c r="L260" s="16">
        <f>SUMIF('Cash Flows'!$A$2:$A$5628,ROW(),'Cash Flows'!$E$2:$E$5628)</f>
        <v>95.854237657592677</v>
      </c>
      <c r="M260" s="16">
        <f t="shared" si="46"/>
        <v>-0.24970255979862088</v>
      </c>
      <c r="N260" s="16">
        <f t="shared" si="47"/>
        <v>0.24970255979862088</v>
      </c>
      <c r="O260" s="17">
        <f t="shared" si="48"/>
        <v>95.609672440201379</v>
      </c>
      <c r="P260" s="17" t="str">
        <f t="shared" si="49"/>
        <v>No</v>
      </c>
    </row>
    <row r="261" spans="1:16" ht="15" customHeight="1" x14ac:dyDescent="0.25">
      <c r="A261" s="18">
        <v>51089</v>
      </c>
      <c r="B261" s="19">
        <v>4.375</v>
      </c>
      <c r="C261" s="19">
        <v>94.11</v>
      </c>
      <c r="D261" s="19">
        <v>94.13</v>
      </c>
      <c r="E261" s="20">
        <v>4.9569999999999999</v>
      </c>
      <c r="F261" s="21">
        <f t="shared" si="40"/>
        <v>94.34375</v>
      </c>
      <c r="G261" s="21">
        <f t="shared" si="41"/>
        <v>94.40625</v>
      </c>
      <c r="H261" s="15">
        <f t="shared" si="42"/>
        <v>94.375</v>
      </c>
      <c r="I261" s="15">
        <f t="shared" si="43"/>
        <v>1.3315217391304348</v>
      </c>
      <c r="J261" s="16">
        <f t="shared" si="44"/>
        <v>95.706521739130437</v>
      </c>
      <c r="K261" s="16">
        <f t="shared" si="45"/>
        <v>13.205479452054794</v>
      </c>
      <c r="L261" s="16">
        <f>SUMIF('Cash Flows'!$A$2:$A$5628,ROW(),'Cash Flows'!$E$2:$E$5628)</f>
        <v>95.523995762632453</v>
      </c>
      <c r="M261" s="16">
        <f t="shared" si="46"/>
        <v>-0.18252597649798474</v>
      </c>
      <c r="N261" s="16">
        <f t="shared" si="47"/>
        <v>0.18252597649798474</v>
      </c>
      <c r="O261" s="17">
        <f t="shared" si="48"/>
        <v>94.192474023502015</v>
      </c>
      <c r="P261" s="17" t="str">
        <f t="shared" si="49"/>
        <v>No</v>
      </c>
    </row>
    <row r="262" spans="1:16" ht="15" customHeight="1" x14ac:dyDescent="0.25">
      <c r="A262" s="18">
        <v>51181</v>
      </c>
      <c r="B262" s="19">
        <v>4.625</v>
      </c>
      <c r="C262" s="19">
        <v>96.201999999999998</v>
      </c>
      <c r="D262" s="19">
        <v>96.221999999999994</v>
      </c>
      <c r="E262" s="20">
        <v>4.9649999999999999</v>
      </c>
      <c r="F262" s="21">
        <f t="shared" si="40"/>
        <v>96.6328125</v>
      </c>
      <c r="G262" s="21">
        <f t="shared" si="41"/>
        <v>96.6953125</v>
      </c>
      <c r="H262" s="15">
        <f t="shared" si="42"/>
        <v>96.6640625</v>
      </c>
      <c r="I262" s="15">
        <f t="shared" si="43"/>
        <v>0.25135869565217389</v>
      </c>
      <c r="J262" s="16">
        <f t="shared" si="44"/>
        <v>96.915421195652172</v>
      </c>
      <c r="K262" s="16">
        <f t="shared" si="45"/>
        <v>13.457534246575342</v>
      </c>
      <c r="L262" s="16">
        <f>SUMIF('Cash Flows'!$A$2:$A$5628,ROW(),'Cash Flows'!$E$2:$E$5628)</f>
        <v>96.684805604474107</v>
      </c>
      <c r="M262" s="16">
        <f t="shared" si="46"/>
        <v>-0.23061559117806496</v>
      </c>
      <c r="N262" s="16">
        <f t="shared" si="47"/>
        <v>0.23061559117806496</v>
      </c>
      <c r="O262" s="17">
        <f t="shared" si="48"/>
        <v>96.433446908821935</v>
      </c>
      <c r="P262" s="17" t="str">
        <f t="shared" si="49"/>
        <v>No</v>
      </c>
    </row>
    <row r="263" spans="1:16" ht="15" customHeight="1" x14ac:dyDescent="0.25">
      <c r="A263" s="18">
        <v>51271</v>
      </c>
      <c r="B263" s="19">
        <v>1.125</v>
      </c>
      <c r="C263" s="19">
        <v>61.155999999999999</v>
      </c>
      <c r="D263" s="19">
        <v>61.176000000000002</v>
      </c>
      <c r="E263" s="20">
        <v>5.05</v>
      </c>
      <c r="F263" s="21">
        <f t="shared" si="40"/>
        <v>61.4921875</v>
      </c>
      <c r="G263" s="21">
        <f t="shared" si="41"/>
        <v>61.5546875</v>
      </c>
      <c r="H263" s="15">
        <f t="shared" si="42"/>
        <v>61.5234375</v>
      </c>
      <c r="I263" s="15">
        <f t="shared" si="43"/>
        <v>0.34239130434782611</v>
      </c>
      <c r="J263" s="16">
        <f t="shared" si="44"/>
        <v>61.865828804347828</v>
      </c>
      <c r="K263" s="16">
        <f t="shared" si="45"/>
        <v>13.704109589041096</v>
      </c>
      <c r="L263" s="16">
        <f>SUMIF('Cash Flows'!$A$2:$A$5628,ROW(),'Cash Flows'!$E$2:$E$5628)</f>
        <v>61.708730149533814</v>
      </c>
      <c r="M263" s="16">
        <f t="shared" si="46"/>
        <v>-0.15709865481401408</v>
      </c>
      <c r="N263" s="16">
        <f t="shared" si="47"/>
        <v>0.15709865481401408</v>
      </c>
      <c r="O263" s="17">
        <f t="shared" si="48"/>
        <v>61.366338845185986</v>
      </c>
      <c r="P263" s="17" t="str">
        <f t="shared" si="49"/>
        <v>No</v>
      </c>
    </row>
    <row r="264" spans="1:16" ht="15" customHeight="1" x14ac:dyDescent="0.25">
      <c r="A264" s="18">
        <v>51271</v>
      </c>
      <c r="B264" s="19">
        <v>4.375</v>
      </c>
      <c r="C264" s="19">
        <v>93.305999999999997</v>
      </c>
      <c r="D264" s="19">
        <v>94.006</v>
      </c>
      <c r="E264" s="20">
        <v>4.9820000000000002</v>
      </c>
      <c r="F264" s="21">
        <f t="shared" si="40"/>
        <v>93.9609375</v>
      </c>
      <c r="G264" s="21">
        <f t="shared" si="41"/>
        <v>94.0234375</v>
      </c>
      <c r="H264" s="15">
        <f t="shared" si="42"/>
        <v>93.9921875</v>
      </c>
      <c r="I264" s="15">
        <f t="shared" si="43"/>
        <v>1.3315217391304348</v>
      </c>
      <c r="J264" s="16">
        <f t="shared" si="44"/>
        <v>95.323709239130437</v>
      </c>
      <c r="K264" s="16">
        <f t="shared" si="45"/>
        <v>13.704109589041096</v>
      </c>
      <c r="L264" s="16">
        <f>SUMIF('Cash Flows'!$A$2:$A$5628,ROW(),'Cash Flows'!$E$2:$E$5628)</f>
        <v>95.101801633648222</v>
      </c>
      <c r="M264" s="16">
        <f t="shared" si="46"/>
        <v>-0.22190760548221533</v>
      </c>
      <c r="N264" s="16">
        <f t="shared" si="47"/>
        <v>0.22190760548221533</v>
      </c>
      <c r="O264" s="17">
        <f t="shared" si="48"/>
        <v>93.770279894517785</v>
      </c>
      <c r="P264" s="17" t="str">
        <f t="shared" si="49"/>
        <v>No</v>
      </c>
    </row>
    <row r="265" spans="1:16" ht="15" customHeight="1" x14ac:dyDescent="0.25">
      <c r="A265" s="18">
        <v>51363</v>
      </c>
      <c r="B265" s="19">
        <v>1.125</v>
      </c>
      <c r="C265" s="19">
        <v>60.274000000000001</v>
      </c>
      <c r="D265" s="19">
        <v>60.293999999999997</v>
      </c>
      <c r="E265" s="20">
        <v>5.069</v>
      </c>
      <c r="F265" s="21">
        <f t="shared" si="40"/>
        <v>60.859375</v>
      </c>
      <c r="G265" s="21">
        <f t="shared" si="41"/>
        <v>60.921875</v>
      </c>
      <c r="H265" s="15">
        <f t="shared" si="42"/>
        <v>60.890625</v>
      </c>
      <c r="I265" s="15">
        <f t="shared" si="43"/>
        <v>6.1141304347826088E-2</v>
      </c>
      <c r="J265" s="16">
        <f t="shared" si="44"/>
        <v>60.951766304347828</v>
      </c>
      <c r="K265" s="16">
        <f t="shared" si="45"/>
        <v>13.956164383561644</v>
      </c>
      <c r="L265" s="16">
        <f>SUMIF('Cash Flows'!$A$2:$A$5628,ROW(),'Cash Flows'!$E$2:$E$5628)</f>
        <v>60.809472004094786</v>
      </c>
      <c r="M265" s="16">
        <f t="shared" si="46"/>
        <v>-0.14229430025304168</v>
      </c>
      <c r="N265" s="16">
        <f t="shared" si="47"/>
        <v>0.14229430025304168</v>
      </c>
      <c r="O265" s="17">
        <f t="shared" si="48"/>
        <v>60.748330699746958</v>
      </c>
      <c r="P265" s="17" t="str">
        <f t="shared" si="49"/>
        <v>No</v>
      </c>
    </row>
    <row r="266" spans="1:16" ht="15" customHeight="1" x14ac:dyDescent="0.25">
      <c r="A266" s="18">
        <v>51363</v>
      </c>
      <c r="B266" s="19">
        <v>3.875</v>
      </c>
      <c r="C266" s="19">
        <v>88.221999999999994</v>
      </c>
      <c r="D266" s="19">
        <v>88.242000000000004</v>
      </c>
      <c r="E266" s="20">
        <v>5.0049999999999999</v>
      </c>
      <c r="F266" s="21">
        <f t="shared" si="40"/>
        <v>88.6953125</v>
      </c>
      <c r="G266" s="21">
        <f t="shared" si="41"/>
        <v>88.7578125</v>
      </c>
      <c r="H266" s="15">
        <f t="shared" si="42"/>
        <v>88.7265625</v>
      </c>
      <c r="I266" s="15">
        <f t="shared" si="43"/>
        <v>0.21059782608695651</v>
      </c>
      <c r="J266" s="16">
        <f t="shared" si="44"/>
        <v>88.937160326086953</v>
      </c>
      <c r="K266" s="16">
        <f t="shared" si="45"/>
        <v>13.956164383561644</v>
      </c>
      <c r="L266" s="16">
        <f>SUMIF('Cash Flows'!$A$2:$A$5628,ROW(),'Cash Flows'!$E$2:$E$5628)</f>
        <v>88.713871070628954</v>
      </c>
      <c r="M266" s="16">
        <f t="shared" si="46"/>
        <v>-0.22328925545799905</v>
      </c>
      <c r="N266" s="16">
        <f t="shared" si="47"/>
        <v>0.22328925545799905</v>
      </c>
      <c r="O266" s="17">
        <f t="shared" si="48"/>
        <v>88.503273244542001</v>
      </c>
      <c r="P266" s="17" t="str">
        <f t="shared" si="49"/>
        <v>No</v>
      </c>
    </row>
    <row r="267" spans="1:16" ht="15" customHeight="1" x14ac:dyDescent="0.25">
      <c r="A267" s="18">
        <v>51455</v>
      </c>
      <c r="B267" s="19">
        <v>1.375</v>
      </c>
      <c r="C267" s="19">
        <v>62.241999999999997</v>
      </c>
      <c r="D267" s="19">
        <v>62.262</v>
      </c>
      <c r="E267" s="20">
        <v>5.0860000000000003</v>
      </c>
      <c r="F267" s="21">
        <f t="shared" si="40"/>
        <v>62.7578125</v>
      </c>
      <c r="G267" s="21">
        <f t="shared" si="41"/>
        <v>62.8203125</v>
      </c>
      <c r="H267" s="15">
        <f t="shared" si="42"/>
        <v>62.7890625</v>
      </c>
      <c r="I267" s="15">
        <f t="shared" si="43"/>
        <v>0.41847826086956524</v>
      </c>
      <c r="J267" s="16">
        <f t="shared" si="44"/>
        <v>63.207540760869563</v>
      </c>
      <c r="K267" s="16">
        <f t="shared" si="45"/>
        <v>14.208219178082192</v>
      </c>
      <c r="L267" s="16">
        <f>SUMIF('Cash Flows'!$A$2:$A$5628,ROW(),'Cash Flows'!$E$2:$E$5628)</f>
        <v>63.109827834117567</v>
      </c>
      <c r="M267" s="16">
        <f t="shared" si="46"/>
        <v>-9.771292675199561E-2</v>
      </c>
      <c r="N267" s="16">
        <f t="shared" si="47"/>
        <v>9.771292675199561E-2</v>
      </c>
      <c r="O267" s="17">
        <f t="shared" si="48"/>
        <v>62.691349573248004</v>
      </c>
      <c r="P267" s="17" t="str">
        <f t="shared" si="49"/>
        <v>No</v>
      </c>
    </row>
    <row r="268" spans="1:16" ht="15" customHeight="1" x14ac:dyDescent="0.25">
      <c r="A268" s="18">
        <v>51455</v>
      </c>
      <c r="B268" s="19">
        <v>4.25</v>
      </c>
      <c r="C268" s="19">
        <v>92.061999999999998</v>
      </c>
      <c r="D268" s="19">
        <v>92.081999999999994</v>
      </c>
      <c r="E268" s="20">
        <v>5.0190000000000001</v>
      </c>
      <c r="F268" s="21">
        <f t="shared" si="40"/>
        <v>92.1953125</v>
      </c>
      <c r="G268" s="21">
        <f t="shared" si="41"/>
        <v>92.2578125</v>
      </c>
      <c r="H268" s="15">
        <f t="shared" si="42"/>
        <v>92.2265625</v>
      </c>
      <c r="I268" s="15">
        <f t="shared" si="43"/>
        <v>1.2934782608695652</v>
      </c>
      <c r="J268" s="16">
        <f t="shared" si="44"/>
        <v>93.520040760869563</v>
      </c>
      <c r="K268" s="16">
        <f t="shared" si="45"/>
        <v>14.208219178082192</v>
      </c>
      <c r="L268" s="16">
        <f>SUMIF('Cash Flows'!$A$2:$A$5628,ROW(),'Cash Flows'!$E$2:$E$5628)</f>
        <v>93.349160968344108</v>
      </c>
      <c r="M268" s="16">
        <f t="shared" si="46"/>
        <v>-0.17087979252545438</v>
      </c>
      <c r="N268" s="16">
        <f t="shared" si="47"/>
        <v>0.17087979252545438</v>
      </c>
      <c r="O268" s="17">
        <f t="shared" si="48"/>
        <v>92.055682707474546</v>
      </c>
      <c r="P268" s="17" t="str">
        <f t="shared" si="49"/>
        <v>No</v>
      </c>
    </row>
    <row r="269" spans="1:16" ht="15" customHeight="1" x14ac:dyDescent="0.25">
      <c r="A269" s="18">
        <v>51547</v>
      </c>
      <c r="B269" s="19">
        <v>1.875</v>
      </c>
      <c r="C269" s="19">
        <v>67.11</v>
      </c>
      <c r="D269" s="19">
        <v>67.13</v>
      </c>
      <c r="E269" s="20">
        <v>5.0910000000000002</v>
      </c>
      <c r="F269" s="21">
        <f t="shared" si="40"/>
        <v>67.34375</v>
      </c>
      <c r="G269" s="21">
        <f t="shared" si="41"/>
        <v>67.40625</v>
      </c>
      <c r="H269" s="15">
        <f t="shared" si="42"/>
        <v>67.375</v>
      </c>
      <c r="I269" s="15">
        <f t="shared" si="43"/>
        <v>0.10190217391304347</v>
      </c>
      <c r="J269" s="16">
        <f t="shared" si="44"/>
        <v>67.476902173913047</v>
      </c>
      <c r="K269" s="16">
        <f t="shared" si="45"/>
        <v>14.46027397260274</v>
      </c>
      <c r="L269" s="16">
        <f>SUMIF('Cash Flows'!$A$2:$A$5628,ROW(),'Cash Flows'!$E$2:$E$5628)</f>
        <v>67.384599209089686</v>
      </c>
      <c r="M269" s="16">
        <f t="shared" si="46"/>
        <v>-9.2302964823360867E-2</v>
      </c>
      <c r="N269" s="16">
        <f t="shared" si="47"/>
        <v>9.2302964823360867E-2</v>
      </c>
      <c r="O269" s="17">
        <f t="shared" si="48"/>
        <v>67.282697035176639</v>
      </c>
      <c r="P269" s="17" t="str">
        <f t="shared" si="49"/>
        <v>No</v>
      </c>
    </row>
    <row r="270" spans="1:16" ht="15" customHeight="1" x14ac:dyDescent="0.25">
      <c r="A270" s="18">
        <v>51547</v>
      </c>
      <c r="B270" s="19">
        <v>4.75</v>
      </c>
      <c r="C270" s="19">
        <v>97.004000000000005</v>
      </c>
      <c r="D270" s="19">
        <v>97.024000000000001</v>
      </c>
      <c r="E270" s="20">
        <v>5.0369999999999999</v>
      </c>
      <c r="F270" s="21">
        <f t="shared" si="40"/>
        <v>97.015625</v>
      </c>
      <c r="G270" s="21">
        <f t="shared" si="41"/>
        <v>97.078125</v>
      </c>
      <c r="H270" s="15">
        <f t="shared" si="42"/>
        <v>97.046875</v>
      </c>
      <c r="I270" s="15">
        <f t="shared" si="43"/>
        <v>0.25815217391304346</v>
      </c>
      <c r="J270" s="16">
        <f t="shared" si="44"/>
        <v>97.305027173913047</v>
      </c>
      <c r="K270" s="16">
        <f t="shared" si="45"/>
        <v>14.46027397260274</v>
      </c>
      <c r="L270" s="16">
        <f>SUMIF('Cash Flows'!$A$2:$A$5628,ROW(),'Cash Flows'!$E$2:$E$5628)</f>
        <v>97.246082261390754</v>
      </c>
      <c r="M270" s="16">
        <f t="shared" si="46"/>
        <v>-5.8944912522292725E-2</v>
      </c>
      <c r="N270" s="16">
        <f t="shared" si="47"/>
        <v>5.8944912522292725E-2</v>
      </c>
      <c r="O270" s="17">
        <f t="shared" si="48"/>
        <v>96.987930087477707</v>
      </c>
      <c r="P270" s="17" t="str">
        <f t="shared" si="49"/>
        <v>No</v>
      </c>
    </row>
    <row r="271" spans="1:16" ht="15" customHeight="1" x14ac:dyDescent="0.25">
      <c r="A271" s="18">
        <v>51636</v>
      </c>
      <c r="B271" s="19">
        <v>2.25</v>
      </c>
      <c r="C271" s="19">
        <v>70.22</v>
      </c>
      <c r="D271" s="19">
        <v>70.239999999999995</v>
      </c>
      <c r="E271" s="20">
        <v>5.1050000000000004</v>
      </c>
      <c r="F271" s="21">
        <f t="shared" si="40"/>
        <v>70.6875</v>
      </c>
      <c r="G271" s="21">
        <f t="shared" si="41"/>
        <v>70.75</v>
      </c>
      <c r="H271" s="15">
        <f t="shared" si="42"/>
        <v>70.71875</v>
      </c>
      <c r="I271" s="15">
        <f t="shared" si="43"/>
        <v>0.68478260869565222</v>
      </c>
      <c r="J271" s="16">
        <f t="shared" si="44"/>
        <v>71.403532608695656</v>
      </c>
      <c r="K271" s="16">
        <f t="shared" si="45"/>
        <v>14.704109589041096</v>
      </c>
      <c r="L271" s="16">
        <f>SUMIF('Cash Flows'!$A$2:$A$5628,ROW(),'Cash Flows'!$E$2:$E$5628)</f>
        <v>71.401539100704895</v>
      </c>
      <c r="M271" s="16">
        <f t="shared" si="46"/>
        <v>-1.9935079907611453E-3</v>
      </c>
      <c r="N271" s="16">
        <f t="shared" si="47"/>
        <v>1.9935079907611453E-3</v>
      </c>
      <c r="O271" s="17">
        <f t="shared" si="48"/>
        <v>70.716756492009239</v>
      </c>
      <c r="P271" s="17" t="str">
        <f t="shared" si="49"/>
        <v>Yes</v>
      </c>
    </row>
    <row r="272" spans="1:16" ht="15" customHeight="1" x14ac:dyDescent="0.25">
      <c r="A272" s="18">
        <v>51636</v>
      </c>
      <c r="B272" s="19">
        <v>4.375</v>
      </c>
      <c r="C272" s="19">
        <v>92.3</v>
      </c>
      <c r="D272" s="19">
        <v>93</v>
      </c>
      <c r="E272" s="20">
        <v>5.0549999999999997</v>
      </c>
      <c r="F272" s="21">
        <f t="shared" si="40"/>
        <v>92.9375</v>
      </c>
      <c r="G272" s="21">
        <f t="shared" si="41"/>
        <v>93</v>
      </c>
      <c r="H272" s="15">
        <f t="shared" si="42"/>
        <v>92.96875</v>
      </c>
      <c r="I272" s="15">
        <f t="shared" si="43"/>
        <v>1.3315217391304348</v>
      </c>
      <c r="J272" s="16">
        <f t="shared" si="44"/>
        <v>94.300271739130437</v>
      </c>
      <c r="K272" s="16">
        <f t="shared" si="45"/>
        <v>14.704109589041096</v>
      </c>
      <c r="L272" s="16">
        <f>SUMIF('Cash Flows'!$A$2:$A$5628,ROW(),'Cash Flows'!$E$2:$E$5628)</f>
        <v>94.253902808968917</v>
      </c>
      <c r="M272" s="16">
        <f t="shared" si="46"/>
        <v>-4.6368930161520439E-2</v>
      </c>
      <c r="N272" s="16">
        <f t="shared" si="47"/>
        <v>4.6368930161520439E-2</v>
      </c>
      <c r="O272" s="17">
        <f t="shared" si="48"/>
        <v>92.92238106983848</v>
      </c>
      <c r="P272" s="17" t="str">
        <f t="shared" si="49"/>
        <v>No</v>
      </c>
    </row>
    <row r="273" spans="1:16" ht="15" customHeight="1" x14ac:dyDescent="0.25">
      <c r="A273" s="18">
        <v>51728</v>
      </c>
      <c r="B273" s="19">
        <v>1.75</v>
      </c>
      <c r="C273" s="19">
        <v>64.304000000000002</v>
      </c>
      <c r="D273" s="19">
        <v>65.004000000000005</v>
      </c>
      <c r="E273" s="20">
        <v>5.1319999999999997</v>
      </c>
      <c r="F273" s="21">
        <f t="shared" si="40"/>
        <v>64.953125</v>
      </c>
      <c r="G273" s="21">
        <f t="shared" si="41"/>
        <v>65.015625</v>
      </c>
      <c r="H273" s="15">
        <f t="shared" si="42"/>
        <v>64.984375</v>
      </c>
      <c r="I273" s="15">
        <f t="shared" si="43"/>
        <v>9.5108695652173919E-2</v>
      </c>
      <c r="J273" s="16">
        <f t="shared" si="44"/>
        <v>65.079483695652172</v>
      </c>
      <c r="K273" s="16">
        <f t="shared" si="45"/>
        <v>14.956164383561644</v>
      </c>
      <c r="L273" s="16">
        <f>SUMIF('Cash Flows'!$A$2:$A$5628,ROW(),'Cash Flows'!$E$2:$E$5628)</f>
        <v>65.068630993788346</v>
      </c>
      <c r="M273" s="16">
        <f t="shared" si="46"/>
        <v>-1.0852701863825587E-2</v>
      </c>
      <c r="N273" s="16">
        <f t="shared" si="47"/>
        <v>1.0852701863825587E-2</v>
      </c>
      <c r="O273" s="17">
        <f t="shared" si="48"/>
        <v>64.973522298136174</v>
      </c>
      <c r="P273" s="17" t="str">
        <f t="shared" si="49"/>
        <v>Yes</v>
      </c>
    </row>
    <row r="274" spans="1:16" ht="15" customHeight="1" x14ac:dyDescent="0.25">
      <c r="A274" s="18">
        <v>51728</v>
      </c>
      <c r="B274" s="19">
        <v>3.75</v>
      </c>
      <c r="C274" s="19">
        <v>86.036000000000001</v>
      </c>
      <c r="D274" s="19">
        <v>86.055999999999997</v>
      </c>
      <c r="E274" s="20">
        <v>5.0810000000000004</v>
      </c>
      <c r="F274" s="21">
        <f t="shared" si="40"/>
        <v>86.1171875</v>
      </c>
      <c r="G274" s="21">
        <f t="shared" si="41"/>
        <v>86.1796875</v>
      </c>
      <c r="H274" s="15">
        <f t="shared" si="42"/>
        <v>86.1484375</v>
      </c>
      <c r="I274" s="15">
        <f t="shared" si="43"/>
        <v>0.20380434782608695</v>
      </c>
      <c r="J274" s="16">
        <f t="shared" si="44"/>
        <v>86.352241847826093</v>
      </c>
      <c r="K274" s="16">
        <f t="shared" si="45"/>
        <v>14.956164383561644</v>
      </c>
      <c r="L274" s="16">
        <f>SUMIF('Cash Flows'!$A$2:$A$5628,ROW(),'Cash Flows'!$E$2:$E$5628)</f>
        <v>86.306689889985222</v>
      </c>
      <c r="M274" s="16">
        <f t="shared" si="46"/>
        <v>-4.5551957840871182E-2</v>
      </c>
      <c r="N274" s="16">
        <f t="shared" si="47"/>
        <v>4.5551957840871182E-2</v>
      </c>
      <c r="O274" s="17">
        <f t="shared" si="48"/>
        <v>86.102885542159129</v>
      </c>
      <c r="P274" s="17" t="str">
        <f t="shared" si="49"/>
        <v>No</v>
      </c>
    </row>
    <row r="275" spans="1:16" ht="15" customHeight="1" x14ac:dyDescent="0.25">
      <c r="A275" s="18">
        <v>51820</v>
      </c>
      <c r="B275" s="19">
        <v>3.125</v>
      </c>
      <c r="C275" s="19">
        <v>79.043999999999997</v>
      </c>
      <c r="D275" s="19">
        <v>79.063999999999993</v>
      </c>
      <c r="E275" s="20">
        <v>5.1100000000000003</v>
      </c>
      <c r="F275" s="21">
        <f t="shared" si="40"/>
        <v>79.140625</v>
      </c>
      <c r="G275" s="21">
        <f t="shared" si="41"/>
        <v>79.203125</v>
      </c>
      <c r="H275" s="15">
        <f t="shared" si="42"/>
        <v>79.171875</v>
      </c>
      <c r="I275" s="15">
        <f t="shared" si="43"/>
        <v>0.95108695652173914</v>
      </c>
      <c r="J275" s="16">
        <f t="shared" si="44"/>
        <v>80.122961956521735</v>
      </c>
      <c r="K275" s="16">
        <f t="shared" si="45"/>
        <v>15.208219178082192</v>
      </c>
      <c r="L275" s="16">
        <f>SUMIF('Cash Flows'!$A$2:$A$5628,ROW(),'Cash Flows'!$E$2:$E$5628)</f>
        <v>80.097208835339103</v>
      </c>
      <c r="M275" s="16">
        <f t="shared" si="46"/>
        <v>-2.5753121182631844E-2</v>
      </c>
      <c r="N275" s="16">
        <f t="shared" si="47"/>
        <v>2.5753121182631844E-2</v>
      </c>
      <c r="O275" s="17">
        <f t="shared" si="48"/>
        <v>79.146121878817368</v>
      </c>
      <c r="P275" s="17" t="str">
        <f t="shared" si="49"/>
        <v>Yes</v>
      </c>
    </row>
    <row r="276" spans="1:16" ht="15" customHeight="1" x14ac:dyDescent="0.25">
      <c r="A276" s="18">
        <v>51835</v>
      </c>
      <c r="B276" s="19">
        <v>2</v>
      </c>
      <c r="C276" s="19">
        <v>67.016000000000005</v>
      </c>
      <c r="D276" s="19">
        <v>67.036000000000001</v>
      </c>
      <c r="E276" s="20">
        <v>5.1470000000000002</v>
      </c>
      <c r="F276" s="21">
        <f t="shared" si="40"/>
        <v>67.0546875</v>
      </c>
      <c r="G276" s="21">
        <f t="shared" si="41"/>
        <v>67.1171875</v>
      </c>
      <c r="H276" s="15">
        <f t="shared" si="42"/>
        <v>67.0859375</v>
      </c>
      <c r="I276" s="15">
        <f t="shared" si="43"/>
        <v>0.52459016393442626</v>
      </c>
      <c r="J276" s="16">
        <f t="shared" si="44"/>
        <v>67.61052766393442</v>
      </c>
      <c r="K276" s="16">
        <f t="shared" si="45"/>
        <v>15.24931506849315</v>
      </c>
      <c r="L276" s="16">
        <f>SUMIF('Cash Flows'!$A$2:$A$5628,ROW(),'Cash Flows'!$E$2:$E$5628)</f>
        <v>67.579839246199384</v>
      </c>
      <c r="M276" s="16">
        <f t="shared" si="46"/>
        <v>-3.06884177350355E-2</v>
      </c>
      <c r="N276" s="16">
        <f t="shared" si="47"/>
        <v>3.06884177350355E-2</v>
      </c>
      <c r="O276" s="17">
        <f t="shared" si="48"/>
        <v>67.055249082264964</v>
      </c>
      <c r="P276" s="17" t="str">
        <f t="shared" si="49"/>
        <v>Yes</v>
      </c>
    </row>
    <row r="277" spans="1:16" ht="15" customHeight="1" x14ac:dyDescent="0.25">
      <c r="A277" s="18">
        <v>51912</v>
      </c>
      <c r="B277" s="19">
        <v>2.375</v>
      </c>
      <c r="C277" s="19">
        <v>70.191999999999993</v>
      </c>
      <c r="D277" s="19">
        <v>70.212000000000003</v>
      </c>
      <c r="E277" s="20">
        <v>5.1539999999999999</v>
      </c>
      <c r="F277" s="21">
        <f t="shared" si="40"/>
        <v>70.6015625</v>
      </c>
      <c r="G277" s="21">
        <f t="shared" si="41"/>
        <v>70.6640625</v>
      </c>
      <c r="H277" s="15">
        <f t="shared" si="42"/>
        <v>70.6328125</v>
      </c>
      <c r="I277" s="15">
        <f t="shared" si="43"/>
        <v>0.12907608695652173</v>
      </c>
      <c r="J277" s="16">
        <f t="shared" si="44"/>
        <v>70.761888586956516</v>
      </c>
      <c r="K277" s="16">
        <f t="shared" si="45"/>
        <v>15.46027397260274</v>
      </c>
      <c r="L277" s="16">
        <f>SUMIF('Cash Flows'!$A$2:$A$5628,ROW(),'Cash Flows'!$E$2:$E$5628)</f>
        <v>70.830631485314782</v>
      </c>
      <c r="M277" s="16">
        <f t="shared" si="46"/>
        <v>6.8742898358266302E-2</v>
      </c>
      <c r="N277" s="16">
        <f t="shared" si="47"/>
        <v>6.8742898358266302E-2</v>
      </c>
      <c r="O277" s="17">
        <f t="shared" si="48"/>
        <v>70.701555398358266</v>
      </c>
      <c r="P277" s="17" t="str">
        <f t="shared" si="49"/>
        <v>No</v>
      </c>
    </row>
    <row r="278" spans="1:16" ht="15" customHeight="1" x14ac:dyDescent="0.25">
      <c r="A278" s="18">
        <v>51912</v>
      </c>
      <c r="B278" s="19">
        <v>3.125</v>
      </c>
      <c r="C278" s="19">
        <v>78.225999999999999</v>
      </c>
      <c r="D278" s="19">
        <v>78.245999999999995</v>
      </c>
      <c r="E278" s="20">
        <v>5.133</v>
      </c>
      <c r="F278" s="21">
        <f t="shared" si="40"/>
        <v>78.7109375</v>
      </c>
      <c r="G278" s="21">
        <f t="shared" si="41"/>
        <v>78.7734375</v>
      </c>
      <c r="H278" s="15">
        <f t="shared" si="42"/>
        <v>78.7421875</v>
      </c>
      <c r="I278" s="15">
        <f t="shared" si="43"/>
        <v>0.16983695652173914</v>
      </c>
      <c r="J278" s="16">
        <f t="shared" si="44"/>
        <v>78.912024456521735</v>
      </c>
      <c r="K278" s="16">
        <f t="shared" si="45"/>
        <v>15.46027397260274</v>
      </c>
      <c r="L278" s="16">
        <f>SUMIF('Cash Flows'!$A$2:$A$5628,ROW(),'Cash Flows'!$E$2:$E$5628)</f>
        <v>78.963935454820657</v>
      </c>
      <c r="M278" s="16">
        <f t="shared" si="46"/>
        <v>5.1910998298922095E-2</v>
      </c>
      <c r="N278" s="16">
        <f t="shared" si="47"/>
        <v>5.1910998298922095E-2</v>
      </c>
      <c r="O278" s="17">
        <f t="shared" si="48"/>
        <v>78.794098498298922</v>
      </c>
      <c r="P278" s="17" t="str">
        <f t="shared" si="49"/>
        <v>No</v>
      </c>
    </row>
    <row r="279" spans="1:16" ht="15" customHeight="1" x14ac:dyDescent="0.25">
      <c r="A279" s="18">
        <v>52001</v>
      </c>
      <c r="B279" s="19">
        <v>3</v>
      </c>
      <c r="C279" s="19">
        <v>76.311999999999998</v>
      </c>
      <c r="D279" s="19">
        <v>77.012</v>
      </c>
      <c r="E279" s="20">
        <v>5.1509999999999998</v>
      </c>
      <c r="F279" s="21">
        <f t="shared" si="40"/>
        <v>76.9765625</v>
      </c>
      <c r="G279" s="21">
        <f t="shared" si="41"/>
        <v>77.0390625</v>
      </c>
      <c r="H279" s="15">
        <f t="shared" si="42"/>
        <v>77.0078125</v>
      </c>
      <c r="I279" s="15">
        <f t="shared" si="43"/>
        <v>0.91304347826086951</v>
      </c>
      <c r="J279" s="16">
        <f t="shared" si="44"/>
        <v>77.920855978260875</v>
      </c>
      <c r="K279" s="16">
        <f t="shared" si="45"/>
        <v>15.704109589041096</v>
      </c>
      <c r="L279" s="16">
        <f>SUMIF('Cash Flows'!$A$2:$A$5628,ROW(),'Cash Flows'!$E$2:$E$5628)</f>
        <v>78.022093759615672</v>
      </c>
      <c r="M279" s="16">
        <f t="shared" si="46"/>
        <v>0.10123778135479711</v>
      </c>
      <c r="N279" s="16">
        <f t="shared" si="47"/>
        <v>0.10123778135479711</v>
      </c>
      <c r="O279" s="17">
        <f t="shared" si="48"/>
        <v>77.109050281354797</v>
      </c>
      <c r="P279" s="17" t="str">
        <f t="shared" si="49"/>
        <v>No</v>
      </c>
    </row>
    <row r="280" spans="1:16" ht="15" customHeight="1" x14ac:dyDescent="0.25">
      <c r="A280" s="18">
        <v>52001</v>
      </c>
      <c r="B280" s="19">
        <v>3.25</v>
      </c>
      <c r="C280" s="19">
        <v>79.209999999999994</v>
      </c>
      <c r="D280" s="19">
        <v>79.23</v>
      </c>
      <c r="E280" s="20">
        <v>5.15</v>
      </c>
      <c r="F280" s="21">
        <f t="shared" si="40"/>
        <v>79.65625</v>
      </c>
      <c r="G280" s="21">
        <f t="shared" si="41"/>
        <v>79.71875</v>
      </c>
      <c r="H280" s="15">
        <f t="shared" si="42"/>
        <v>79.6875</v>
      </c>
      <c r="I280" s="15">
        <f t="shared" si="43"/>
        <v>0.98913043478260865</v>
      </c>
      <c r="J280" s="16">
        <f t="shared" si="44"/>
        <v>80.676630434782609</v>
      </c>
      <c r="K280" s="16">
        <f t="shared" si="45"/>
        <v>15.704109589041096</v>
      </c>
      <c r="L280" s="16">
        <f>SUMIF('Cash Flows'!$A$2:$A$5628,ROW(),'Cash Flows'!$E$2:$E$5628)</f>
        <v>80.823335563043287</v>
      </c>
      <c r="M280" s="16">
        <f t="shared" si="46"/>
        <v>0.1467051282606775</v>
      </c>
      <c r="N280" s="16">
        <f t="shared" si="47"/>
        <v>0.1467051282606775</v>
      </c>
      <c r="O280" s="17">
        <f t="shared" si="48"/>
        <v>79.834205128260677</v>
      </c>
      <c r="P280" s="17" t="str">
        <f t="shared" si="49"/>
        <v>No</v>
      </c>
    </row>
    <row r="281" spans="1:16" ht="15" customHeight="1" x14ac:dyDescent="0.25">
      <c r="A281" s="18">
        <v>52093</v>
      </c>
      <c r="B281" s="19">
        <v>2.75</v>
      </c>
      <c r="C281" s="19">
        <v>73.272000000000006</v>
      </c>
      <c r="D281" s="19">
        <v>73.292000000000002</v>
      </c>
      <c r="E281" s="20">
        <v>5.173</v>
      </c>
      <c r="F281" s="21">
        <f t="shared" si="40"/>
        <v>73.8515625</v>
      </c>
      <c r="G281" s="21">
        <f t="shared" si="41"/>
        <v>73.9140625</v>
      </c>
      <c r="H281" s="15">
        <f t="shared" si="42"/>
        <v>73.8828125</v>
      </c>
      <c r="I281" s="15">
        <f t="shared" si="43"/>
        <v>0.14945652173913043</v>
      </c>
      <c r="J281" s="16">
        <f t="shared" si="44"/>
        <v>74.032269021739125</v>
      </c>
      <c r="K281" s="16">
        <f t="shared" si="45"/>
        <v>15.956164383561644</v>
      </c>
      <c r="L281" s="16">
        <f>SUMIF('Cash Flows'!$A$2:$A$5628,ROW(),'Cash Flows'!$E$2:$E$5628)</f>
        <v>74.149609634447927</v>
      </c>
      <c r="M281" s="16">
        <f t="shared" si="46"/>
        <v>0.11734061270880147</v>
      </c>
      <c r="N281" s="16">
        <f t="shared" si="47"/>
        <v>0.11734061270880147</v>
      </c>
      <c r="O281" s="17">
        <f t="shared" si="48"/>
        <v>74.000153112708801</v>
      </c>
      <c r="P281" s="17" t="str">
        <f t="shared" si="49"/>
        <v>No</v>
      </c>
    </row>
    <row r="282" spans="1:16" ht="15" customHeight="1" x14ac:dyDescent="0.25">
      <c r="A282" s="18">
        <v>52093</v>
      </c>
      <c r="B282" s="19">
        <v>3.375</v>
      </c>
      <c r="C282" s="19">
        <v>80.224000000000004</v>
      </c>
      <c r="D282" s="19">
        <v>80.244</v>
      </c>
      <c r="E282" s="20">
        <v>5.16</v>
      </c>
      <c r="F282" s="21">
        <f t="shared" si="40"/>
        <v>80.703125</v>
      </c>
      <c r="G282" s="21">
        <f t="shared" si="41"/>
        <v>80.765625</v>
      </c>
      <c r="H282" s="15">
        <f t="shared" si="42"/>
        <v>80.734375</v>
      </c>
      <c r="I282" s="15">
        <f t="shared" si="43"/>
        <v>0.18342391304347827</v>
      </c>
      <c r="J282" s="16">
        <f t="shared" si="44"/>
        <v>80.917798913043484</v>
      </c>
      <c r="K282" s="16">
        <f t="shared" si="45"/>
        <v>15.956164383561644</v>
      </c>
      <c r="L282" s="16">
        <f>SUMIF('Cash Flows'!$A$2:$A$5628,ROW(),'Cash Flows'!$E$2:$E$5628)</f>
        <v>81.064007501801058</v>
      </c>
      <c r="M282" s="16">
        <f t="shared" si="46"/>
        <v>0.14620858875757392</v>
      </c>
      <c r="N282" s="16">
        <f t="shared" si="47"/>
        <v>0.14620858875757392</v>
      </c>
      <c r="O282" s="17">
        <f t="shared" si="48"/>
        <v>80.880583588757574</v>
      </c>
      <c r="P282" s="17" t="str">
        <f t="shared" si="49"/>
        <v>No</v>
      </c>
    </row>
    <row r="283" spans="1:16" ht="15" customHeight="1" x14ac:dyDescent="0.25">
      <c r="A283" s="18">
        <v>52185</v>
      </c>
      <c r="B283" s="19">
        <v>2.75</v>
      </c>
      <c r="C283" s="19">
        <v>73.144000000000005</v>
      </c>
      <c r="D283" s="19">
        <v>73.164000000000001</v>
      </c>
      <c r="E283" s="20">
        <v>5.1879999999999997</v>
      </c>
      <c r="F283" s="21">
        <f t="shared" si="40"/>
        <v>73.453125</v>
      </c>
      <c r="G283" s="21">
        <f t="shared" si="41"/>
        <v>73.515625</v>
      </c>
      <c r="H283" s="15">
        <f t="shared" si="42"/>
        <v>73.484375</v>
      </c>
      <c r="I283" s="15">
        <f t="shared" si="43"/>
        <v>0.83695652173913049</v>
      </c>
      <c r="J283" s="16">
        <f t="shared" si="44"/>
        <v>74.321331521739125</v>
      </c>
      <c r="K283" s="16">
        <f t="shared" si="45"/>
        <v>16.208219178082192</v>
      </c>
      <c r="L283" s="16">
        <f>SUMIF('Cash Flows'!$A$2:$A$5628,ROW(),'Cash Flows'!$E$2:$E$5628)</f>
        <v>74.461322943642884</v>
      </c>
      <c r="M283" s="16">
        <f t="shared" si="46"/>
        <v>0.13999142190375835</v>
      </c>
      <c r="N283" s="16">
        <f t="shared" si="47"/>
        <v>0.13999142190375835</v>
      </c>
      <c r="O283" s="17">
        <f t="shared" si="48"/>
        <v>73.624366421903758</v>
      </c>
      <c r="P283" s="17" t="str">
        <f t="shared" si="49"/>
        <v>No</v>
      </c>
    </row>
    <row r="284" spans="1:16" ht="15" customHeight="1" x14ac:dyDescent="0.25">
      <c r="A284" s="18">
        <v>52185</v>
      </c>
      <c r="B284" s="19">
        <v>4</v>
      </c>
      <c r="C284" s="19">
        <v>87.072000000000003</v>
      </c>
      <c r="D284" s="19">
        <v>87.091999999999999</v>
      </c>
      <c r="E284" s="20">
        <v>5.1680000000000001</v>
      </c>
      <c r="F284" s="21">
        <f t="shared" si="40"/>
        <v>87.2265625</v>
      </c>
      <c r="G284" s="21">
        <f t="shared" si="41"/>
        <v>87.2890625</v>
      </c>
      <c r="H284" s="15">
        <f t="shared" si="42"/>
        <v>87.2578125</v>
      </c>
      <c r="I284" s="15">
        <f t="shared" si="43"/>
        <v>1.2173913043478262</v>
      </c>
      <c r="J284" s="16">
        <f t="shared" si="44"/>
        <v>88.475203804347828</v>
      </c>
      <c r="K284" s="16">
        <f t="shared" si="45"/>
        <v>16.208219178082192</v>
      </c>
      <c r="L284" s="16">
        <f>SUMIF('Cash Flows'!$A$2:$A$5628,ROW(),'Cash Flows'!$E$2:$E$5628)</f>
        <v>88.736629760447656</v>
      </c>
      <c r="M284" s="16">
        <f t="shared" si="46"/>
        <v>0.26142595609982777</v>
      </c>
      <c r="N284" s="16">
        <f t="shared" si="47"/>
        <v>0.26142595609982777</v>
      </c>
      <c r="O284" s="17">
        <f t="shared" si="48"/>
        <v>87.519238456099828</v>
      </c>
      <c r="P284" s="17" t="str">
        <f t="shared" si="49"/>
        <v>No</v>
      </c>
    </row>
    <row r="285" spans="1:16" ht="15" customHeight="1" x14ac:dyDescent="0.25">
      <c r="A285" s="18">
        <v>52277</v>
      </c>
      <c r="B285" s="19">
        <v>3.125</v>
      </c>
      <c r="C285" s="19">
        <v>77.075999999999993</v>
      </c>
      <c r="D285" s="19">
        <v>77.096000000000004</v>
      </c>
      <c r="E285" s="20">
        <v>5.1950000000000003</v>
      </c>
      <c r="F285" s="21">
        <f t="shared" si="40"/>
        <v>77.2421875</v>
      </c>
      <c r="G285" s="21">
        <f t="shared" si="41"/>
        <v>77.3046875</v>
      </c>
      <c r="H285" s="15">
        <f t="shared" si="42"/>
        <v>77.2734375</v>
      </c>
      <c r="I285" s="15">
        <f t="shared" si="43"/>
        <v>0.16983695652173914</v>
      </c>
      <c r="J285" s="16">
        <f t="shared" si="44"/>
        <v>77.443274456521735</v>
      </c>
      <c r="K285" s="16">
        <f t="shared" si="45"/>
        <v>16.460273972602739</v>
      </c>
      <c r="L285" s="16">
        <f>SUMIF('Cash Flows'!$A$2:$A$5628,ROW(),'Cash Flows'!$E$2:$E$5628)</f>
        <v>77.629332859863737</v>
      </c>
      <c r="M285" s="16">
        <f t="shared" si="46"/>
        <v>0.18605840334200252</v>
      </c>
      <c r="N285" s="16">
        <f t="shared" si="47"/>
        <v>0.18605840334200252</v>
      </c>
      <c r="O285" s="17">
        <f t="shared" si="48"/>
        <v>77.459495903342003</v>
      </c>
      <c r="P285" s="17" t="str">
        <f t="shared" si="49"/>
        <v>No</v>
      </c>
    </row>
    <row r="286" spans="1:16" ht="15" customHeight="1" x14ac:dyDescent="0.25">
      <c r="A286" s="18">
        <v>52277</v>
      </c>
      <c r="B286" s="19">
        <v>3.875</v>
      </c>
      <c r="C286" s="19">
        <v>85.194000000000003</v>
      </c>
      <c r="D286" s="19">
        <v>85.213999999999999</v>
      </c>
      <c r="E286" s="20">
        <v>5.18</v>
      </c>
      <c r="F286" s="21">
        <f t="shared" si="40"/>
        <v>85.609375</v>
      </c>
      <c r="G286" s="21">
        <f t="shared" si="41"/>
        <v>85.671875</v>
      </c>
      <c r="H286" s="15">
        <f t="shared" si="42"/>
        <v>85.640625</v>
      </c>
      <c r="I286" s="15">
        <f t="shared" si="43"/>
        <v>0.21059782608695651</v>
      </c>
      <c r="J286" s="16">
        <f t="shared" si="44"/>
        <v>85.851222826086953</v>
      </c>
      <c r="K286" s="16">
        <f t="shared" si="45"/>
        <v>16.460273972602739</v>
      </c>
      <c r="L286" s="16">
        <f>SUMIF('Cash Flows'!$A$2:$A$5628,ROW(),'Cash Flows'!$E$2:$E$5628)</f>
        <v>86.085591261388146</v>
      </c>
      <c r="M286" s="16">
        <f t="shared" si="46"/>
        <v>0.23436843530119233</v>
      </c>
      <c r="N286" s="16">
        <f t="shared" si="47"/>
        <v>0.23436843530119233</v>
      </c>
      <c r="O286" s="17">
        <f t="shared" si="48"/>
        <v>85.874993435301192</v>
      </c>
      <c r="P286" s="17" t="str">
        <f t="shared" si="49"/>
        <v>No</v>
      </c>
    </row>
    <row r="287" spans="1:16" ht="15" customHeight="1" x14ac:dyDescent="0.25">
      <c r="A287" s="18">
        <v>52366</v>
      </c>
      <c r="B287" s="19">
        <v>2.875</v>
      </c>
      <c r="C287" s="19">
        <v>74.042000000000002</v>
      </c>
      <c r="D287" s="19">
        <v>74.061999999999998</v>
      </c>
      <c r="E287" s="20">
        <v>5.2080000000000002</v>
      </c>
      <c r="F287" s="21">
        <f t="shared" si="40"/>
        <v>74.1328125</v>
      </c>
      <c r="G287" s="21">
        <f t="shared" si="41"/>
        <v>74.1953125</v>
      </c>
      <c r="H287" s="15">
        <f t="shared" si="42"/>
        <v>74.1640625</v>
      </c>
      <c r="I287" s="15">
        <f t="shared" si="43"/>
        <v>0.875</v>
      </c>
      <c r="J287" s="16">
        <f t="shared" si="44"/>
        <v>75.0390625</v>
      </c>
      <c r="K287" s="16">
        <f t="shared" si="45"/>
        <v>16.704109589041096</v>
      </c>
      <c r="L287" s="16">
        <f>SUMIF('Cash Flows'!$A$2:$A$5628,ROW(),'Cash Flows'!$E$2:$E$5628)</f>
        <v>75.19927364767014</v>
      </c>
      <c r="M287" s="16">
        <f t="shared" si="46"/>
        <v>0.16021114767013955</v>
      </c>
      <c r="N287" s="16">
        <f t="shared" si="47"/>
        <v>0.16021114767013955</v>
      </c>
      <c r="O287" s="17">
        <f t="shared" si="48"/>
        <v>74.32427364767014</v>
      </c>
      <c r="P287" s="17" t="str">
        <f t="shared" si="49"/>
        <v>No</v>
      </c>
    </row>
    <row r="288" spans="1:16" ht="15" customHeight="1" x14ac:dyDescent="0.25">
      <c r="A288" s="18">
        <v>52366</v>
      </c>
      <c r="B288" s="19">
        <v>3.875</v>
      </c>
      <c r="C288" s="19">
        <v>85.116</v>
      </c>
      <c r="D288" s="19">
        <v>85.135999999999996</v>
      </c>
      <c r="E288" s="20">
        <v>5.19</v>
      </c>
      <c r="F288" s="21">
        <f t="shared" si="40"/>
        <v>85.3671875</v>
      </c>
      <c r="G288" s="21">
        <f t="shared" si="41"/>
        <v>85.4296875</v>
      </c>
      <c r="H288" s="15">
        <f t="shared" si="42"/>
        <v>85.3984375</v>
      </c>
      <c r="I288" s="15">
        <f t="shared" si="43"/>
        <v>1.1793478260869565</v>
      </c>
      <c r="J288" s="16">
        <f t="shared" si="44"/>
        <v>86.577785326086953</v>
      </c>
      <c r="K288" s="16">
        <f t="shared" si="45"/>
        <v>16.704109589041096</v>
      </c>
      <c r="L288" s="16">
        <f>SUMIF('Cash Flows'!$A$2:$A$5628,ROW(),'Cash Flows'!$E$2:$E$5628)</f>
        <v>86.82834753226129</v>
      </c>
      <c r="M288" s="16">
        <f t="shared" si="46"/>
        <v>0.25056220617433667</v>
      </c>
      <c r="N288" s="16">
        <f t="shared" si="47"/>
        <v>0.25056220617433667</v>
      </c>
      <c r="O288" s="17">
        <f t="shared" si="48"/>
        <v>85.648999706174337</v>
      </c>
      <c r="P288" s="17" t="str">
        <f t="shared" si="49"/>
        <v>No</v>
      </c>
    </row>
    <row r="289" spans="1:16" ht="15" customHeight="1" x14ac:dyDescent="0.25">
      <c r="A289" s="18">
        <v>52458</v>
      </c>
      <c r="B289" s="19">
        <v>3.625</v>
      </c>
      <c r="C289" s="19">
        <v>82.073999999999998</v>
      </c>
      <c r="D289" s="19">
        <v>82.093999999999994</v>
      </c>
      <c r="E289" s="20">
        <v>5.2110000000000003</v>
      </c>
      <c r="F289" s="21">
        <f t="shared" si="40"/>
        <v>82.234375</v>
      </c>
      <c r="G289" s="21">
        <f t="shared" si="41"/>
        <v>82.296875</v>
      </c>
      <c r="H289" s="15">
        <f t="shared" si="42"/>
        <v>82.265625</v>
      </c>
      <c r="I289" s="15">
        <f t="shared" si="43"/>
        <v>0.19701086956521738</v>
      </c>
      <c r="J289" s="16">
        <f t="shared" si="44"/>
        <v>82.462635869565219</v>
      </c>
      <c r="K289" s="16">
        <f t="shared" si="45"/>
        <v>16.956164383561642</v>
      </c>
      <c r="L289" s="16">
        <f>SUMIF('Cash Flows'!$A$2:$A$5628,ROW(),'Cash Flows'!$E$2:$E$5628)</f>
        <v>82.742469330578103</v>
      </c>
      <c r="M289" s="16">
        <f t="shared" si="46"/>
        <v>0.27983346101288475</v>
      </c>
      <c r="N289" s="16">
        <f t="shared" si="47"/>
        <v>0.27983346101288475</v>
      </c>
      <c r="O289" s="17">
        <f t="shared" si="48"/>
        <v>82.545458461012885</v>
      </c>
      <c r="P289" s="17" t="str">
        <f t="shared" si="49"/>
        <v>No</v>
      </c>
    </row>
    <row r="290" spans="1:16" ht="15" customHeight="1" x14ac:dyDescent="0.25">
      <c r="A290" s="18">
        <v>52458</v>
      </c>
      <c r="B290" s="19">
        <v>4.375</v>
      </c>
      <c r="C290" s="19">
        <v>90.25</v>
      </c>
      <c r="D290" s="19">
        <v>90.27</v>
      </c>
      <c r="E290" s="20">
        <v>5.194</v>
      </c>
      <c r="F290" s="21">
        <f t="shared" si="40"/>
        <v>90.78125</v>
      </c>
      <c r="G290" s="21">
        <f t="shared" si="41"/>
        <v>90.84375</v>
      </c>
      <c r="H290" s="15">
        <f t="shared" si="42"/>
        <v>90.8125</v>
      </c>
      <c r="I290" s="15">
        <f t="shared" si="43"/>
        <v>0.23777173913043478</v>
      </c>
      <c r="J290" s="16">
        <f t="shared" si="44"/>
        <v>91.050271739130437</v>
      </c>
      <c r="K290" s="16">
        <f t="shared" si="45"/>
        <v>16.956164383561642</v>
      </c>
      <c r="L290" s="16">
        <f>SUMIF('Cash Flows'!$A$2:$A$5628,ROW(),'Cash Flows'!$E$2:$E$5628)</f>
        <v>91.352947082832557</v>
      </c>
      <c r="M290" s="16">
        <f t="shared" si="46"/>
        <v>0.3026753437021199</v>
      </c>
      <c r="N290" s="16">
        <f t="shared" si="47"/>
        <v>0.3026753437021199</v>
      </c>
      <c r="O290" s="17">
        <f t="shared" si="48"/>
        <v>91.11517534370212</v>
      </c>
      <c r="P290" s="17" t="str">
        <f t="shared" si="49"/>
        <v>No</v>
      </c>
    </row>
    <row r="291" spans="1:16" ht="15" customHeight="1" x14ac:dyDescent="0.25">
      <c r="A291" s="18">
        <v>52550</v>
      </c>
      <c r="B291" s="19">
        <v>3.75</v>
      </c>
      <c r="C291" s="19">
        <v>83.144000000000005</v>
      </c>
      <c r="D291" s="19">
        <v>83.164000000000001</v>
      </c>
      <c r="E291" s="20">
        <v>5.2130000000000001</v>
      </c>
      <c r="F291" s="21">
        <f t="shared" si="40"/>
        <v>83.453125</v>
      </c>
      <c r="G291" s="21">
        <f t="shared" si="41"/>
        <v>83.515625</v>
      </c>
      <c r="H291" s="15">
        <f t="shared" si="42"/>
        <v>83.484375</v>
      </c>
      <c r="I291" s="15">
        <f t="shared" si="43"/>
        <v>1.1413043478260869</v>
      </c>
      <c r="J291" s="16">
        <f t="shared" si="44"/>
        <v>84.625679347826093</v>
      </c>
      <c r="K291" s="16">
        <f t="shared" si="45"/>
        <v>17.208219178082192</v>
      </c>
      <c r="L291" s="16">
        <f>SUMIF('Cash Flows'!$A$2:$A$5628,ROW(),'Cash Flows'!$E$2:$E$5628)</f>
        <v>84.863550516424411</v>
      </c>
      <c r="M291" s="16">
        <f t="shared" si="46"/>
        <v>0.23787116859831769</v>
      </c>
      <c r="N291" s="16">
        <f t="shared" si="47"/>
        <v>0.23787116859831769</v>
      </c>
      <c r="O291" s="17">
        <f t="shared" si="48"/>
        <v>83.722246168598318</v>
      </c>
      <c r="P291" s="17" t="str">
        <f t="shared" si="49"/>
        <v>No</v>
      </c>
    </row>
    <row r="292" spans="1:16" ht="15" customHeight="1" x14ac:dyDescent="0.25">
      <c r="A292" s="18">
        <v>52550</v>
      </c>
      <c r="B292" s="19">
        <v>4.75</v>
      </c>
      <c r="C292" s="19">
        <v>94.296000000000006</v>
      </c>
      <c r="D292" s="19">
        <v>94.316000000000003</v>
      </c>
      <c r="E292" s="20">
        <v>5.1929999999999996</v>
      </c>
      <c r="F292" s="21">
        <f t="shared" si="40"/>
        <v>94.9296875</v>
      </c>
      <c r="G292" s="21">
        <f t="shared" si="41"/>
        <v>94.9921875</v>
      </c>
      <c r="H292" s="15">
        <f t="shared" si="42"/>
        <v>94.9609375</v>
      </c>
      <c r="I292" s="15">
        <f t="shared" si="43"/>
        <v>1.4456521739130435</v>
      </c>
      <c r="J292" s="16">
        <f t="shared" si="44"/>
        <v>96.406589673913047</v>
      </c>
      <c r="K292" s="16">
        <f t="shared" si="45"/>
        <v>17.208219178082192</v>
      </c>
      <c r="L292" s="16">
        <f>SUMIF('Cash Flows'!$A$2:$A$5628,ROW(),'Cash Flows'!$E$2:$E$5628)</f>
        <v>96.695100589723353</v>
      </c>
      <c r="M292" s="16">
        <f t="shared" si="46"/>
        <v>0.2885109158103063</v>
      </c>
      <c r="N292" s="16">
        <f t="shared" si="47"/>
        <v>0.2885109158103063</v>
      </c>
      <c r="O292" s="17">
        <f t="shared" si="48"/>
        <v>95.249448415810306</v>
      </c>
      <c r="P292" s="17" t="str">
        <f t="shared" si="49"/>
        <v>No</v>
      </c>
    </row>
    <row r="293" spans="1:16" ht="15" customHeight="1" x14ac:dyDescent="0.25">
      <c r="A293" s="18">
        <v>52642</v>
      </c>
      <c r="B293" s="19">
        <v>3.625</v>
      </c>
      <c r="C293" s="19">
        <v>81.242000000000004</v>
      </c>
      <c r="D293" s="19">
        <v>81.262</v>
      </c>
      <c r="E293" s="20">
        <v>5.226</v>
      </c>
      <c r="F293" s="21">
        <f t="shared" si="40"/>
        <v>81.7578125</v>
      </c>
      <c r="G293" s="21">
        <f t="shared" si="41"/>
        <v>81.8203125</v>
      </c>
      <c r="H293" s="15">
        <f t="shared" si="42"/>
        <v>81.7890625</v>
      </c>
      <c r="I293" s="15">
        <f t="shared" si="43"/>
        <v>0.19701086956521738</v>
      </c>
      <c r="J293" s="16">
        <f t="shared" si="44"/>
        <v>81.986073369565219</v>
      </c>
      <c r="K293" s="16">
        <f t="shared" si="45"/>
        <v>17.460273972602739</v>
      </c>
      <c r="L293" s="16">
        <f>SUMIF('Cash Flows'!$A$2:$A$5628,ROW(),'Cash Flows'!$E$2:$E$5628)</f>
        <v>82.215511725562607</v>
      </c>
      <c r="M293" s="16">
        <f t="shared" si="46"/>
        <v>0.22943835599738804</v>
      </c>
      <c r="N293" s="16">
        <f t="shared" si="47"/>
        <v>0.22943835599738804</v>
      </c>
      <c r="O293" s="17">
        <f t="shared" si="48"/>
        <v>82.018500855997388</v>
      </c>
      <c r="P293" s="17" t="str">
        <f t="shared" si="49"/>
        <v>No</v>
      </c>
    </row>
    <row r="294" spans="1:16" ht="15" customHeight="1" x14ac:dyDescent="0.25">
      <c r="A294" s="18">
        <v>52642</v>
      </c>
      <c r="B294" s="19">
        <v>4.5</v>
      </c>
      <c r="C294" s="19">
        <v>91.274000000000001</v>
      </c>
      <c r="D294" s="19">
        <v>91.293999999999997</v>
      </c>
      <c r="E294" s="20">
        <v>5.2110000000000003</v>
      </c>
      <c r="F294" s="21">
        <f t="shared" si="40"/>
        <v>91.859375</v>
      </c>
      <c r="G294" s="21">
        <f t="shared" si="41"/>
        <v>91.921875</v>
      </c>
      <c r="H294" s="15">
        <f t="shared" si="42"/>
        <v>91.890625</v>
      </c>
      <c r="I294" s="15">
        <f t="shared" si="43"/>
        <v>0.24456521739130435</v>
      </c>
      <c r="J294" s="16">
        <f t="shared" si="44"/>
        <v>92.135190217391298</v>
      </c>
      <c r="K294" s="16">
        <f t="shared" si="45"/>
        <v>17.460273972602739</v>
      </c>
      <c r="L294" s="16">
        <f>SUMIF('Cash Flows'!$A$2:$A$5628,ROW(),'Cash Flows'!$E$2:$E$5628)</f>
        <v>92.435524240164995</v>
      </c>
      <c r="M294" s="16">
        <f t="shared" si="46"/>
        <v>0.30033402277369703</v>
      </c>
      <c r="N294" s="16">
        <f t="shared" si="47"/>
        <v>0.30033402277369703</v>
      </c>
      <c r="O294" s="17">
        <f t="shared" si="48"/>
        <v>92.190959022773697</v>
      </c>
      <c r="P294" s="17" t="str">
        <f t="shared" si="49"/>
        <v>No</v>
      </c>
    </row>
    <row r="295" spans="1:16" ht="15" customHeight="1" x14ac:dyDescent="0.25">
      <c r="A295" s="18">
        <v>52732</v>
      </c>
      <c r="B295" s="19">
        <v>3.375</v>
      </c>
      <c r="C295" s="19">
        <v>78.2</v>
      </c>
      <c r="D295" s="19">
        <v>78.22</v>
      </c>
      <c r="E295" s="20">
        <v>5.2370000000000001</v>
      </c>
      <c r="F295" s="21">
        <f t="shared" si="40"/>
        <v>78.625</v>
      </c>
      <c r="G295" s="21">
        <f t="shared" si="41"/>
        <v>78.6875</v>
      </c>
      <c r="H295" s="15">
        <f t="shared" si="42"/>
        <v>78.65625</v>
      </c>
      <c r="I295" s="15">
        <f t="shared" si="43"/>
        <v>1.0271739130434783</v>
      </c>
      <c r="J295" s="16">
        <f t="shared" si="44"/>
        <v>79.683423913043484</v>
      </c>
      <c r="K295" s="16">
        <f t="shared" si="45"/>
        <v>17.706849315068492</v>
      </c>
      <c r="L295" s="16">
        <f>SUMIF('Cash Flows'!$A$2:$A$5628,ROW(),'Cash Flows'!$E$2:$E$5628)</f>
        <v>79.873852761750427</v>
      </c>
      <c r="M295" s="16">
        <f t="shared" si="46"/>
        <v>0.19042884870694365</v>
      </c>
      <c r="N295" s="16">
        <f t="shared" si="47"/>
        <v>0.19042884870694365</v>
      </c>
      <c r="O295" s="17">
        <f t="shared" si="48"/>
        <v>78.846678848706944</v>
      </c>
      <c r="P295" s="17" t="str">
        <f t="shared" si="49"/>
        <v>No</v>
      </c>
    </row>
    <row r="296" spans="1:16" ht="15" customHeight="1" x14ac:dyDescent="0.25">
      <c r="A296" s="18">
        <v>52732</v>
      </c>
      <c r="B296" s="19">
        <v>4.625</v>
      </c>
      <c r="C296" s="19">
        <v>93.06</v>
      </c>
      <c r="D296" s="19">
        <v>93.08</v>
      </c>
      <c r="E296" s="20">
        <v>5.2130000000000001</v>
      </c>
      <c r="F296" s="21">
        <f t="shared" si="40"/>
        <v>93.1875</v>
      </c>
      <c r="G296" s="21">
        <f t="shared" si="41"/>
        <v>93.25</v>
      </c>
      <c r="H296" s="15">
        <f t="shared" si="42"/>
        <v>93.21875</v>
      </c>
      <c r="I296" s="15">
        <f t="shared" si="43"/>
        <v>1.4076086956521738</v>
      </c>
      <c r="J296" s="16">
        <f t="shared" si="44"/>
        <v>94.626358695652172</v>
      </c>
      <c r="K296" s="16">
        <f t="shared" si="45"/>
        <v>17.706849315068492</v>
      </c>
      <c r="L296" s="16">
        <f>SUMIF('Cash Flows'!$A$2:$A$5628,ROW(),'Cash Flows'!$E$2:$E$5628)</f>
        <v>94.908787410930131</v>
      </c>
      <c r="M296" s="16">
        <f t="shared" si="46"/>
        <v>0.28242871527795899</v>
      </c>
      <c r="N296" s="16">
        <f t="shared" si="47"/>
        <v>0.28242871527795899</v>
      </c>
      <c r="O296" s="17">
        <f t="shared" si="48"/>
        <v>93.501178715277959</v>
      </c>
      <c r="P296" s="17" t="str">
        <f t="shared" si="49"/>
        <v>No</v>
      </c>
    </row>
    <row r="297" spans="1:16" ht="15" customHeight="1" x14ac:dyDescent="0.25">
      <c r="A297" s="18">
        <v>52824</v>
      </c>
      <c r="B297" s="19">
        <v>3.125</v>
      </c>
      <c r="C297" s="19">
        <v>75.13</v>
      </c>
      <c r="D297" s="19">
        <v>75.150000000000006</v>
      </c>
      <c r="E297" s="20">
        <v>5.2530000000000001</v>
      </c>
      <c r="F297" s="21">
        <f t="shared" si="40"/>
        <v>75.40625</v>
      </c>
      <c r="G297" s="21">
        <f t="shared" si="41"/>
        <v>75.46875</v>
      </c>
      <c r="H297" s="15">
        <f t="shared" si="42"/>
        <v>75.4375</v>
      </c>
      <c r="I297" s="15">
        <f t="shared" si="43"/>
        <v>0.16983695652173914</v>
      </c>
      <c r="J297" s="16">
        <f t="shared" si="44"/>
        <v>75.607336956521735</v>
      </c>
      <c r="K297" s="16">
        <f t="shared" si="45"/>
        <v>17.958904109589042</v>
      </c>
      <c r="L297" s="16">
        <f>SUMIF('Cash Flows'!$A$2:$A$5628,ROW(),'Cash Flows'!$E$2:$E$5628)</f>
        <v>75.784810264390273</v>
      </c>
      <c r="M297" s="16">
        <f t="shared" si="46"/>
        <v>0.17747330786853865</v>
      </c>
      <c r="N297" s="16">
        <f t="shared" si="47"/>
        <v>0.17747330786853865</v>
      </c>
      <c r="O297" s="17">
        <f t="shared" si="48"/>
        <v>75.614973307868539</v>
      </c>
      <c r="P297" s="17" t="str">
        <f t="shared" si="49"/>
        <v>No</v>
      </c>
    </row>
    <row r="298" spans="1:16" ht="15" customHeight="1" x14ac:dyDescent="0.25">
      <c r="A298" s="18">
        <v>52824</v>
      </c>
      <c r="B298" s="19">
        <v>4.125</v>
      </c>
      <c r="C298" s="19">
        <v>87.05</v>
      </c>
      <c r="D298" s="19">
        <v>87.07</v>
      </c>
      <c r="E298" s="20">
        <v>5.2320000000000002</v>
      </c>
      <c r="F298" s="21">
        <f t="shared" si="40"/>
        <v>87.15625</v>
      </c>
      <c r="G298" s="21">
        <f t="shared" si="41"/>
        <v>87.21875</v>
      </c>
      <c r="H298" s="15">
        <f t="shared" si="42"/>
        <v>87.1875</v>
      </c>
      <c r="I298" s="15">
        <f t="shared" si="43"/>
        <v>0.22418478260869565</v>
      </c>
      <c r="J298" s="16">
        <f t="shared" si="44"/>
        <v>87.411684782608702</v>
      </c>
      <c r="K298" s="16">
        <f t="shared" si="45"/>
        <v>17.958904109589042</v>
      </c>
      <c r="L298" s="16">
        <f>SUMIF('Cash Flows'!$A$2:$A$5628,ROW(),'Cash Flows'!$E$2:$E$5628)</f>
        <v>87.658226489596132</v>
      </c>
      <c r="M298" s="16">
        <f t="shared" si="46"/>
        <v>0.24654170698742917</v>
      </c>
      <c r="N298" s="16">
        <f t="shared" si="47"/>
        <v>0.24654170698742917</v>
      </c>
      <c r="O298" s="17">
        <f t="shared" si="48"/>
        <v>87.434041706987429</v>
      </c>
      <c r="P298" s="17" t="str">
        <f t="shared" si="49"/>
        <v>No</v>
      </c>
    </row>
    <row r="299" spans="1:16" ht="15" customHeight="1" x14ac:dyDescent="0.25">
      <c r="A299" s="18">
        <v>52916</v>
      </c>
      <c r="B299" s="19">
        <v>3</v>
      </c>
      <c r="C299" s="19">
        <v>73.212000000000003</v>
      </c>
      <c r="D299" s="19">
        <v>73.231999999999999</v>
      </c>
      <c r="E299" s="20">
        <v>5.2619999999999996</v>
      </c>
      <c r="F299" s="21">
        <f t="shared" si="40"/>
        <v>73.6640625</v>
      </c>
      <c r="G299" s="21">
        <f t="shared" si="41"/>
        <v>73.7265625</v>
      </c>
      <c r="H299" s="15">
        <f t="shared" si="42"/>
        <v>73.6953125</v>
      </c>
      <c r="I299" s="15">
        <f t="shared" si="43"/>
        <v>0.91304347826086951</v>
      </c>
      <c r="J299" s="16">
        <f t="shared" si="44"/>
        <v>74.608355978260875</v>
      </c>
      <c r="K299" s="16">
        <f t="shared" si="45"/>
        <v>18.210958904109589</v>
      </c>
      <c r="L299" s="16">
        <f>SUMIF('Cash Flows'!$A$2:$A$5628,ROW(),'Cash Flows'!$E$2:$E$5628)</f>
        <v>74.746902785210267</v>
      </c>
      <c r="M299" s="16">
        <f t="shared" si="46"/>
        <v>0.13854680694939248</v>
      </c>
      <c r="N299" s="16">
        <f t="shared" si="47"/>
        <v>0.13854680694939248</v>
      </c>
      <c r="O299" s="17">
        <f t="shared" si="48"/>
        <v>73.833859306949392</v>
      </c>
      <c r="P299" s="17" t="str">
        <f t="shared" si="49"/>
        <v>No</v>
      </c>
    </row>
    <row r="300" spans="1:16" ht="15" customHeight="1" x14ac:dyDescent="0.25">
      <c r="A300" s="18">
        <v>52916</v>
      </c>
      <c r="B300" s="19">
        <v>4.625</v>
      </c>
      <c r="C300" s="19">
        <v>92.29</v>
      </c>
      <c r="D300" s="19">
        <v>92.31</v>
      </c>
      <c r="E300" s="20">
        <v>5.2279999999999998</v>
      </c>
      <c r="F300" s="21">
        <f t="shared" si="40"/>
        <v>92.90625</v>
      </c>
      <c r="G300" s="21">
        <f t="shared" si="41"/>
        <v>92.96875</v>
      </c>
      <c r="H300" s="15">
        <f t="shared" si="42"/>
        <v>92.9375</v>
      </c>
      <c r="I300" s="15">
        <f t="shared" si="43"/>
        <v>1.4076086956521738</v>
      </c>
      <c r="J300" s="16">
        <f t="shared" si="44"/>
        <v>94.345108695652172</v>
      </c>
      <c r="K300" s="16">
        <f t="shared" si="45"/>
        <v>18.210958904109589</v>
      </c>
      <c r="L300" s="16">
        <f>SUMIF('Cash Flows'!$A$2:$A$5628,ROW(),'Cash Flows'!$E$2:$E$5628)</f>
        <v>94.60181276458313</v>
      </c>
      <c r="M300" s="16">
        <f t="shared" si="46"/>
        <v>0.25670406893095787</v>
      </c>
      <c r="N300" s="16">
        <f t="shared" si="47"/>
        <v>0.25670406893095787</v>
      </c>
      <c r="O300" s="17">
        <f t="shared" si="48"/>
        <v>93.194204068930958</v>
      </c>
      <c r="P300" s="17" t="str">
        <f t="shared" si="49"/>
        <v>No</v>
      </c>
    </row>
    <row r="301" spans="1:16" ht="15" customHeight="1" x14ac:dyDescent="0.25">
      <c r="A301" s="18">
        <v>53008</v>
      </c>
      <c r="B301" s="19">
        <v>2.5</v>
      </c>
      <c r="C301" s="19">
        <v>67.134</v>
      </c>
      <c r="D301" s="19">
        <v>67.153999999999996</v>
      </c>
      <c r="E301" s="20">
        <v>5.2809999999999997</v>
      </c>
      <c r="F301" s="21">
        <f t="shared" si="40"/>
        <v>67.421875</v>
      </c>
      <c r="G301" s="21">
        <f t="shared" si="41"/>
        <v>67.484375</v>
      </c>
      <c r="H301" s="15">
        <f t="shared" si="42"/>
        <v>67.453125</v>
      </c>
      <c r="I301" s="15">
        <f t="shared" si="43"/>
        <v>0.1358695652173913</v>
      </c>
      <c r="J301" s="16">
        <f t="shared" si="44"/>
        <v>67.588994565217391</v>
      </c>
      <c r="K301" s="16">
        <f t="shared" si="45"/>
        <v>18.463013698630139</v>
      </c>
      <c r="L301" s="16">
        <f>SUMIF('Cash Flows'!$A$2:$A$5628,ROW(),'Cash Flows'!$E$2:$E$5628)</f>
        <v>67.666109964828593</v>
      </c>
      <c r="M301" s="16">
        <f t="shared" si="46"/>
        <v>7.7115399611201951E-2</v>
      </c>
      <c r="N301" s="16">
        <f t="shared" si="47"/>
        <v>7.7115399611201951E-2</v>
      </c>
      <c r="O301" s="17">
        <f t="shared" si="48"/>
        <v>67.530240399611202</v>
      </c>
      <c r="P301" s="17" t="str">
        <f t="shared" si="49"/>
        <v>No</v>
      </c>
    </row>
    <row r="302" spans="1:16" ht="15" customHeight="1" x14ac:dyDescent="0.25">
      <c r="A302" s="18">
        <v>53008</v>
      </c>
      <c r="B302" s="19">
        <v>4.75</v>
      </c>
      <c r="C302" s="19">
        <v>94.085999999999999</v>
      </c>
      <c r="D302" s="19">
        <v>94.105999999999995</v>
      </c>
      <c r="E302" s="20">
        <v>5.2320000000000002</v>
      </c>
      <c r="F302" s="21">
        <f t="shared" si="40"/>
        <v>94.2734375</v>
      </c>
      <c r="G302" s="21">
        <f t="shared" si="41"/>
        <v>94.3359375</v>
      </c>
      <c r="H302" s="15">
        <f t="shared" si="42"/>
        <v>94.3046875</v>
      </c>
      <c r="I302" s="15">
        <f t="shared" si="43"/>
        <v>0.25815217391304346</v>
      </c>
      <c r="J302" s="16">
        <f t="shared" si="44"/>
        <v>94.562839673913047</v>
      </c>
      <c r="K302" s="16">
        <f t="shared" si="45"/>
        <v>18.463013698630139</v>
      </c>
      <c r="L302" s="16">
        <f>SUMIF('Cash Flows'!$A$2:$A$5628,ROW(),'Cash Flows'!$E$2:$E$5628)</f>
        <v>94.803325020450742</v>
      </c>
      <c r="M302" s="16">
        <f t="shared" si="46"/>
        <v>0.24048534653769593</v>
      </c>
      <c r="N302" s="16">
        <f t="shared" si="47"/>
        <v>0.24048534653769593</v>
      </c>
      <c r="O302" s="17">
        <f t="shared" si="48"/>
        <v>94.545172846537696</v>
      </c>
      <c r="P302" s="17" t="str">
        <f t="shared" si="49"/>
        <v>No</v>
      </c>
    </row>
    <row r="303" spans="1:16" ht="15" customHeight="1" x14ac:dyDescent="0.25">
      <c r="A303" s="18">
        <v>53097</v>
      </c>
      <c r="B303" s="19">
        <v>3</v>
      </c>
      <c r="C303" s="19">
        <v>73.040000000000006</v>
      </c>
      <c r="D303" s="19">
        <v>73.06</v>
      </c>
      <c r="E303" s="20">
        <v>5.2729999999999997</v>
      </c>
      <c r="F303" s="21">
        <f t="shared" si="40"/>
        <v>73.125</v>
      </c>
      <c r="G303" s="21">
        <f t="shared" si="41"/>
        <v>73.1875</v>
      </c>
      <c r="H303" s="15">
        <f t="shared" si="42"/>
        <v>73.15625</v>
      </c>
      <c r="I303" s="15">
        <f t="shared" si="43"/>
        <v>0.91304347826086951</v>
      </c>
      <c r="J303" s="16">
        <f t="shared" si="44"/>
        <v>74.069293478260875</v>
      </c>
      <c r="K303" s="16">
        <f t="shared" si="45"/>
        <v>18.706849315068492</v>
      </c>
      <c r="L303" s="16">
        <f>SUMIF('Cash Flows'!$A$2:$A$5628,ROW(),'Cash Flows'!$E$2:$E$5628)</f>
        <v>74.174014482632685</v>
      </c>
      <c r="M303" s="16">
        <f t="shared" si="46"/>
        <v>0.10472100437181098</v>
      </c>
      <c r="N303" s="16">
        <f t="shared" si="47"/>
        <v>0.10472100437181098</v>
      </c>
      <c r="O303" s="17">
        <f t="shared" si="48"/>
        <v>73.260971004371811</v>
      </c>
      <c r="P303" s="17" t="str">
        <f t="shared" si="49"/>
        <v>No</v>
      </c>
    </row>
    <row r="304" spans="1:16" ht="15" customHeight="1" x14ac:dyDescent="0.25">
      <c r="A304" s="18">
        <v>53097</v>
      </c>
      <c r="B304" s="19">
        <v>5</v>
      </c>
      <c r="C304" s="19">
        <v>97.055999999999997</v>
      </c>
      <c r="D304" s="19">
        <v>97.075999999999993</v>
      </c>
      <c r="E304" s="20">
        <v>5.2320000000000002</v>
      </c>
      <c r="F304" s="21">
        <f t="shared" si="40"/>
        <v>97.1796875</v>
      </c>
      <c r="G304" s="21">
        <f t="shared" si="41"/>
        <v>97.2421875</v>
      </c>
      <c r="H304" s="15">
        <f t="shared" si="42"/>
        <v>97.2109375</v>
      </c>
      <c r="I304" s="15">
        <f t="shared" si="43"/>
        <v>1.5217391304347827</v>
      </c>
      <c r="J304" s="16">
        <f t="shared" si="44"/>
        <v>98.732676630434781</v>
      </c>
      <c r="K304" s="16">
        <f t="shared" si="45"/>
        <v>18.706849315068492</v>
      </c>
      <c r="L304" s="16">
        <f>SUMIF('Cash Flows'!$A$2:$A$5628,ROW(),'Cash Flows'!$E$2:$E$5628)</f>
        <v>98.980470075865583</v>
      </c>
      <c r="M304" s="16">
        <f t="shared" si="46"/>
        <v>0.24779344543080128</v>
      </c>
      <c r="N304" s="16">
        <f t="shared" si="47"/>
        <v>0.24779344543080128</v>
      </c>
      <c r="O304" s="17">
        <f t="shared" si="48"/>
        <v>97.458730945430801</v>
      </c>
      <c r="P304" s="17" t="str">
        <f t="shared" si="49"/>
        <v>No</v>
      </c>
    </row>
    <row r="305" spans="1:16" ht="15" customHeight="1" x14ac:dyDescent="0.25">
      <c r="A305" s="18">
        <v>53189</v>
      </c>
      <c r="B305" s="19">
        <v>2.875</v>
      </c>
      <c r="C305" s="19">
        <v>71.103999999999999</v>
      </c>
      <c r="D305" s="19">
        <v>71.123999999999995</v>
      </c>
      <c r="E305" s="20">
        <v>5.2839999999999998</v>
      </c>
      <c r="F305" s="21">
        <f t="shared" si="40"/>
        <v>71.328125</v>
      </c>
      <c r="G305" s="21">
        <f t="shared" si="41"/>
        <v>71.390625</v>
      </c>
      <c r="H305" s="15">
        <f t="shared" si="42"/>
        <v>71.359375</v>
      </c>
      <c r="I305" s="15">
        <f t="shared" si="43"/>
        <v>0.15625</v>
      </c>
      <c r="J305" s="16">
        <f t="shared" si="44"/>
        <v>71.515625</v>
      </c>
      <c r="K305" s="16">
        <f t="shared" si="45"/>
        <v>18.958904109589042</v>
      </c>
      <c r="L305" s="16">
        <f>SUMIF('Cash Flows'!$A$2:$A$5628,ROW(),'Cash Flows'!$E$2:$E$5628)</f>
        <v>71.605207522284104</v>
      </c>
      <c r="M305" s="16">
        <f t="shared" si="46"/>
        <v>8.9582522284104016E-2</v>
      </c>
      <c r="N305" s="16">
        <f t="shared" si="47"/>
        <v>8.9582522284104016E-2</v>
      </c>
      <c r="O305" s="17">
        <f t="shared" si="48"/>
        <v>71.448957522284104</v>
      </c>
      <c r="P305" s="17" t="str">
        <f t="shared" si="49"/>
        <v>No</v>
      </c>
    </row>
    <row r="306" spans="1:16" ht="15" customHeight="1" x14ac:dyDescent="0.25">
      <c r="A306" s="18">
        <v>53189</v>
      </c>
      <c r="B306" s="19">
        <v>4.875</v>
      </c>
      <c r="C306" s="19">
        <v>95.182000000000002</v>
      </c>
      <c r="D306" s="19">
        <v>95.201999999999998</v>
      </c>
      <c r="E306" s="20">
        <v>5.2409999999999997</v>
      </c>
      <c r="F306" s="21">
        <f t="shared" si="40"/>
        <v>95.5703125</v>
      </c>
      <c r="G306" s="21">
        <f t="shared" si="41"/>
        <v>95.6328125</v>
      </c>
      <c r="H306" s="15">
        <f t="shared" si="42"/>
        <v>95.6015625</v>
      </c>
      <c r="I306" s="15">
        <f t="shared" si="43"/>
        <v>0.26494565217391303</v>
      </c>
      <c r="J306" s="16">
        <f t="shared" si="44"/>
        <v>95.866508152173907</v>
      </c>
      <c r="K306" s="16">
        <f t="shared" si="45"/>
        <v>18.958904109589042</v>
      </c>
      <c r="L306" s="16">
        <f>SUMIF('Cash Flows'!$A$2:$A$5628,ROW(),'Cash Flows'!$E$2:$E$5628)</f>
        <v>96.091241793193433</v>
      </c>
      <c r="M306" s="16">
        <f t="shared" si="46"/>
        <v>0.22473364101952598</v>
      </c>
      <c r="N306" s="16">
        <f t="shared" si="47"/>
        <v>0.22473364101952598</v>
      </c>
      <c r="O306" s="17">
        <f t="shared" si="48"/>
        <v>95.826296141019526</v>
      </c>
      <c r="P306" s="17" t="str">
        <f t="shared" si="49"/>
        <v>No</v>
      </c>
    </row>
    <row r="307" spans="1:16" ht="15" customHeight="1" x14ac:dyDescent="0.25">
      <c r="A307" s="18">
        <v>53281</v>
      </c>
      <c r="B307" s="19">
        <v>3</v>
      </c>
      <c r="C307" s="19">
        <v>72.2</v>
      </c>
      <c r="D307" s="19">
        <v>72.22</v>
      </c>
      <c r="E307" s="20">
        <v>5.282</v>
      </c>
      <c r="F307" s="21">
        <f t="shared" si="40"/>
        <v>72.625</v>
      </c>
      <c r="G307" s="21">
        <f t="shared" si="41"/>
        <v>72.6875</v>
      </c>
      <c r="H307" s="15">
        <f t="shared" si="42"/>
        <v>72.65625</v>
      </c>
      <c r="I307" s="15">
        <f t="shared" si="43"/>
        <v>0.91304347826086951</v>
      </c>
      <c r="J307" s="16">
        <f t="shared" si="44"/>
        <v>73.569293478260875</v>
      </c>
      <c r="K307" s="16">
        <f t="shared" si="45"/>
        <v>19.210958904109589</v>
      </c>
      <c r="L307" s="16">
        <f>SUMIF('Cash Flows'!$A$2:$A$5628,ROW(),'Cash Flows'!$E$2:$E$5628)</f>
        <v>73.60666011837877</v>
      </c>
      <c r="M307" s="16">
        <f t="shared" si="46"/>
        <v>3.7366640117895145E-2</v>
      </c>
      <c r="N307" s="16">
        <f t="shared" si="47"/>
        <v>3.7366640117895145E-2</v>
      </c>
      <c r="O307" s="17">
        <f t="shared" si="48"/>
        <v>72.693616640117895</v>
      </c>
      <c r="P307" s="17" t="str">
        <f t="shared" si="49"/>
        <v>No</v>
      </c>
    </row>
    <row r="308" spans="1:16" ht="15" customHeight="1" x14ac:dyDescent="0.25">
      <c r="A308" s="18">
        <v>53281</v>
      </c>
      <c r="B308" s="19">
        <v>4.625</v>
      </c>
      <c r="C308" s="19">
        <v>92.144000000000005</v>
      </c>
      <c r="D308" s="19">
        <v>92.164000000000001</v>
      </c>
      <c r="E308" s="20">
        <v>5.2480000000000002</v>
      </c>
      <c r="F308" s="21">
        <f t="shared" si="40"/>
        <v>92.453125</v>
      </c>
      <c r="G308" s="21">
        <f t="shared" si="41"/>
        <v>92.515625</v>
      </c>
      <c r="H308" s="15">
        <f t="shared" si="42"/>
        <v>92.484375</v>
      </c>
      <c r="I308" s="15">
        <f t="shared" si="43"/>
        <v>1.4076086956521738</v>
      </c>
      <c r="J308" s="16">
        <f t="shared" si="44"/>
        <v>93.891983695652172</v>
      </c>
      <c r="K308" s="16">
        <f t="shared" si="45"/>
        <v>19.210958904109589</v>
      </c>
      <c r="L308" s="16">
        <f>SUMIF('Cash Flows'!$A$2:$A$5628,ROW(),'Cash Flows'!$E$2:$E$5628)</f>
        <v>94.053260397160585</v>
      </c>
      <c r="M308" s="16">
        <f t="shared" si="46"/>
        <v>0.16127670150841311</v>
      </c>
      <c r="N308" s="16">
        <f t="shared" si="47"/>
        <v>0.16127670150841311</v>
      </c>
      <c r="O308" s="17">
        <f t="shared" si="48"/>
        <v>92.645651701508413</v>
      </c>
      <c r="P308" s="17" t="str">
        <f t="shared" si="49"/>
        <v>No</v>
      </c>
    </row>
    <row r="309" spans="1:16" ht="15" customHeight="1" x14ac:dyDescent="0.25">
      <c r="A309" s="18">
        <v>53373</v>
      </c>
      <c r="B309" s="19">
        <v>2.5</v>
      </c>
      <c r="C309" s="19">
        <v>66.073999999999998</v>
      </c>
      <c r="D309" s="19">
        <v>66.093999999999994</v>
      </c>
      <c r="E309" s="20">
        <v>5.298</v>
      </c>
      <c r="F309" s="21">
        <f t="shared" si="40"/>
        <v>66.234375</v>
      </c>
      <c r="G309" s="21">
        <f t="shared" si="41"/>
        <v>66.296875</v>
      </c>
      <c r="H309" s="15">
        <f t="shared" si="42"/>
        <v>66.265625</v>
      </c>
      <c r="I309" s="15">
        <f t="shared" si="43"/>
        <v>0.1358695652173913</v>
      </c>
      <c r="J309" s="16">
        <f t="shared" si="44"/>
        <v>66.401494565217391</v>
      </c>
      <c r="K309" s="16">
        <f t="shared" si="45"/>
        <v>19.463013698630139</v>
      </c>
      <c r="L309" s="16">
        <f>SUMIF('Cash Flows'!$A$2:$A$5628,ROW(),'Cash Flows'!$E$2:$E$5628)</f>
        <v>66.37123681681831</v>
      </c>
      <c r="M309" s="16">
        <f t="shared" si="46"/>
        <v>-3.0257748399080242E-2</v>
      </c>
      <c r="N309" s="16">
        <f t="shared" si="47"/>
        <v>3.0257748399080242E-2</v>
      </c>
      <c r="O309" s="17">
        <f t="shared" si="48"/>
        <v>66.23536725160092</v>
      </c>
      <c r="P309" s="17" t="str">
        <f t="shared" si="49"/>
        <v>Yes</v>
      </c>
    </row>
    <row r="310" spans="1:16" ht="15" customHeight="1" x14ac:dyDescent="0.25">
      <c r="A310" s="18">
        <v>53373</v>
      </c>
      <c r="B310" s="19">
        <v>4.625</v>
      </c>
      <c r="C310" s="19">
        <v>92.122</v>
      </c>
      <c r="D310" s="19">
        <v>92.141999999999996</v>
      </c>
      <c r="E310" s="20">
        <v>5.25</v>
      </c>
      <c r="F310" s="21">
        <f t="shared" si="40"/>
        <v>92.3828125</v>
      </c>
      <c r="G310" s="21">
        <f t="shared" si="41"/>
        <v>92.4453125</v>
      </c>
      <c r="H310" s="15">
        <f t="shared" si="42"/>
        <v>92.4140625</v>
      </c>
      <c r="I310" s="15">
        <f t="shared" si="43"/>
        <v>0.25135869565217389</v>
      </c>
      <c r="J310" s="16">
        <f t="shared" si="44"/>
        <v>92.665421195652172</v>
      </c>
      <c r="K310" s="16">
        <f t="shared" si="45"/>
        <v>19.463013698630139</v>
      </c>
      <c r="L310" s="16">
        <f>SUMIF('Cash Flows'!$A$2:$A$5628,ROW(),'Cash Flows'!$E$2:$E$5628)</f>
        <v>92.762946252887289</v>
      </c>
      <c r="M310" s="16">
        <f t="shared" si="46"/>
        <v>9.7525057235117174E-2</v>
      </c>
      <c r="N310" s="16">
        <f t="shared" si="47"/>
        <v>9.7525057235117174E-2</v>
      </c>
      <c r="O310" s="17">
        <f t="shared" si="48"/>
        <v>92.511587557235117</v>
      </c>
      <c r="P310" s="17" t="str">
        <f t="shared" si="49"/>
        <v>No</v>
      </c>
    </row>
    <row r="311" spans="1:16" ht="15" customHeight="1" x14ac:dyDescent="0.25">
      <c r="A311" s="18">
        <v>53462</v>
      </c>
      <c r="B311" s="19">
        <v>2.5</v>
      </c>
      <c r="C311" s="19">
        <v>65.304000000000002</v>
      </c>
      <c r="D311" s="19">
        <v>66.004000000000005</v>
      </c>
      <c r="E311" s="20">
        <v>5.3019999999999996</v>
      </c>
      <c r="F311" s="21">
        <f t="shared" si="40"/>
        <v>65.953125</v>
      </c>
      <c r="G311" s="21">
        <f t="shared" si="41"/>
        <v>66.015625</v>
      </c>
      <c r="H311" s="15">
        <f t="shared" si="42"/>
        <v>65.984375</v>
      </c>
      <c r="I311" s="15">
        <f t="shared" si="43"/>
        <v>0.76086956521739135</v>
      </c>
      <c r="J311" s="16">
        <f t="shared" si="44"/>
        <v>66.745244565217391</v>
      </c>
      <c r="K311" s="16">
        <f t="shared" si="45"/>
        <v>19.706849315068492</v>
      </c>
      <c r="L311" s="16">
        <f>SUMIF('Cash Flows'!$A$2:$A$5628,ROW(),'Cash Flows'!$E$2:$E$5628)</f>
        <v>66.703929798762701</v>
      </c>
      <c r="M311" s="16">
        <f t="shared" si="46"/>
        <v>-4.1314766454689789E-2</v>
      </c>
      <c r="N311" s="16">
        <f t="shared" si="47"/>
        <v>4.1314766454689789E-2</v>
      </c>
      <c r="O311" s="17">
        <f t="shared" si="48"/>
        <v>65.94306023354531</v>
      </c>
      <c r="P311" s="17" t="str">
        <f t="shared" si="49"/>
        <v>No</v>
      </c>
    </row>
    <row r="312" spans="1:16" ht="15" customHeight="1" x14ac:dyDescent="0.25">
      <c r="A312" s="18">
        <v>53462</v>
      </c>
      <c r="B312" s="19">
        <v>5</v>
      </c>
      <c r="C312" s="19">
        <v>96.293000000000006</v>
      </c>
      <c r="D312" s="19">
        <v>96.313000000000002</v>
      </c>
      <c r="E312" s="20">
        <v>5.2469999999999999</v>
      </c>
      <c r="F312" s="21">
        <f t="shared" si="40"/>
        <v>96.91796875</v>
      </c>
      <c r="G312" s="21">
        <f t="shared" si="41"/>
        <v>96.98046875</v>
      </c>
      <c r="H312" s="15">
        <f t="shared" si="42"/>
        <v>96.94921875</v>
      </c>
      <c r="I312" s="15">
        <f t="shared" si="43"/>
        <v>1.5217391304347827</v>
      </c>
      <c r="J312" s="16">
        <f t="shared" si="44"/>
        <v>98.470957880434781</v>
      </c>
      <c r="K312" s="16">
        <f t="shared" si="45"/>
        <v>19.706849315068492</v>
      </c>
      <c r="L312" s="16">
        <f>SUMIF('Cash Flows'!$A$2:$A$5628,ROW(),'Cash Flows'!$E$2:$E$5628)</f>
        <v>98.595393743145252</v>
      </c>
      <c r="M312" s="16">
        <f t="shared" si="46"/>
        <v>0.12443586271047025</v>
      </c>
      <c r="N312" s="16">
        <f t="shared" si="47"/>
        <v>0.12443586271047025</v>
      </c>
      <c r="O312" s="17">
        <f t="shared" si="48"/>
        <v>97.07365461271047</v>
      </c>
      <c r="P312" s="17" t="str">
        <f t="shared" si="49"/>
        <v>No</v>
      </c>
    </row>
    <row r="313" spans="1:16" ht="15" customHeight="1" x14ac:dyDescent="0.25">
      <c r="A313" s="18">
        <v>53554</v>
      </c>
      <c r="B313" s="19">
        <v>2.25</v>
      </c>
      <c r="C313" s="19">
        <v>62.182000000000002</v>
      </c>
      <c r="D313" s="19">
        <v>62.201999999999998</v>
      </c>
      <c r="E313" s="20">
        <v>5.3109999999999999</v>
      </c>
      <c r="F313" s="21">
        <f t="shared" si="40"/>
        <v>62.5703125</v>
      </c>
      <c r="G313" s="21">
        <f t="shared" si="41"/>
        <v>62.6328125</v>
      </c>
      <c r="H313" s="15">
        <f t="shared" si="42"/>
        <v>62.6015625</v>
      </c>
      <c r="I313" s="15">
        <f t="shared" si="43"/>
        <v>0.12228260869565218</v>
      </c>
      <c r="J313" s="16">
        <f t="shared" si="44"/>
        <v>62.723845108695649</v>
      </c>
      <c r="K313" s="16">
        <f t="shared" si="45"/>
        <v>19.958904109589042</v>
      </c>
      <c r="L313" s="16">
        <f>SUMIF('Cash Flows'!$A$2:$A$5628,ROW(),'Cash Flows'!$E$2:$E$5628)</f>
        <v>62.625422816477027</v>
      </c>
      <c r="M313" s="16">
        <f t="shared" si="46"/>
        <v>-9.8422292218621976E-2</v>
      </c>
      <c r="N313" s="16">
        <f t="shared" si="47"/>
        <v>9.8422292218621976E-2</v>
      </c>
      <c r="O313" s="17">
        <f t="shared" si="48"/>
        <v>62.503140207781378</v>
      </c>
      <c r="P313" s="17" t="str">
        <f t="shared" si="49"/>
        <v>No</v>
      </c>
    </row>
    <row r="314" spans="1:16" ht="15" customHeight="1" x14ac:dyDescent="0.25">
      <c r="A314" s="18">
        <v>53554</v>
      </c>
      <c r="B314" s="19">
        <v>5.125</v>
      </c>
      <c r="C314" s="19">
        <v>98.152000000000001</v>
      </c>
      <c r="D314" s="19">
        <v>98.171999999999997</v>
      </c>
      <c r="E314" s="20">
        <v>5.2439999999999998</v>
      </c>
      <c r="F314" s="21">
        <f t="shared" si="40"/>
        <v>98.4765625</v>
      </c>
      <c r="G314" s="21">
        <f t="shared" si="41"/>
        <v>98.5390625</v>
      </c>
      <c r="H314" s="15">
        <f t="shared" si="42"/>
        <v>98.5078125</v>
      </c>
      <c r="I314" s="15">
        <f t="shared" si="43"/>
        <v>0.27853260869565216</v>
      </c>
      <c r="J314" s="16">
        <f t="shared" si="44"/>
        <v>98.786345108695656</v>
      </c>
      <c r="K314" s="16">
        <f t="shared" si="45"/>
        <v>19.958904109589042</v>
      </c>
      <c r="L314" s="16">
        <f>SUMIF('Cash Flows'!$A$2:$A$5628,ROW(),'Cash Flows'!$E$2:$E$5628)</f>
        <v>98.824850125739772</v>
      </c>
      <c r="M314" s="16">
        <f t="shared" si="46"/>
        <v>3.850501704411613E-2</v>
      </c>
      <c r="N314" s="16">
        <f t="shared" si="47"/>
        <v>3.850501704411613E-2</v>
      </c>
      <c r="O314" s="17">
        <f t="shared" si="48"/>
        <v>98.546317517044116</v>
      </c>
      <c r="P314" s="17" t="str">
        <f t="shared" si="49"/>
        <v>No</v>
      </c>
    </row>
    <row r="315" spans="1:16" ht="15" customHeight="1" x14ac:dyDescent="0.25">
      <c r="A315" s="18">
        <v>53646</v>
      </c>
      <c r="B315" s="19">
        <v>2.875</v>
      </c>
      <c r="C315" s="19">
        <v>70.025999999999996</v>
      </c>
      <c r="D315" s="19">
        <v>70.046000000000006</v>
      </c>
      <c r="E315" s="20">
        <v>5.3010000000000002</v>
      </c>
      <c r="F315" s="21">
        <f t="shared" si="40"/>
        <v>70.0859375</v>
      </c>
      <c r="G315" s="21">
        <f t="shared" si="41"/>
        <v>70.1484375</v>
      </c>
      <c r="H315" s="15">
        <f t="shared" si="42"/>
        <v>70.1171875</v>
      </c>
      <c r="I315" s="15">
        <f t="shared" si="43"/>
        <v>0.875</v>
      </c>
      <c r="J315" s="16">
        <f t="shared" si="44"/>
        <v>70.9921875</v>
      </c>
      <c r="K315" s="16">
        <f t="shared" si="45"/>
        <v>20.210958904109589</v>
      </c>
      <c r="L315" s="16">
        <f>SUMIF('Cash Flows'!$A$2:$A$5628,ROW(),'Cash Flows'!$E$2:$E$5628)</f>
        <v>70.949422143759563</v>
      </c>
      <c r="M315" s="16">
        <f t="shared" si="46"/>
        <v>-4.2765356240437313E-2</v>
      </c>
      <c r="N315" s="16">
        <f t="shared" si="47"/>
        <v>4.2765356240437313E-2</v>
      </c>
      <c r="O315" s="17">
        <f t="shared" si="48"/>
        <v>70.074422143759563</v>
      </c>
      <c r="P315" s="17" t="str">
        <f t="shared" si="49"/>
        <v>No</v>
      </c>
    </row>
    <row r="316" spans="1:16" ht="15" customHeight="1" x14ac:dyDescent="0.25">
      <c r="A316" s="18">
        <v>53738</v>
      </c>
      <c r="B316" s="19">
        <v>3</v>
      </c>
      <c r="C316" s="19">
        <v>71.135999999999996</v>
      </c>
      <c r="D316" s="19">
        <v>71.156000000000006</v>
      </c>
      <c r="E316" s="20">
        <v>5.3010000000000002</v>
      </c>
      <c r="F316" s="21">
        <f t="shared" si="40"/>
        <v>71.4296875</v>
      </c>
      <c r="G316" s="21">
        <f t="shared" si="41"/>
        <v>71.4921875</v>
      </c>
      <c r="H316" s="15">
        <f t="shared" si="42"/>
        <v>71.4609375</v>
      </c>
      <c r="I316" s="15">
        <f t="shared" si="43"/>
        <v>0.16304347826086957</v>
      </c>
      <c r="J316" s="16">
        <f t="shared" si="44"/>
        <v>71.623980978260875</v>
      </c>
      <c r="K316" s="16">
        <f t="shared" si="45"/>
        <v>20.463013698630139</v>
      </c>
      <c r="L316" s="16">
        <f>SUMIF('Cash Flows'!$A$2:$A$5628,ROW(),'Cash Flows'!$E$2:$E$5628)</f>
        <v>71.564553810260122</v>
      </c>
      <c r="M316" s="16">
        <f t="shared" si="46"/>
        <v>-5.9427168000752317E-2</v>
      </c>
      <c r="N316" s="16">
        <f t="shared" si="47"/>
        <v>5.9427168000752317E-2</v>
      </c>
      <c r="O316" s="17">
        <f t="shared" si="48"/>
        <v>71.401510331999248</v>
      </c>
      <c r="P316" s="17" t="str">
        <f t="shared" si="49"/>
        <v>No</v>
      </c>
    </row>
    <row r="317" spans="1:16" ht="15" customHeight="1" x14ac:dyDescent="0.25">
      <c r="A317" s="18">
        <v>53827</v>
      </c>
      <c r="B317" s="19">
        <v>3</v>
      </c>
      <c r="C317" s="19">
        <v>71.073999999999998</v>
      </c>
      <c r="D317" s="19">
        <v>71.093999999999994</v>
      </c>
      <c r="E317" s="20">
        <v>5.3010000000000002</v>
      </c>
      <c r="F317" s="21">
        <f t="shared" si="40"/>
        <v>71.234375</v>
      </c>
      <c r="G317" s="21">
        <f t="shared" si="41"/>
        <v>71.296875</v>
      </c>
      <c r="H317" s="15">
        <f t="shared" si="42"/>
        <v>71.265625</v>
      </c>
      <c r="I317" s="15">
        <f t="shared" si="43"/>
        <v>0.91304347826086951</v>
      </c>
      <c r="J317" s="16">
        <f t="shared" si="44"/>
        <v>72.178668478260875</v>
      </c>
      <c r="K317" s="16">
        <f t="shared" si="45"/>
        <v>20.706849315068492</v>
      </c>
      <c r="L317" s="16">
        <f>SUMIF('Cash Flows'!$A$2:$A$5628,ROW(),'Cash Flows'!$E$2:$E$5628)</f>
        <v>72.089724128757723</v>
      </c>
      <c r="M317" s="16">
        <f t="shared" si="46"/>
        <v>-8.8944349503151443E-2</v>
      </c>
      <c r="N317" s="16">
        <f t="shared" si="47"/>
        <v>8.8944349503151443E-2</v>
      </c>
      <c r="O317" s="17">
        <f t="shared" si="48"/>
        <v>71.176680650496849</v>
      </c>
      <c r="P317" s="17" t="str">
        <f t="shared" si="49"/>
        <v>No</v>
      </c>
    </row>
    <row r="318" spans="1:16" ht="15" customHeight="1" x14ac:dyDescent="0.25">
      <c r="A318" s="18">
        <v>53919</v>
      </c>
      <c r="B318" s="19">
        <v>2.75</v>
      </c>
      <c r="C318" s="19">
        <v>67.254000000000005</v>
      </c>
      <c r="D318" s="19">
        <v>67.274000000000001</v>
      </c>
      <c r="E318" s="20">
        <v>5.3120000000000003</v>
      </c>
      <c r="F318" s="21">
        <f t="shared" si="40"/>
        <v>67.796875</v>
      </c>
      <c r="G318" s="21">
        <f t="shared" si="41"/>
        <v>67.859375</v>
      </c>
      <c r="H318" s="15">
        <f t="shared" si="42"/>
        <v>67.828125</v>
      </c>
      <c r="I318" s="15">
        <f t="shared" si="43"/>
        <v>0.14945652173913043</v>
      </c>
      <c r="J318" s="16">
        <f t="shared" si="44"/>
        <v>67.977581521739125</v>
      </c>
      <c r="K318" s="16">
        <f t="shared" si="45"/>
        <v>20.958904109589042</v>
      </c>
      <c r="L318" s="16">
        <f>SUMIF('Cash Flows'!$A$2:$A$5628,ROW(),'Cash Flows'!$E$2:$E$5628)</f>
        <v>67.871493129348039</v>
      </c>
      <c r="M318" s="16">
        <f t="shared" si="46"/>
        <v>-0.10608839239108647</v>
      </c>
      <c r="N318" s="16">
        <f t="shared" si="47"/>
        <v>0.10608839239108647</v>
      </c>
      <c r="O318" s="17">
        <f t="shared" si="48"/>
        <v>67.722036607608914</v>
      </c>
      <c r="P318" s="17" t="str">
        <f t="shared" si="49"/>
        <v>No</v>
      </c>
    </row>
    <row r="319" spans="1:16" ht="15" customHeight="1" x14ac:dyDescent="0.25">
      <c r="A319" s="18">
        <v>54011</v>
      </c>
      <c r="B319" s="19">
        <v>2.75</v>
      </c>
      <c r="C319" s="19">
        <v>67.186000000000007</v>
      </c>
      <c r="D319" s="19">
        <v>67.206000000000003</v>
      </c>
      <c r="E319" s="20">
        <v>5.3120000000000003</v>
      </c>
      <c r="F319" s="21">
        <f t="shared" si="40"/>
        <v>67.5859375</v>
      </c>
      <c r="G319" s="21">
        <f t="shared" si="41"/>
        <v>67.6484375</v>
      </c>
      <c r="H319" s="15">
        <f t="shared" si="42"/>
        <v>67.6171875</v>
      </c>
      <c r="I319" s="15">
        <f t="shared" si="43"/>
        <v>0.83695652173913049</v>
      </c>
      <c r="J319" s="16">
        <f t="shared" si="44"/>
        <v>68.454144021739125</v>
      </c>
      <c r="K319" s="16">
        <f t="shared" si="45"/>
        <v>21.210958904109589</v>
      </c>
      <c r="L319" s="16">
        <f>SUMIF('Cash Flows'!$A$2:$A$5628,ROW(),'Cash Flows'!$E$2:$E$5628)</f>
        <v>68.310670772734269</v>
      </c>
      <c r="M319" s="16">
        <f t="shared" si="46"/>
        <v>-0.14347324900485603</v>
      </c>
      <c r="N319" s="16">
        <f t="shared" si="47"/>
        <v>0.14347324900485603</v>
      </c>
      <c r="O319" s="17">
        <f t="shared" si="48"/>
        <v>67.473714250995144</v>
      </c>
      <c r="P319" s="17" t="str">
        <f t="shared" si="49"/>
        <v>No</v>
      </c>
    </row>
    <row r="320" spans="1:16" ht="15" customHeight="1" x14ac:dyDescent="0.25">
      <c r="A320" s="18">
        <v>54103</v>
      </c>
      <c r="B320" s="19">
        <v>3</v>
      </c>
      <c r="C320" s="19">
        <v>70.171999999999997</v>
      </c>
      <c r="D320" s="19">
        <v>70.191999999999993</v>
      </c>
      <c r="E320" s="20">
        <v>5.3140000000000001</v>
      </c>
      <c r="F320" s="21">
        <f t="shared" si="40"/>
        <v>70.5390625</v>
      </c>
      <c r="G320" s="21">
        <f t="shared" si="41"/>
        <v>70.6015625</v>
      </c>
      <c r="H320" s="15">
        <f t="shared" si="42"/>
        <v>70.5703125</v>
      </c>
      <c r="I320" s="15">
        <f t="shared" si="43"/>
        <v>0.16304347826086957</v>
      </c>
      <c r="J320" s="16">
        <f t="shared" si="44"/>
        <v>70.733355978260875</v>
      </c>
      <c r="K320" s="16">
        <f t="shared" si="45"/>
        <v>21.463013698630139</v>
      </c>
      <c r="L320" s="16">
        <f>SUMIF('Cash Flows'!$A$2:$A$5628,ROW(),'Cash Flows'!$E$2:$E$5628)</f>
        <v>70.647285037994124</v>
      </c>
      <c r="M320" s="16">
        <f t="shared" si="46"/>
        <v>-8.6070940266750995E-2</v>
      </c>
      <c r="N320" s="16">
        <f t="shared" si="47"/>
        <v>8.6070940266750995E-2</v>
      </c>
      <c r="O320" s="17">
        <f t="shared" si="48"/>
        <v>70.484241559733249</v>
      </c>
      <c r="P320" s="17" t="str">
        <f t="shared" si="49"/>
        <v>No</v>
      </c>
    </row>
    <row r="321" spans="1:16" ht="15" customHeight="1" x14ac:dyDescent="0.25">
      <c r="A321" s="18">
        <v>54193</v>
      </c>
      <c r="B321" s="19">
        <v>3.125</v>
      </c>
      <c r="C321" s="19">
        <v>71.311999999999998</v>
      </c>
      <c r="D321" s="19">
        <v>72.012</v>
      </c>
      <c r="E321" s="20">
        <v>5.3109999999999999</v>
      </c>
      <c r="F321" s="21">
        <f t="shared" si="40"/>
        <v>71.9765625</v>
      </c>
      <c r="G321" s="21">
        <f t="shared" si="41"/>
        <v>72.0390625</v>
      </c>
      <c r="H321" s="15">
        <f t="shared" si="42"/>
        <v>72.0078125</v>
      </c>
      <c r="I321" s="15">
        <f t="shared" si="43"/>
        <v>0.95108695652173914</v>
      </c>
      <c r="J321" s="16">
        <f t="shared" si="44"/>
        <v>72.958899456521735</v>
      </c>
      <c r="K321" s="16">
        <f t="shared" si="45"/>
        <v>21.709589041095889</v>
      </c>
      <c r="L321" s="16">
        <f>SUMIF('Cash Flows'!$A$2:$A$5628,ROW(),'Cash Flows'!$E$2:$E$5628)</f>
        <v>72.866733333218704</v>
      </c>
      <c r="M321" s="16">
        <f t="shared" si="46"/>
        <v>-9.2166123303030645E-2</v>
      </c>
      <c r="N321" s="16">
        <f t="shared" si="47"/>
        <v>9.2166123303030645E-2</v>
      </c>
      <c r="O321" s="17">
        <f t="shared" si="48"/>
        <v>71.915646376696969</v>
      </c>
      <c r="P321" s="17" t="str">
        <f t="shared" si="49"/>
        <v>No</v>
      </c>
    </row>
    <row r="322" spans="1:16" ht="15" customHeight="1" x14ac:dyDescent="0.25">
      <c r="A322" s="18">
        <v>54285</v>
      </c>
      <c r="B322" s="19">
        <v>3</v>
      </c>
      <c r="C322" s="19">
        <v>70.046000000000006</v>
      </c>
      <c r="D322" s="19">
        <v>70.066000000000003</v>
      </c>
      <c r="E322" s="20">
        <v>5.3159999999999998</v>
      </c>
      <c r="F322" s="21">
        <f t="shared" ref="F322:F354" si="50">INT(C322)+INT(ROUND((C322-INT(C322))*1000,0)/10)/32+MOD(ROUND((C322-INT(C322))*1000,0),10)/256</f>
        <v>70.1484375</v>
      </c>
      <c r="G322" s="21">
        <f t="shared" ref="G322:G354" si="51">INT(D322)+INT(ROUND((D322-INT(D322))*1000,0)/10)/32+MOD(ROUND((D322-INT(D322))*1000,0),10)/256</f>
        <v>70.2109375</v>
      </c>
      <c r="H322" s="15">
        <f t="shared" ref="H322:H354" si="52">(F322+G322)/2</f>
        <v>70.1796875</v>
      </c>
      <c r="I322" s="15">
        <f t="shared" ref="I322:I354" si="53">(B322/2)*COUPDAYBS($R$2,A322,2,1)/COUPDAYS($R$2,A322,2,1)</f>
        <v>0.16304347826086957</v>
      </c>
      <c r="J322" s="16">
        <f t="shared" ref="J322:J354" si="54">H322+I322</f>
        <v>70.342730978260875</v>
      </c>
      <c r="K322" s="16">
        <f t="shared" ref="K322:K354" si="55">(A322-$R$2)/365</f>
        <v>21.961643835616439</v>
      </c>
      <c r="L322" s="16">
        <f>SUMIF('Cash Flows'!$A$2:$A$5628,ROW(),'Cash Flows'!$E$2:$E$5628)</f>
        <v>70.227846051509971</v>
      </c>
      <c r="M322" s="16">
        <f t="shared" ref="M322:M354" si="56">L322-J322</f>
        <v>-0.11488492675090356</v>
      </c>
      <c r="N322" s="16">
        <f t="shared" ref="N322:N354" si="57">ABS(M322)</f>
        <v>0.11488492675090356</v>
      </c>
      <c r="O322" s="17">
        <f t="shared" ref="O322:O354" si="58">L322-I322</f>
        <v>70.064802573249096</v>
      </c>
      <c r="P322" s="17" t="str">
        <f t="shared" ref="P322:P354" si="59">IF(AND(O322&gt;=F322,O322&lt;=G322),"Yes","No")</f>
        <v>No</v>
      </c>
    </row>
    <row r="323" spans="1:16" ht="15" customHeight="1" x14ac:dyDescent="0.25">
      <c r="A323" s="18">
        <v>54377</v>
      </c>
      <c r="B323" s="19">
        <v>3.375</v>
      </c>
      <c r="C323" s="19">
        <v>74.292000000000002</v>
      </c>
      <c r="D323" s="19">
        <v>74.311999999999998</v>
      </c>
      <c r="E323" s="20">
        <v>5.3070000000000004</v>
      </c>
      <c r="F323" s="21">
        <f t="shared" si="50"/>
        <v>74.9140625</v>
      </c>
      <c r="G323" s="21">
        <f t="shared" si="51"/>
        <v>74.9765625</v>
      </c>
      <c r="H323" s="15">
        <f t="shared" si="52"/>
        <v>74.9453125</v>
      </c>
      <c r="I323" s="15">
        <f t="shared" si="53"/>
        <v>1.0271739130434783</v>
      </c>
      <c r="J323" s="16">
        <f t="shared" si="54"/>
        <v>75.972486413043484</v>
      </c>
      <c r="K323" s="16">
        <f t="shared" si="55"/>
        <v>22.213698630136985</v>
      </c>
      <c r="L323" s="16">
        <f>SUMIF('Cash Flows'!$A$2:$A$5628,ROW(),'Cash Flows'!$E$2:$E$5628)</f>
        <v>75.857216674495987</v>
      </c>
      <c r="M323" s="16">
        <f t="shared" si="56"/>
        <v>-0.11526973854749656</v>
      </c>
      <c r="N323" s="16">
        <f t="shared" si="57"/>
        <v>0.11526973854749656</v>
      </c>
      <c r="O323" s="17">
        <f t="shared" si="58"/>
        <v>74.830042761452503</v>
      </c>
      <c r="P323" s="17" t="str">
        <f t="shared" si="59"/>
        <v>No</v>
      </c>
    </row>
    <row r="324" spans="1:16" ht="15" customHeight="1" x14ac:dyDescent="0.25">
      <c r="A324" s="18">
        <v>54469</v>
      </c>
      <c r="B324" s="19">
        <v>3</v>
      </c>
      <c r="C324" s="19">
        <v>69.256</v>
      </c>
      <c r="D324" s="19">
        <v>69.275999999999996</v>
      </c>
      <c r="E324" s="20">
        <v>5.3150000000000004</v>
      </c>
      <c r="F324" s="21">
        <f t="shared" si="50"/>
        <v>69.8046875</v>
      </c>
      <c r="G324" s="21">
        <f t="shared" si="51"/>
        <v>69.8671875</v>
      </c>
      <c r="H324" s="15">
        <f t="shared" si="52"/>
        <v>69.8359375</v>
      </c>
      <c r="I324" s="15">
        <f t="shared" si="53"/>
        <v>0.16304347826086957</v>
      </c>
      <c r="J324" s="16">
        <f t="shared" si="54"/>
        <v>69.998980978260875</v>
      </c>
      <c r="K324" s="16">
        <f t="shared" si="55"/>
        <v>22.465753424657535</v>
      </c>
      <c r="L324" s="16">
        <f>SUMIF('Cash Flows'!$A$2:$A$5628,ROW(),'Cash Flows'!$E$2:$E$5628)</f>
        <v>69.823007047990089</v>
      </c>
      <c r="M324" s="16">
        <f t="shared" si="56"/>
        <v>-0.17597393027078567</v>
      </c>
      <c r="N324" s="16">
        <f t="shared" si="57"/>
        <v>0.17597393027078567</v>
      </c>
      <c r="O324" s="17">
        <f t="shared" si="58"/>
        <v>69.659963569729214</v>
      </c>
      <c r="P324" s="17" t="str">
        <f t="shared" si="59"/>
        <v>No</v>
      </c>
    </row>
    <row r="325" spans="1:16" ht="15" customHeight="1" x14ac:dyDescent="0.25">
      <c r="A325" s="18">
        <v>54558</v>
      </c>
      <c r="B325" s="19">
        <v>2.875</v>
      </c>
      <c r="C325" s="19">
        <v>67.293999999999997</v>
      </c>
      <c r="D325" s="19">
        <v>67.313999999999993</v>
      </c>
      <c r="E325" s="20">
        <v>5.3220000000000001</v>
      </c>
      <c r="F325" s="21">
        <f t="shared" si="50"/>
        <v>67.921875</v>
      </c>
      <c r="G325" s="21">
        <f t="shared" si="51"/>
        <v>67.984375</v>
      </c>
      <c r="H325" s="15">
        <f t="shared" si="52"/>
        <v>67.953125</v>
      </c>
      <c r="I325" s="15">
        <f t="shared" si="53"/>
        <v>0.875</v>
      </c>
      <c r="J325" s="16">
        <f t="shared" si="54"/>
        <v>68.828125</v>
      </c>
      <c r="K325" s="16">
        <f t="shared" si="55"/>
        <v>22.709589041095889</v>
      </c>
      <c r="L325" s="16">
        <f>SUMIF('Cash Flows'!$A$2:$A$5628,ROW(),'Cash Flows'!$E$2:$E$5628)</f>
        <v>68.682629943681931</v>
      </c>
      <c r="M325" s="16">
        <f t="shared" si="56"/>
        <v>-0.14549505631806881</v>
      </c>
      <c r="N325" s="16">
        <f t="shared" si="57"/>
        <v>0.14549505631806881</v>
      </c>
      <c r="O325" s="17">
        <f t="shared" si="58"/>
        <v>67.807629943681931</v>
      </c>
      <c r="P325" s="17" t="str">
        <f t="shared" si="59"/>
        <v>No</v>
      </c>
    </row>
    <row r="326" spans="1:16" ht="15" customHeight="1" x14ac:dyDescent="0.25">
      <c r="A326" s="18">
        <v>54650</v>
      </c>
      <c r="B326" s="19">
        <v>2.25</v>
      </c>
      <c r="C326" s="19">
        <v>59.12</v>
      </c>
      <c r="D326" s="19">
        <v>59.14</v>
      </c>
      <c r="E326" s="20">
        <v>5.3369999999999997</v>
      </c>
      <c r="F326" s="21">
        <f t="shared" si="50"/>
        <v>59.375</v>
      </c>
      <c r="G326" s="21">
        <f t="shared" si="51"/>
        <v>59.4375</v>
      </c>
      <c r="H326" s="15">
        <f t="shared" si="52"/>
        <v>59.40625</v>
      </c>
      <c r="I326" s="15">
        <f t="shared" si="53"/>
        <v>0.12228260869565218</v>
      </c>
      <c r="J326" s="16">
        <f t="shared" si="54"/>
        <v>59.528532608695649</v>
      </c>
      <c r="K326" s="16">
        <f t="shared" si="55"/>
        <v>22.961643835616439</v>
      </c>
      <c r="L326" s="16">
        <f>SUMIF('Cash Flows'!$A$2:$A$5628,ROW(),'Cash Flows'!$E$2:$E$5628)</f>
        <v>59.314425515453841</v>
      </c>
      <c r="M326" s="16">
        <f t="shared" si="56"/>
        <v>-0.21410709324180743</v>
      </c>
      <c r="N326" s="16">
        <f t="shared" si="57"/>
        <v>0.21410709324180743</v>
      </c>
      <c r="O326" s="17">
        <f t="shared" si="58"/>
        <v>59.192142906758193</v>
      </c>
      <c r="P326" s="17" t="str">
        <f t="shared" si="59"/>
        <v>No</v>
      </c>
    </row>
    <row r="327" spans="1:16" ht="15" customHeight="1" x14ac:dyDescent="0.25">
      <c r="A327" s="18">
        <v>54742</v>
      </c>
      <c r="B327" s="19">
        <v>2.375</v>
      </c>
      <c r="C327" s="19">
        <v>60.276000000000003</v>
      </c>
      <c r="D327" s="19">
        <v>60.295999999999999</v>
      </c>
      <c r="E327" s="20">
        <v>5.33</v>
      </c>
      <c r="F327" s="21">
        <f t="shared" si="50"/>
        <v>60.8671875</v>
      </c>
      <c r="G327" s="21">
        <f t="shared" si="51"/>
        <v>60.9296875</v>
      </c>
      <c r="H327" s="15">
        <f t="shared" si="52"/>
        <v>60.8984375</v>
      </c>
      <c r="I327" s="15">
        <f t="shared" si="53"/>
        <v>0.72282608695652173</v>
      </c>
      <c r="J327" s="16">
        <f t="shared" si="54"/>
        <v>61.621263586956523</v>
      </c>
      <c r="K327" s="16">
        <f t="shared" si="55"/>
        <v>23.213698630136985</v>
      </c>
      <c r="L327" s="16">
        <f>SUMIF('Cash Flows'!$A$2:$A$5628,ROW(),'Cash Flows'!$E$2:$E$5628)</f>
        <v>61.374296645478836</v>
      </c>
      <c r="M327" s="16">
        <f t="shared" si="56"/>
        <v>-0.24696694147768739</v>
      </c>
      <c r="N327" s="16">
        <f t="shared" si="57"/>
        <v>0.24696694147768739</v>
      </c>
      <c r="O327" s="17">
        <f t="shared" si="58"/>
        <v>60.651470558522313</v>
      </c>
      <c r="P327" s="17" t="str">
        <f t="shared" si="59"/>
        <v>No</v>
      </c>
    </row>
    <row r="328" spans="1:16" ht="15" customHeight="1" x14ac:dyDescent="0.25">
      <c r="A328" s="18">
        <v>54834</v>
      </c>
      <c r="B328" s="19">
        <v>2</v>
      </c>
      <c r="C328" s="19">
        <v>55.194000000000003</v>
      </c>
      <c r="D328" s="19">
        <v>55.213999999999999</v>
      </c>
      <c r="E328" s="20">
        <v>5.3369999999999997</v>
      </c>
      <c r="F328" s="21">
        <f t="shared" si="50"/>
        <v>55.609375</v>
      </c>
      <c r="G328" s="21">
        <f t="shared" si="51"/>
        <v>55.671875</v>
      </c>
      <c r="H328" s="15">
        <f t="shared" si="52"/>
        <v>55.640625</v>
      </c>
      <c r="I328" s="15">
        <f t="shared" si="53"/>
        <v>0.10869565217391304</v>
      </c>
      <c r="J328" s="16">
        <f t="shared" si="54"/>
        <v>55.749320652173914</v>
      </c>
      <c r="K328" s="16">
        <f t="shared" si="55"/>
        <v>23.465753424657535</v>
      </c>
      <c r="L328" s="16">
        <f>SUMIF('Cash Flows'!$A$2:$A$5628,ROW(),'Cash Flows'!$E$2:$E$5628)</f>
        <v>55.436257304158829</v>
      </c>
      <c r="M328" s="16">
        <f t="shared" si="56"/>
        <v>-0.31306334801508484</v>
      </c>
      <c r="N328" s="16">
        <f t="shared" si="57"/>
        <v>0.31306334801508484</v>
      </c>
      <c r="O328" s="17">
        <f t="shared" si="58"/>
        <v>55.327561651984915</v>
      </c>
      <c r="P328" s="17" t="str">
        <f t="shared" si="59"/>
        <v>No</v>
      </c>
    </row>
    <row r="329" spans="1:16" ht="15" customHeight="1" x14ac:dyDescent="0.25">
      <c r="A329" s="18">
        <v>54923</v>
      </c>
      <c r="B329" s="19">
        <v>1.25</v>
      </c>
      <c r="C329" s="19">
        <v>45.106000000000002</v>
      </c>
      <c r="D329" s="19">
        <v>45.125999999999998</v>
      </c>
      <c r="E329" s="20">
        <v>5.3390000000000004</v>
      </c>
      <c r="F329" s="21">
        <f t="shared" si="50"/>
        <v>45.3359375</v>
      </c>
      <c r="G329" s="21">
        <f t="shared" si="51"/>
        <v>45.3984375</v>
      </c>
      <c r="H329" s="15">
        <f t="shared" si="52"/>
        <v>45.3671875</v>
      </c>
      <c r="I329" s="15">
        <f t="shared" si="53"/>
        <v>0.38043478260869568</v>
      </c>
      <c r="J329" s="16">
        <f t="shared" si="54"/>
        <v>45.747622282608695</v>
      </c>
      <c r="K329" s="16">
        <f t="shared" si="55"/>
        <v>23.709589041095889</v>
      </c>
      <c r="L329" s="16">
        <f>SUMIF('Cash Flows'!$A$2:$A$5628,ROW(),'Cash Flows'!$E$2:$E$5628)</f>
        <v>45.224739666360364</v>
      </c>
      <c r="M329" s="16">
        <f t="shared" si="56"/>
        <v>-0.52288261624833154</v>
      </c>
      <c r="N329" s="16">
        <f t="shared" si="57"/>
        <v>0.52288261624833154</v>
      </c>
      <c r="O329" s="17">
        <f t="shared" si="58"/>
        <v>44.844304883751668</v>
      </c>
      <c r="P329" s="17" t="str">
        <f t="shared" si="59"/>
        <v>No</v>
      </c>
    </row>
    <row r="330" spans="1:16" ht="15" customHeight="1" x14ac:dyDescent="0.25">
      <c r="A330" s="18">
        <v>55015</v>
      </c>
      <c r="B330" s="19">
        <v>1.375</v>
      </c>
      <c r="C330" s="19">
        <v>46.213999999999999</v>
      </c>
      <c r="D330" s="19">
        <v>46.234000000000002</v>
      </c>
      <c r="E330" s="20">
        <v>5.3460000000000001</v>
      </c>
      <c r="F330" s="21">
        <f t="shared" si="50"/>
        <v>46.671875</v>
      </c>
      <c r="G330" s="21">
        <f t="shared" si="51"/>
        <v>46.734375</v>
      </c>
      <c r="H330" s="15">
        <f t="shared" si="52"/>
        <v>46.703125</v>
      </c>
      <c r="I330" s="15">
        <f t="shared" si="53"/>
        <v>7.4728260869565216E-2</v>
      </c>
      <c r="J330" s="16">
        <f t="shared" si="54"/>
        <v>46.777853260869563</v>
      </c>
      <c r="K330" s="16">
        <f t="shared" si="55"/>
        <v>23.961643835616439</v>
      </c>
      <c r="L330" s="16">
        <f>SUMIF('Cash Flows'!$A$2:$A$5628,ROW(),'Cash Flows'!$E$2:$E$5628)</f>
        <v>46.353260816722006</v>
      </c>
      <c r="M330" s="16">
        <f t="shared" si="56"/>
        <v>-0.42459244414755659</v>
      </c>
      <c r="N330" s="16">
        <f t="shared" si="57"/>
        <v>0.42459244414755659</v>
      </c>
      <c r="O330" s="17">
        <f t="shared" si="58"/>
        <v>46.278532555852443</v>
      </c>
      <c r="P330" s="17" t="str">
        <f t="shared" si="59"/>
        <v>No</v>
      </c>
    </row>
    <row r="331" spans="1:16" ht="15" customHeight="1" x14ac:dyDescent="0.25">
      <c r="A331" s="18">
        <v>55107</v>
      </c>
      <c r="B331" s="19">
        <v>1.625</v>
      </c>
      <c r="C331" s="19">
        <v>49.244</v>
      </c>
      <c r="D331" s="19">
        <v>49.264000000000003</v>
      </c>
      <c r="E331" s="20">
        <v>5.3460000000000001</v>
      </c>
      <c r="F331" s="21">
        <f t="shared" si="50"/>
        <v>49.765625</v>
      </c>
      <c r="G331" s="21">
        <f t="shared" si="51"/>
        <v>49.828125</v>
      </c>
      <c r="H331" s="15">
        <f t="shared" si="52"/>
        <v>49.796875</v>
      </c>
      <c r="I331" s="15">
        <f t="shared" si="53"/>
        <v>0.49456521739130432</v>
      </c>
      <c r="J331" s="16">
        <f t="shared" si="54"/>
        <v>50.291440217391305</v>
      </c>
      <c r="K331" s="16">
        <f t="shared" si="55"/>
        <v>24.213698630136985</v>
      </c>
      <c r="L331" s="16">
        <f>SUMIF('Cash Flows'!$A$2:$A$5628,ROW(),'Cash Flows'!$E$2:$E$5628)</f>
        <v>49.959774068127096</v>
      </c>
      <c r="M331" s="16">
        <f t="shared" si="56"/>
        <v>-0.33166614926420834</v>
      </c>
      <c r="N331" s="16">
        <f t="shared" si="57"/>
        <v>0.33166614926420834</v>
      </c>
      <c r="O331" s="17">
        <f t="shared" si="58"/>
        <v>49.465208850735792</v>
      </c>
      <c r="P331" s="17" t="str">
        <f t="shared" si="59"/>
        <v>No</v>
      </c>
    </row>
    <row r="332" spans="1:16" ht="15" customHeight="1" x14ac:dyDescent="0.25">
      <c r="A332" s="18">
        <v>55199</v>
      </c>
      <c r="B332" s="19">
        <v>1.875</v>
      </c>
      <c r="C332" s="19">
        <v>52.293999999999997</v>
      </c>
      <c r="D332" s="19">
        <v>52.314</v>
      </c>
      <c r="E332" s="20">
        <v>5.343</v>
      </c>
      <c r="F332" s="21">
        <f t="shared" si="50"/>
        <v>52.921875</v>
      </c>
      <c r="G332" s="21">
        <f t="shared" si="51"/>
        <v>52.984375</v>
      </c>
      <c r="H332" s="15">
        <f t="shared" si="52"/>
        <v>52.953125</v>
      </c>
      <c r="I332" s="15">
        <f t="shared" si="53"/>
        <v>0.10190217391304347</v>
      </c>
      <c r="J332" s="16">
        <f t="shared" si="54"/>
        <v>53.055027173913047</v>
      </c>
      <c r="K332" s="16">
        <f t="shared" si="55"/>
        <v>24.465753424657535</v>
      </c>
      <c r="L332" s="16">
        <f>SUMIF('Cash Flows'!$A$2:$A$5628,ROW(),'Cash Flows'!$E$2:$E$5628)</f>
        <v>52.791663426270695</v>
      </c>
      <c r="M332" s="16">
        <f t="shared" si="56"/>
        <v>-0.2633637476423516</v>
      </c>
      <c r="N332" s="16">
        <f t="shared" si="57"/>
        <v>0.2633637476423516</v>
      </c>
      <c r="O332" s="17">
        <f t="shared" si="58"/>
        <v>52.689761252357648</v>
      </c>
      <c r="P332" s="17" t="str">
        <f t="shared" si="59"/>
        <v>No</v>
      </c>
    </row>
    <row r="333" spans="1:16" ht="15" customHeight="1" x14ac:dyDescent="0.25">
      <c r="A333" s="18">
        <v>55288</v>
      </c>
      <c r="B333" s="19">
        <v>2.375</v>
      </c>
      <c r="C333" s="19">
        <v>59.194000000000003</v>
      </c>
      <c r="D333" s="19">
        <v>59.213999999999999</v>
      </c>
      <c r="E333" s="20">
        <v>5.3319999999999999</v>
      </c>
      <c r="F333" s="21">
        <f t="shared" si="50"/>
        <v>59.609375</v>
      </c>
      <c r="G333" s="21">
        <f t="shared" si="51"/>
        <v>59.671875</v>
      </c>
      <c r="H333" s="15">
        <f t="shared" si="52"/>
        <v>59.640625</v>
      </c>
      <c r="I333" s="15">
        <f t="shared" si="53"/>
        <v>0.72282608695652173</v>
      </c>
      <c r="J333" s="16">
        <f t="shared" si="54"/>
        <v>60.363451086956523</v>
      </c>
      <c r="K333" s="16">
        <f t="shared" si="55"/>
        <v>24.709589041095889</v>
      </c>
      <c r="L333" s="16">
        <f>SUMIF('Cash Flows'!$A$2:$A$5628,ROW(),'Cash Flows'!$E$2:$E$5628)</f>
        <v>60.176661149909265</v>
      </c>
      <c r="M333" s="16">
        <f t="shared" si="56"/>
        <v>-0.18678993704725855</v>
      </c>
      <c r="N333" s="16">
        <f t="shared" si="57"/>
        <v>0.18678993704725855</v>
      </c>
      <c r="O333" s="17">
        <f t="shared" si="58"/>
        <v>59.453835062952741</v>
      </c>
      <c r="P333" s="17" t="str">
        <f t="shared" si="59"/>
        <v>No</v>
      </c>
    </row>
    <row r="334" spans="1:16" ht="15" customHeight="1" x14ac:dyDescent="0.25">
      <c r="A334" s="18">
        <v>55380</v>
      </c>
      <c r="B334" s="19">
        <v>2</v>
      </c>
      <c r="C334" s="19">
        <v>54.064</v>
      </c>
      <c r="D334" s="19">
        <v>54.084000000000003</v>
      </c>
      <c r="E334" s="20">
        <v>5.3390000000000004</v>
      </c>
      <c r="F334" s="21">
        <f t="shared" si="50"/>
        <v>54.203125</v>
      </c>
      <c r="G334" s="21">
        <f t="shared" si="51"/>
        <v>54.265625</v>
      </c>
      <c r="H334" s="15">
        <f t="shared" si="52"/>
        <v>54.234375</v>
      </c>
      <c r="I334" s="15">
        <f t="shared" si="53"/>
        <v>0.10869565217391304</v>
      </c>
      <c r="J334" s="16">
        <f t="shared" si="54"/>
        <v>54.343070652173914</v>
      </c>
      <c r="K334" s="16">
        <f t="shared" si="55"/>
        <v>24.961643835616439</v>
      </c>
      <c r="L334" s="16">
        <f>SUMIF('Cash Flows'!$A$2:$A$5628,ROW(),'Cash Flows'!$E$2:$E$5628)</f>
        <v>54.125460540702811</v>
      </c>
      <c r="M334" s="16">
        <f t="shared" si="56"/>
        <v>-0.2176101114711031</v>
      </c>
      <c r="N334" s="16">
        <f t="shared" si="57"/>
        <v>0.2176101114711031</v>
      </c>
      <c r="O334" s="17">
        <f t="shared" si="58"/>
        <v>54.016764888528897</v>
      </c>
      <c r="P334" s="17" t="str">
        <f t="shared" si="59"/>
        <v>No</v>
      </c>
    </row>
    <row r="335" spans="1:16" ht="15" customHeight="1" x14ac:dyDescent="0.25">
      <c r="A335" s="18">
        <v>55472</v>
      </c>
      <c r="B335" s="19">
        <v>1.875</v>
      </c>
      <c r="C335" s="19">
        <v>52.09</v>
      </c>
      <c r="D335" s="19">
        <v>52.11</v>
      </c>
      <c r="E335" s="20">
        <v>5.3369999999999997</v>
      </c>
      <c r="F335" s="21">
        <f t="shared" si="50"/>
        <v>52.28125</v>
      </c>
      <c r="G335" s="21">
        <f t="shared" si="51"/>
        <v>52.34375</v>
      </c>
      <c r="H335" s="15">
        <f t="shared" si="52"/>
        <v>52.3125</v>
      </c>
      <c r="I335" s="15">
        <f t="shared" si="53"/>
        <v>0.57065217391304346</v>
      </c>
      <c r="J335" s="16">
        <f t="shared" si="54"/>
        <v>52.883152173913047</v>
      </c>
      <c r="K335" s="16">
        <f t="shared" si="55"/>
        <v>25.213698630136985</v>
      </c>
      <c r="L335" s="16">
        <f>SUMIF('Cash Flows'!$A$2:$A$5628,ROW(),'Cash Flows'!$E$2:$E$5628)</f>
        <v>52.629489425201321</v>
      </c>
      <c r="M335" s="16">
        <f t="shared" si="56"/>
        <v>-0.25366274871172578</v>
      </c>
      <c r="N335" s="16">
        <f t="shared" si="57"/>
        <v>0.25366274871172578</v>
      </c>
      <c r="O335" s="17">
        <f t="shared" si="58"/>
        <v>52.058837251288274</v>
      </c>
      <c r="P335" s="17" t="str">
        <f t="shared" si="59"/>
        <v>No</v>
      </c>
    </row>
    <row r="336" spans="1:16" ht="15" customHeight="1" x14ac:dyDescent="0.25">
      <c r="A336" s="18">
        <v>55564</v>
      </c>
      <c r="B336" s="19">
        <v>2.25</v>
      </c>
      <c r="C336" s="19">
        <v>57.103999999999999</v>
      </c>
      <c r="D336" s="19">
        <v>57.124000000000002</v>
      </c>
      <c r="E336" s="20">
        <v>5.3280000000000003</v>
      </c>
      <c r="F336" s="21">
        <f t="shared" si="50"/>
        <v>57.328125</v>
      </c>
      <c r="G336" s="21">
        <f t="shared" si="51"/>
        <v>57.390625</v>
      </c>
      <c r="H336" s="15">
        <f t="shared" si="52"/>
        <v>57.359375</v>
      </c>
      <c r="I336" s="15">
        <f t="shared" si="53"/>
        <v>0.12228260869565218</v>
      </c>
      <c r="J336" s="16">
        <f t="shared" si="54"/>
        <v>57.481657608695649</v>
      </c>
      <c r="K336" s="16">
        <f t="shared" si="55"/>
        <v>25.465753424657535</v>
      </c>
      <c r="L336" s="16">
        <f>SUMIF('Cash Flows'!$A$2:$A$5628,ROW(),'Cash Flows'!$E$2:$E$5628)</f>
        <v>57.278433664036271</v>
      </c>
      <c r="M336" s="16">
        <f t="shared" si="56"/>
        <v>-0.20322394465937776</v>
      </c>
      <c r="N336" s="16">
        <f t="shared" si="57"/>
        <v>0.20322394465937776</v>
      </c>
      <c r="O336" s="17">
        <f t="shared" si="58"/>
        <v>57.156151055340622</v>
      </c>
      <c r="P336" s="17" t="str">
        <f t="shared" si="59"/>
        <v>No</v>
      </c>
    </row>
    <row r="337" spans="1:16" ht="15" customHeight="1" x14ac:dyDescent="0.25">
      <c r="A337" s="18">
        <v>55654</v>
      </c>
      <c r="B337" s="19">
        <v>2.875</v>
      </c>
      <c r="C337" s="19">
        <v>65.316000000000003</v>
      </c>
      <c r="D337" s="19">
        <v>66.016000000000005</v>
      </c>
      <c r="E337" s="20">
        <v>5.3120000000000003</v>
      </c>
      <c r="F337" s="21">
        <f t="shared" si="50"/>
        <v>65.9921875</v>
      </c>
      <c r="G337" s="21">
        <f t="shared" si="51"/>
        <v>66.0546875</v>
      </c>
      <c r="H337" s="15">
        <f t="shared" si="52"/>
        <v>66.0234375</v>
      </c>
      <c r="I337" s="15">
        <f t="shared" si="53"/>
        <v>0.875</v>
      </c>
      <c r="J337" s="16">
        <f t="shared" si="54"/>
        <v>66.8984375</v>
      </c>
      <c r="K337" s="16">
        <f t="shared" si="55"/>
        <v>25.712328767123289</v>
      </c>
      <c r="L337" s="16">
        <f>SUMIF('Cash Flows'!$A$2:$A$5628,ROW(),'Cash Flows'!$E$2:$E$5628)</f>
        <v>66.741075012641559</v>
      </c>
      <c r="M337" s="16">
        <f t="shared" si="56"/>
        <v>-0.15736248735844072</v>
      </c>
      <c r="N337" s="16">
        <f t="shared" si="57"/>
        <v>0.15736248735844072</v>
      </c>
      <c r="O337" s="17">
        <f t="shared" si="58"/>
        <v>65.866075012641559</v>
      </c>
      <c r="P337" s="17" t="str">
        <f t="shared" si="59"/>
        <v>No</v>
      </c>
    </row>
    <row r="338" spans="1:16" ht="15" customHeight="1" x14ac:dyDescent="0.25">
      <c r="A338" s="18">
        <v>55746</v>
      </c>
      <c r="B338" s="19">
        <v>3</v>
      </c>
      <c r="C338" s="19">
        <v>67.19</v>
      </c>
      <c r="D338" s="19">
        <v>67.209999999999994</v>
      </c>
      <c r="E338" s="20">
        <v>5.3109999999999999</v>
      </c>
      <c r="F338" s="21">
        <f t="shared" si="50"/>
        <v>67.59375</v>
      </c>
      <c r="G338" s="21">
        <f t="shared" si="51"/>
        <v>67.65625</v>
      </c>
      <c r="H338" s="15">
        <f t="shared" si="52"/>
        <v>67.625</v>
      </c>
      <c r="I338" s="15">
        <f t="shared" si="53"/>
        <v>0.16304347826086957</v>
      </c>
      <c r="J338" s="16">
        <f t="shared" si="54"/>
        <v>67.788043478260875</v>
      </c>
      <c r="K338" s="16">
        <f t="shared" si="55"/>
        <v>25.964383561643835</v>
      </c>
      <c r="L338" s="16">
        <f>SUMIF('Cash Flows'!$A$2:$A$5628,ROW(),'Cash Flows'!$E$2:$E$5628)</f>
        <v>67.68087692462862</v>
      </c>
      <c r="M338" s="16">
        <f t="shared" si="56"/>
        <v>-0.10716655363225414</v>
      </c>
      <c r="N338" s="16">
        <f t="shared" si="57"/>
        <v>0.10716655363225414</v>
      </c>
      <c r="O338" s="17">
        <f t="shared" si="58"/>
        <v>67.517833446367746</v>
      </c>
      <c r="P338" s="17" t="str">
        <f t="shared" si="59"/>
        <v>No</v>
      </c>
    </row>
    <row r="339" spans="1:16" ht="15" customHeight="1" x14ac:dyDescent="0.25">
      <c r="A339" s="18">
        <v>55838</v>
      </c>
      <c r="B339" s="19">
        <v>4</v>
      </c>
      <c r="C339" s="19">
        <v>81.225999999999999</v>
      </c>
      <c r="D339" s="19">
        <v>81.245999999999995</v>
      </c>
      <c r="E339" s="20">
        <v>5.2939999999999996</v>
      </c>
      <c r="F339" s="21">
        <f t="shared" si="50"/>
        <v>81.7109375</v>
      </c>
      <c r="G339" s="21">
        <f t="shared" si="51"/>
        <v>81.7734375</v>
      </c>
      <c r="H339" s="15">
        <f t="shared" si="52"/>
        <v>81.7421875</v>
      </c>
      <c r="I339" s="15">
        <f t="shared" si="53"/>
        <v>1.2173913043478262</v>
      </c>
      <c r="J339" s="16">
        <f t="shared" si="54"/>
        <v>82.959578804347828</v>
      </c>
      <c r="K339" s="16">
        <f t="shared" si="55"/>
        <v>26.216438356164385</v>
      </c>
      <c r="L339" s="16">
        <f>SUMIF('Cash Flows'!$A$2:$A$5628,ROW(),'Cash Flows'!$E$2:$E$5628)</f>
        <v>82.942361744768817</v>
      </c>
      <c r="M339" s="16">
        <f t="shared" si="56"/>
        <v>-1.7217059579010652E-2</v>
      </c>
      <c r="N339" s="16">
        <f t="shared" si="57"/>
        <v>1.7217059579010652E-2</v>
      </c>
      <c r="O339" s="17">
        <f t="shared" si="58"/>
        <v>81.724970440420989</v>
      </c>
      <c r="P339" s="17" t="str">
        <f t="shared" si="59"/>
        <v>Yes</v>
      </c>
    </row>
    <row r="340" spans="1:16" ht="15" customHeight="1" x14ac:dyDescent="0.25">
      <c r="A340" s="18">
        <v>55930</v>
      </c>
      <c r="B340" s="19">
        <v>3.625</v>
      </c>
      <c r="C340" s="19">
        <v>76.096000000000004</v>
      </c>
      <c r="D340" s="19">
        <v>76.116</v>
      </c>
      <c r="E340" s="20">
        <v>5.2960000000000003</v>
      </c>
      <c r="F340" s="21">
        <f t="shared" si="50"/>
        <v>76.3046875</v>
      </c>
      <c r="G340" s="21">
        <f t="shared" si="51"/>
        <v>76.3671875</v>
      </c>
      <c r="H340" s="15">
        <f t="shared" si="52"/>
        <v>76.3359375</v>
      </c>
      <c r="I340" s="15">
        <f t="shared" si="53"/>
        <v>0.19701086956521738</v>
      </c>
      <c r="J340" s="16">
        <f t="shared" si="54"/>
        <v>76.532948369565219</v>
      </c>
      <c r="K340" s="16">
        <f t="shared" si="55"/>
        <v>26.468493150684932</v>
      </c>
      <c r="L340" s="16">
        <f>SUMIF('Cash Flows'!$A$2:$A$5628,ROW(),'Cash Flows'!$E$2:$E$5628)</f>
        <v>76.476080522410513</v>
      </c>
      <c r="M340" s="16">
        <f t="shared" si="56"/>
        <v>-5.6867847154705942E-2</v>
      </c>
      <c r="N340" s="16">
        <f t="shared" si="57"/>
        <v>5.6867847154705942E-2</v>
      </c>
      <c r="O340" s="17">
        <f t="shared" si="58"/>
        <v>76.279069652845294</v>
      </c>
      <c r="P340" s="17" t="str">
        <f t="shared" si="59"/>
        <v>No</v>
      </c>
    </row>
    <row r="341" spans="1:16" ht="15" customHeight="1" x14ac:dyDescent="0.25">
      <c r="A341" s="18">
        <v>56019</v>
      </c>
      <c r="B341" s="19">
        <v>3.625</v>
      </c>
      <c r="C341" s="19">
        <v>76.069999999999993</v>
      </c>
      <c r="D341" s="19">
        <v>76.09</v>
      </c>
      <c r="E341" s="20">
        <v>5.2939999999999996</v>
      </c>
      <c r="F341" s="21">
        <f t="shared" si="50"/>
        <v>76.21875</v>
      </c>
      <c r="G341" s="21">
        <f t="shared" si="51"/>
        <v>76.28125</v>
      </c>
      <c r="H341" s="15">
        <f t="shared" si="52"/>
        <v>76.25</v>
      </c>
      <c r="I341" s="15">
        <f t="shared" si="53"/>
        <v>1.1032608695652173</v>
      </c>
      <c r="J341" s="16">
        <f t="shared" si="54"/>
        <v>77.353260869565219</v>
      </c>
      <c r="K341" s="16">
        <f t="shared" si="55"/>
        <v>26.712328767123289</v>
      </c>
      <c r="L341" s="16">
        <f>SUMIF('Cash Flows'!$A$2:$A$5628,ROW(),'Cash Flows'!$E$2:$E$5628)</f>
        <v>77.325970463209387</v>
      </c>
      <c r="M341" s="16">
        <f t="shared" si="56"/>
        <v>-2.7290406355831465E-2</v>
      </c>
      <c r="N341" s="16">
        <f t="shared" si="57"/>
        <v>2.7290406355831465E-2</v>
      </c>
      <c r="O341" s="17">
        <f t="shared" si="58"/>
        <v>76.222709593644169</v>
      </c>
      <c r="P341" s="17" t="str">
        <f t="shared" si="59"/>
        <v>Yes</v>
      </c>
    </row>
    <row r="342" spans="1:16" ht="15" customHeight="1" x14ac:dyDescent="0.25">
      <c r="A342" s="18">
        <v>56111</v>
      </c>
      <c r="B342" s="19">
        <v>4.125</v>
      </c>
      <c r="C342" s="19">
        <v>83.12</v>
      </c>
      <c r="D342" s="19">
        <v>83.14</v>
      </c>
      <c r="E342" s="20">
        <v>5.2850000000000001</v>
      </c>
      <c r="F342" s="21">
        <f t="shared" si="50"/>
        <v>83.375</v>
      </c>
      <c r="G342" s="21">
        <f t="shared" si="51"/>
        <v>83.4375</v>
      </c>
      <c r="H342" s="15">
        <f t="shared" si="52"/>
        <v>83.40625</v>
      </c>
      <c r="I342" s="15">
        <f t="shared" si="53"/>
        <v>0.22418478260869565</v>
      </c>
      <c r="J342" s="16">
        <f t="shared" si="54"/>
        <v>83.630434782608702</v>
      </c>
      <c r="K342" s="16">
        <f t="shared" si="55"/>
        <v>26.964383561643835</v>
      </c>
      <c r="L342" s="16">
        <f>SUMIF('Cash Flows'!$A$2:$A$5628,ROW(),'Cash Flows'!$E$2:$E$5628)</f>
        <v>83.628784880381232</v>
      </c>
      <c r="M342" s="16">
        <f t="shared" si="56"/>
        <v>-1.6499022274700792E-3</v>
      </c>
      <c r="N342" s="16">
        <f t="shared" si="57"/>
        <v>1.6499022274700792E-3</v>
      </c>
      <c r="O342" s="17">
        <f t="shared" si="58"/>
        <v>83.40460009777253</v>
      </c>
      <c r="P342" s="17" t="str">
        <f t="shared" si="59"/>
        <v>Yes</v>
      </c>
    </row>
    <row r="343" spans="1:16" ht="15" customHeight="1" x14ac:dyDescent="0.25">
      <c r="A343" s="18">
        <v>56203</v>
      </c>
      <c r="B343" s="19">
        <v>4.75</v>
      </c>
      <c r="C343" s="19">
        <v>92.126000000000005</v>
      </c>
      <c r="D343" s="19">
        <v>92.146000000000001</v>
      </c>
      <c r="E343" s="20">
        <v>5.2750000000000004</v>
      </c>
      <c r="F343" s="21">
        <f t="shared" si="50"/>
        <v>92.3984375</v>
      </c>
      <c r="G343" s="21">
        <f t="shared" si="51"/>
        <v>92.4609375</v>
      </c>
      <c r="H343" s="15">
        <f t="shared" si="52"/>
        <v>92.4296875</v>
      </c>
      <c r="I343" s="15">
        <f t="shared" si="53"/>
        <v>1.4456521739130435</v>
      </c>
      <c r="J343" s="16">
        <f t="shared" si="54"/>
        <v>93.875339673913047</v>
      </c>
      <c r="K343" s="16">
        <f t="shared" si="55"/>
        <v>27.216438356164385</v>
      </c>
      <c r="L343" s="16">
        <f>SUMIF('Cash Flows'!$A$2:$A$5628,ROW(),'Cash Flows'!$E$2:$E$5628)</f>
        <v>93.920631294822641</v>
      </c>
      <c r="M343" s="16">
        <f t="shared" si="56"/>
        <v>4.5291620909594599E-2</v>
      </c>
      <c r="N343" s="16">
        <f t="shared" si="57"/>
        <v>4.5291620909594599E-2</v>
      </c>
      <c r="O343" s="17">
        <f t="shared" si="58"/>
        <v>92.474979120909595</v>
      </c>
      <c r="P343" s="17" t="str">
        <f t="shared" si="59"/>
        <v>No</v>
      </c>
    </row>
    <row r="344" spans="1:16" ht="15" customHeight="1" x14ac:dyDescent="0.25">
      <c r="A344" s="18">
        <v>56295</v>
      </c>
      <c r="B344" s="19">
        <v>4.25</v>
      </c>
      <c r="C344" s="19">
        <v>85.034000000000006</v>
      </c>
      <c r="D344" s="19">
        <v>85.054000000000002</v>
      </c>
      <c r="E344" s="20">
        <v>5.2789999999999999</v>
      </c>
      <c r="F344" s="21">
        <f t="shared" si="50"/>
        <v>85.109375</v>
      </c>
      <c r="G344" s="21">
        <f t="shared" si="51"/>
        <v>85.171875</v>
      </c>
      <c r="H344" s="15">
        <f t="shared" si="52"/>
        <v>85.140625</v>
      </c>
      <c r="I344" s="15">
        <f t="shared" si="53"/>
        <v>0.23097826086956522</v>
      </c>
      <c r="J344" s="16">
        <f t="shared" si="54"/>
        <v>85.371603260869563</v>
      </c>
      <c r="K344" s="16">
        <f t="shared" si="55"/>
        <v>27.468493150684932</v>
      </c>
      <c r="L344" s="16">
        <f>SUMIF('Cash Flows'!$A$2:$A$5628,ROW(),'Cash Flows'!$E$2:$E$5628)</f>
        <v>85.404963870711171</v>
      </c>
      <c r="M344" s="16">
        <f t="shared" si="56"/>
        <v>3.336060984160838E-2</v>
      </c>
      <c r="N344" s="16">
        <f t="shared" si="57"/>
        <v>3.336060984160838E-2</v>
      </c>
      <c r="O344" s="17">
        <f t="shared" si="58"/>
        <v>85.173985609841608</v>
      </c>
      <c r="P344" s="17" t="str">
        <f t="shared" si="59"/>
        <v>No</v>
      </c>
    </row>
    <row r="345" spans="1:16" ht="15" customHeight="1" x14ac:dyDescent="0.25">
      <c r="A345" s="18">
        <v>56384</v>
      </c>
      <c r="B345" s="19">
        <v>4.625</v>
      </c>
      <c r="C345" s="19">
        <v>90.194000000000003</v>
      </c>
      <c r="D345" s="19">
        <v>90.213999999999999</v>
      </c>
      <c r="E345" s="20">
        <v>5.2690000000000001</v>
      </c>
      <c r="F345" s="21">
        <f t="shared" si="50"/>
        <v>90.609375</v>
      </c>
      <c r="G345" s="21">
        <f t="shared" si="51"/>
        <v>90.671875</v>
      </c>
      <c r="H345" s="15">
        <f t="shared" si="52"/>
        <v>90.640625</v>
      </c>
      <c r="I345" s="15">
        <f t="shared" si="53"/>
        <v>1.4076086956521738</v>
      </c>
      <c r="J345" s="16">
        <f t="shared" si="54"/>
        <v>92.048233695652172</v>
      </c>
      <c r="K345" s="16">
        <f t="shared" si="55"/>
        <v>27.712328767123289</v>
      </c>
      <c r="L345" s="16">
        <f>SUMIF('Cash Flows'!$A$2:$A$5628,ROW(),'Cash Flows'!$E$2:$E$5628)</f>
        <v>92.079293447040797</v>
      </c>
      <c r="M345" s="16">
        <f t="shared" si="56"/>
        <v>3.1059751388625045E-2</v>
      </c>
      <c r="N345" s="16">
        <f t="shared" si="57"/>
        <v>3.1059751388625045E-2</v>
      </c>
      <c r="O345" s="17">
        <f t="shared" si="58"/>
        <v>90.671684751388625</v>
      </c>
      <c r="P345" s="17" t="str">
        <f t="shared" si="59"/>
        <v>Yes</v>
      </c>
    </row>
    <row r="346" spans="1:16" ht="15" customHeight="1" x14ac:dyDescent="0.25">
      <c r="A346" s="18">
        <v>56476</v>
      </c>
      <c r="B346" s="19">
        <v>4.25</v>
      </c>
      <c r="C346" s="19">
        <v>85.025999999999996</v>
      </c>
      <c r="D346" s="19">
        <v>85.046000000000006</v>
      </c>
      <c r="E346" s="20">
        <v>5.2720000000000002</v>
      </c>
      <c r="F346" s="21">
        <f t="shared" si="50"/>
        <v>85.0859375</v>
      </c>
      <c r="G346" s="21">
        <f t="shared" si="51"/>
        <v>85.1484375</v>
      </c>
      <c r="H346" s="15">
        <f t="shared" si="52"/>
        <v>85.1171875</v>
      </c>
      <c r="I346" s="15">
        <f t="shared" si="53"/>
        <v>0.23097826086956522</v>
      </c>
      <c r="J346" s="16">
        <f t="shared" si="54"/>
        <v>85.348165760869563</v>
      </c>
      <c r="K346" s="16">
        <f t="shared" si="55"/>
        <v>27.964383561643835</v>
      </c>
      <c r="L346" s="16">
        <f>SUMIF('Cash Flows'!$A$2:$A$5628,ROW(),'Cash Flows'!$E$2:$E$5628)</f>
        <v>85.385995087787677</v>
      </c>
      <c r="M346" s="16">
        <f t="shared" si="56"/>
        <v>3.7829326918114248E-2</v>
      </c>
      <c r="N346" s="16">
        <f t="shared" si="57"/>
        <v>3.7829326918114248E-2</v>
      </c>
      <c r="O346" s="17">
        <f t="shared" si="58"/>
        <v>85.155016826918114</v>
      </c>
      <c r="P346" s="17" t="str">
        <f t="shared" si="59"/>
        <v>No</v>
      </c>
    </row>
    <row r="347" spans="1:16" ht="15" customHeight="1" x14ac:dyDescent="0.25">
      <c r="A347" s="18">
        <v>56568</v>
      </c>
      <c r="B347" s="19">
        <v>4.5</v>
      </c>
      <c r="C347" s="19">
        <v>88.233999999999995</v>
      </c>
      <c r="D347" s="19">
        <v>88.254000000000005</v>
      </c>
      <c r="E347" s="20">
        <v>5.2670000000000003</v>
      </c>
      <c r="F347" s="21">
        <f t="shared" si="50"/>
        <v>88.734375</v>
      </c>
      <c r="G347" s="21">
        <f t="shared" si="51"/>
        <v>88.796875</v>
      </c>
      <c r="H347" s="15">
        <f t="shared" si="52"/>
        <v>88.765625</v>
      </c>
      <c r="I347" s="15">
        <f t="shared" si="53"/>
        <v>1.3695652173913044</v>
      </c>
      <c r="J347" s="16">
        <f t="shared" si="54"/>
        <v>90.135190217391298</v>
      </c>
      <c r="K347" s="16">
        <f t="shared" si="55"/>
        <v>28.216438356164385</v>
      </c>
      <c r="L347" s="16">
        <f>SUMIF('Cash Flows'!$A$2:$A$5628,ROW(),'Cash Flows'!$E$2:$E$5628)</f>
        <v>90.215587124226488</v>
      </c>
      <c r="M347" s="16">
        <f t="shared" si="56"/>
        <v>8.0396906835190407E-2</v>
      </c>
      <c r="N347" s="16">
        <f t="shared" si="57"/>
        <v>8.0396906835190407E-2</v>
      </c>
      <c r="O347" s="17">
        <f t="shared" si="58"/>
        <v>88.84602190683519</v>
      </c>
      <c r="P347" s="17" t="str">
        <f t="shared" si="59"/>
        <v>No</v>
      </c>
    </row>
    <row r="348" spans="1:16" ht="15" customHeight="1" x14ac:dyDescent="0.25">
      <c r="A348" s="18">
        <v>56660</v>
      </c>
      <c r="B348" s="19">
        <v>4.625</v>
      </c>
      <c r="C348" s="19">
        <v>90.191999999999993</v>
      </c>
      <c r="D348" s="19">
        <v>90.212000000000003</v>
      </c>
      <c r="E348" s="20">
        <v>5.2610000000000001</v>
      </c>
      <c r="F348" s="21">
        <f t="shared" si="50"/>
        <v>90.6015625</v>
      </c>
      <c r="G348" s="21">
        <f t="shared" si="51"/>
        <v>90.6640625</v>
      </c>
      <c r="H348" s="15">
        <f t="shared" si="52"/>
        <v>90.6328125</v>
      </c>
      <c r="I348" s="15">
        <f t="shared" si="53"/>
        <v>0.25135869565217389</v>
      </c>
      <c r="J348" s="16">
        <f t="shared" si="54"/>
        <v>90.884171195652172</v>
      </c>
      <c r="K348" s="16">
        <f t="shared" si="55"/>
        <v>28.468493150684932</v>
      </c>
      <c r="L348" s="16">
        <f>SUMIF('Cash Flows'!$A$2:$A$5628,ROW(),'Cash Flows'!$E$2:$E$5628)</f>
        <v>90.957804788591432</v>
      </c>
      <c r="M348" s="16">
        <f t="shared" si="56"/>
        <v>7.3633592939259529E-2</v>
      </c>
      <c r="N348" s="16">
        <f t="shared" si="57"/>
        <v>7.3633592939259529E-2</v>
      </c>
      <c r="O348" s="17">
        <f t="shared" si="58"/>
        <v>90.70644609293926</v>
      </c>
      <c r="P348" s="17" t="str">
        <f t="shared" si="59"/>
        <v>No</v>
      </c>
    </row>
    <row r="349" spans="1:16" ht="15" customHeight="1" x14ac:dyDescent="0.25">
      <c r="A349" s="18">
        <v>56749</v>
      </c>
      <c r="B349" s="19">
        <v>4.75</v>
      </c>
      <c r="C349" s="19">
        <v>92.135999999999996</v>
      </c>
      <c r="D349" s="19">
        <v>92.156000000000006</v>
      </c>
      <c r="E349" s="20">
        <v>5.2590000000000003</v>
      </c>
      <c r="F349" s="21">
        <f t="shared" si="50"/>
        <v>92.4296875</v>
      </c>
      <c r="G349" s="21">
        <f t="shared" si="51"/>
        <v>92.4921875</v>
      </c>
      <c r="H349" s="15">
        <f t="shared" si="52"/>
        <v>92.4609375</v>
      </c>
      <c r="I349" s="15">
        <f t="shared" si="53"/>
        <v>1.4456521739130435</v>
      </c>
      <c r="J349" s="16">
        <f t="shared" si="54"/>
        <v>93.906589673913047</v>
      </c>
      <c r="K349" s="16">
        <f t="shared" si="55"/>
        <v>28.712328767123289</v>
      </c>
      <c r="L349" s="16">
        <f>SUMIF('Cash Flows'!$A$2:$A$5628,ROW(),'Cash Flows'!$E$2:$E$5628)</f>
        <v>94.044758379918534</v>
      </c>
      <c r="M349" s="16">
        <f t="shared" si="56"/>
        <v>0.13816870600548725</v>
      </c>
      <c r="N349" s="16">
        <f t="shared" si="57"/>
        <v>0.13816870600548725</v>
      </c>
      <c r="O349" s="17">
        <f t="shared" si="58"/>
        <v>92.599106206005487</v>
      </c>
      <c r="P349" s="17" t="str">
        <f t="shared" si="59"/>
        <v>No</v>
      </c>
    </row>
    <row r="350" spans="1:16" ht="15" customHeight="1" x14ac:dyDescent="0.25">
      <c r="A350" s="18">
        <v>56841</v>
      </c>
      <c r="B350" s="19">
        <v>4.75</v>
      </c>
      <c r="C350" s="19">
        <v>92.134</v>
      </c>
      <c r="D350" s="19">
        <v>92.153999999999996</v>
      </c>
      <c r="E350" s="20">
        <v>5.258</v>
      </c>
      <c r="F350" s="21">
        <f t="shared" si="50"/>
        <v>92.421875</v>
      </c>
      <c r="G350" s="21">
        <f t="shared" si="51"/>
        <v>92.484375</v>
      </c>
      <c r="H350" s="15">
        <f t="shared" si="52"/>
        <v>92.453125</v>
      </c>
      <c r="I350" s="15">
        <f t="shared" si="53"/>
        <v>0.25815217391304346</v>
      </c>
      <c r="J350" s="16">
        <f t="shared" si="54"/>
        <v>92.711277173913047</v>
      </c>
      <c r="K350" s="16">
        <f t="shared" si="55"/>
        <v>28.964383561643835</v>
      </c>
      <c r="L350" s="16">
        <f>SUMIF('Cash Flows'!$A$2:$A$5628,ROW(),'Cash Flows'!$E$2:$E$5628)</f>
        <v>92.883287694963443</v>
      </c>
      <c r="M350" s="16">
        <f t="shared" si="56"/>
        <v>0.17201052105039594</v>
      </c>
      <c r="N350" s="16">
        <f t="shared" si="57"/>
        <v>0.17201052105039594</v>
      </c>
      <c r="O350" s="17">
        <f t="shared" si="58"/>
        <v>92.625135521050396</v>
      </c>
      <c r="P350" s="17" t="str">
        <f t="shared" si="59"/>
        <v>No</v>
      </c>
    </row>
    <row r="351" spans="1:16" ht="15" customHeight="1" x14ac:dyDescent="0.25">
      <c r="A351" s="18">
        <v>56933</v>
      </c>
      <c r="B351" s="19">
        <v>4.625</v>
      </c>
      <c r="C351" s="19">
        <v>90.183999999999997</v>
      </c>
      <c r="D351" s="19">
        <v>90.203999999999994</v>
      </c>
      <c r="E351" s="20">
        <v>5.2549999999999999</v>
      </c>
      <c r="F351" s="21">
        <f t="shared" si="50"/>
        <v>90.578125</v>
      </c>
      <c r="G351" s="21">
        <f t="shared" si="51"/>
        <v>90.640625</v>
      </c>
      <c r="H351" s="15">
        <f t="shared" si="52"/>
        <v>90.609375</v>
      </c>
      <c r="I351" s="15">
        <f t="shared" si="53"/>
        <v>1.4076086956521738</v>
      </c>
      <c r="J351" s="16">
        <f t="shared" si="54"/>
        <v>92.016983695652172</v>
      </c>
      <c r="K351" s="16">
        <f t="shared" si="55"/>
        <v>29.216438356164385</v>
      </c>
      <c r="L351" s="16">
        <f>SUMIF('Cash Flows'!$A$2:$A$5628,ROW(),'Cash Flows'!$E$2:$E$5628)</f>
        <v>92.195134619265559</v>
      </c>
      <c r="M351" s="16">
        <f t="shared" si="56"/>
        <v>0.17815092361338714</v>
      </c>
      <c r="N351" s="16">
        <f t="shared" si="57"/>
        <v>0.17815092361338714</v>
      </c>
      <c r="O351" s="17">
        <f t="shared" si="58"/>
        <v>90.787525923613387</v>
      </c>
      <c r="P351" s="17" t="str">
        <f t="shared" si="59"/>
        <v>No</v>
      </c>
    </row>
    <row r="352" spans="1:16" ht="15" customHeight="1" x14ac:dyDescent="0.25">
      <c r="A352" s="18">
        <v>57025</v>
      </c>
      <c r="B352" s="19">
        <v>4.75</v>
      </c>
      <c r="C352" s="19">
        <v>92.156000000000006</v>
      </c>
      <c r="D352" s="19">
        <v>92.176000000000002</v>
      </c>
      <c r="E352" s="20">
        <v>5.2489999999999997</v>
      </c>
      <c r="F352" s="21">
        <f t="shared" si="50"/>
        <v>92.4921875</v>
      </c>
      <c r="G352" s="21">
        <f t="shared" si="51"/>
        <v>92.5546875</v>
      </c>
      <c r="H352" s="15">
        <f t="shared" si="52"/>
        <v>92.5234375</v>
      </c>
      <c r="I352" s="15">
        <f t="shared" si="53"/>
        <v>0.25815217391304346</v>
      </c>
      <c r="J352" s="16">
        <f t="shared" si="54"/>
        <v>92.781589673913047</v>
      </c>
      <c r="K352" s="16">
        <f t="shared" si="55"/>
        <v>29.468493150684932</v>
      </c>
      <c r="L352" s="16">
        <f>SUMIF('Cash Flows'!$A$2:$A$5628,ROW(),'Cash Flows'!$E$2:$E$5628)</f>
        <v>92.9531748202822</v>
      </c>
      <c r="M352" s="16">
        <f t="shared" si="56"/>
        <v>0.17158514636915356</v>
      </c>
      <c r="N352" s="16">
        <f t="shared" si="57"/>
        <v>0.17158514636915356</v>
      </c>
      <c r="O352" s="17">
        <f t="shared" si="58"/>
        <v>92.695022646369154</v>
      </c>
      <c r="P352" s="17" t="str">
        <f t="shared" si="59"/>
        <v>No</v>
      </c>
    </row>
    <row r="353" spans="1:16" ht="15" customHeight="1" x14ac:dyDescent="0.25">
      <c r="A353" s="18">
        <v>57115</v>
      </c>
      <c r="B353" s="19">
        <v>5</v>
      </c>
      <c r="C353" s="19">
        <v>96.09</v>
      </c>
      <c r="D353" s="19">
        <v>96.11</v>
      </c>
      <c r="E353" s="20">
        <v>5.2439999999999998</v>
      </c>
      <c r="F353" s="21">
        <f t="shared" si="50"/>
        <v>96.28125</v>
      </c>
      <c r="G353" s="21">
        <f t="shared" si="51"/>
        <v>96.34375</v>
      </c>
      <c r="H353" s="15">
        <f t="shared" si="52"/>
        <v>96.3125</v>
      </c>
      <c r="I353" s="15">
        <f t="shared" si="53"/>
        <v>1.5217391304347827</v>
      </c>
      <c r="J353" s="16">
        <f t="shared" si="54"/>
        <v>97.834239130434781</v>
      </c>
      <c r="K353" s="16">
        <f t="shared" si="55"/>
        <v>29.715068493150685</v>
      </c>
      <c r="L353" s="16">
        <f>SUMIF('Cash Flows'!$A$2:$A$5628,ROW(),'Cash Flows'!$E$2:$E$5628)</f>
        <v>98.040940279250478</v>
      </c>
      <c r="M353" s="16">
        <f t="shared" si="56"/>
        <v>0.20670114881569646</v>
      </c>
      <c r="N353" s="16">
        <f t="shared" si="57"/>
        <v>0.20670114881569646</v>
      </c>
      <c r="O353" s="17">
        <f t="shared" si="58"/>
        <v>96.519201148815696</v>
      </c>
      <c r="P353" s="17" t="str">
        <f t="shared" si="59"/>
        <v>No</v>
      </c>
    </row>
    <row r="354" spans="1:16" ht="15" customHeight="1" x14ac:dyDescent="0.25">
      <c r="A354" s="18">
        <v>57207</v>
      </c>
      <c r="B354" s="19">
        <v>5.125</v>
      </c>
      <c r="C354" s="19">
        <v>98.06</v>
      </c>
      <c r="D354" s="19">
        <v>98.08</v>
      </c>
      <c r="E354" s="20">
        <v>5.2409999999999997</v>
      </c>
      <c r="F354" s="21">
        <f t="shared" si="50"/>
        <v>98.1875</v>
      </c>
      <c r="G354" s="21">
        <f t="shared" si="51"/>
        <v>98.25</v>
      </c>
      <c r="H354" s="15">
        <f t="shared" si="52"/>
        <v>98.21875</v>
      </c>
      <c r="I354" s="15">
        <f t="shared" si="53"/>
        <v>0.27853260869565216</v>
      </c>
      <c r="J354" s="16">
        <f t="shared" si="54"/>
        <v>98.497282608695656</v>
      </c>
      <c r="K354" s="16">
        <f t="shared" si="55"/>
        <v>29.967123287671232</v>
      </c>
      <c r="L354" s="16">
        <f>SUMIF('Cash Flows'!$A$2:$A$5628,ROW(),'Cash Flows'!$E$2:$E$5628)</f>
        <v>98.743893836296706</v>
      </c>
      <c r="M354" s="16">
        <f t="shared" si="56"/>
        <v>0.24661122760105059</v>
      </c>
      <c r="N354" s="16">
        <f t="shared" si="57"/>
        <v>0.24661122760105059</v>
      </c>
      <c r="O354" s="17">
        <f t="shared" si="58"/>
        <v>98.465361227601051</v>
      </c>
      <c r="P354" s="17" t="str">
        <f t="shared" si="59"/>
        <v>No</v>
      </c>
    </row>
  </sheetData>
  <conditionalFormatting sqref="K2:K354">
    <cfRule type="colorScale" priority="1">
      <colorScale>
        <cfvo type="min"/>
        <cfvo type="percentile" val="50"/>
        <cfvo type="max"/>
        <color rgb="FFF4CCCC"/>
        <color rgb="FFFFFFFF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628"/>
  <sheetViews>
    <sheetView showGridLines="0" zoomScale="160" zoomScaleNormal="160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13.5703125" bestFit="1" customWidth="1"/>
    <col min="3" max="3" width="25.140625" bestFit="1" customWidth="1"/>
    <col min="4" max="4" width="14.7109375" bestFit="1" customWidth="1"/>
    <col min="5" max="5" width="13.5703125" bestFit="1" customWidth="1"/>
  </cols>
  <sheetData>
    <row r="1" spans="1:5" x14ac:dyDescent="0.25">
      <c r="A1" s="30" t="s">
        <v>63</v>
      </c>
      <c r="B1" s="30" t="s">
        <v>29</v>
      </c>
      <c r="C1" s="30" t="s">
        <v>64</v>
      </c>
      <c r="D1" s="30" t="s">
        <v>31</v>
      </c>
      <c r="E1" s="30" t="s">
        <v>65</v>
      </c>
    </row>
    <row r="2" spans="1:5" x14ac:dyDescent="0.25">
      <c r="A2" s="17">
        <v>2</v>
      </c>
      <c r="B2" s="31">
        <v>46280</v>
      </c>
      <c r="C2" s="32">
        <f>INDEX('Input Data'!$B:$B,A2)/2+IF(A2&lt;&gt;A3,100,0)</f>
        <v>102.3125</v>
      </c>
      <c r="D2" s="33">
        <f>INDEX('ZCB Curve - Payment Dates'!$D$2:$D$246,MATCH(B2,'ZCB Curve - Payment Dates'!$A$2:$A$246,0))</f>
        <v>0.99886929050437945</v>
      </c>
      <c r="E2" s="32">
        <f t="shared" ref="E2:E65" si="0">C2*D2</f>
        <v>102.19681428472933</v>
      </c>
    </row>
    <row r="3" spans="1:5" x14ac:dyDescent="0.25">
      <c r="A3" s="17">
        <v>3</v>
      </c>
      <c r="B3" s="31">
        <v>46295</v>
      </c>
      <c r="C3" s="32">
        <f>INDEX('Input Data'!$B:$B,A3)/2+IF(A3&lt;&gt;A4,100,0)</f>
        <v>100.4375</v>
      </c>
      <c r="D3" s="33">
        <f>INDEX('ZCB Curve - Payment Dates'!$D$2:$D$246,MATCH(B3,'ZCB Curve - Payment Dates'!$A$2:$A$246,0))</f>
        <v>0.9973127951237063</v>
      </c>
      <c r="E3" s="32">
        <f t="shared" si="0"/>
        <v>100.16760386023725</v>
      </c>
    </row>
    <row r="4" spans="1:5" x14ac:dyDescent="0.25">
      <c r="A4" s="17">
        <v>4</v>
      </c>
      <c r="B4" s="31">
        <v>46295</v>
      </c>
      <c r="C4" s="32">
        <f>INDEX('Input Data'!$B:$B,A4)/2+IF(A4&lt;&gt;A5,100,0)</f>
        <v>100.8125</v>
      </c>
      <c r="D4" s="33">
        <f>INDEX('ZCB Curve - Payment Dates'!$D$2:$D$246,MATCH(B4,'ZCB Curve - Payment Dates'!$A$2:$A$246,0))</f>
        <v>0.9973127951237063</v>
      </c>
      <c r="E4" s="32">
        <f t="shared" si="0"/>
        <v>100.54159615840864</v>
      </c>
    </row>
    <row r="5" spans="1:5" x14ac:dyDescent="0.25">
      <c r="A5" s="17">
        <v>5</v>
      </c>
      <c r="B5" s="31">
        <v>46295</v>
      </c>
      <c r="C5" s="32">
        <f>INDEX('Input Data'!$B:$B,A5)/2+IF(A5&lt;&gt;A6,100,0)</f>
        <v>101.75</v>
      </c>
      <c r="D5" s="33">
        <f>INDEX('ZCB Curve - Payment Dates'!$D$2:$D$246,MATCH(B5,'ZCB Curve - Payment Dates'!$A$2:$A$246,0))</f>
        <v>0.9973127951237063</v>
      </c>
      <c r="E5" s="32">
        <f t="shared" si="0"/>
        <v>101.47657690383711</v>
      </c>
    </row>
    <row r="6" spans="1:5" x14ac:dyDescent="0.25">
      <c r="A6" s="17">
        <v>6</v>
      </c>
      <c r="B6" s="31">
        <v>46310</v>
      </c>
      <c r="C6" s="32">
        <f>INDEX('Input Data'!$B:$B,A6)/2+IF(A6&lt;&gt;A7,100,0)</f>
        <v>102.3125</v>
      </c>
      <c r="D6" s="33">
        <f>INDEX('ZCB Curve - Payment Dates'!$D$2:$D$246,MATCH(B6,'ZCB Curve - Payment Dates'!$A$2:$A$246,0))</f>
        <v>0.99574243370863547</v>
      </c>
      <c r="E6" s="32">
        <f t="shared" si="0"/>
        <v>101.87689774881477</v>
      </c>
    </row>
    <row r="7" spans="1:5" x14ac:dyDescent="0.25">
      <c r="A7" s="17">
        <v>7</v>
      </c>
      <c r="B7" s="31">
        <v>46326</v>
      </c>
      <c r="C7" s="32">
        <f>INDEX('Input Data'!$B:$B,A7)/2+IF(A7&lt;&gt;A8,100,0)</f>
        <v>100.5625</v>
      </c>
      <c r="D7" s="33">
        <f>INDEX('ZCB Curve - Payment Dates'!$D$2:$D$246,MATCH(B7,'ZCB Curve - Payment Dates'!$A$2:$A$246,0))</f>
        <v>0.99405055111674689</v>
      </c>
      <c r="E7" s="32">
        <f t="shared" si="0"/>
        <v>99.964208546677852</v>
      </c>
    </row>
    <row r="8" spans="1:5" x14ac:dyDescent="0.25">
      <c r="A8" s="17">
        <v>8</v>
      </c>
      <c r="B8" s="31">
        <v>46326</v>
      </c>
      <c r="C8" s="32">
        <f>INDEX('Input Data'!$B:$B,A8)/2+IF(A8&lt;&gt;A9,100,0)</f>
        <v>100.8125</v>
      </c>
      <c r="D8" s="33">
        <f>INDEX('ZCB Curve - Payment Dates'!$D$2:$D$246,MATCH(B8,'ZCB Curve - Payment Dates'!$A$2:$A$246,0))</f>
        <v>0.99405055111674689</v>
      </c>
      <c r="E8" s="32">
        <f t="shared" si="0"/>
        <v>100.21272118445705</v>
      </c>
    </row>
    <row r="9" spans="1:5" x14ac:dyDescent="0.25">
      <c r="A9" s="17">
        <v>9</v>
      </c>
      <c r="B9" s="31">
        <v>46326</v>
      </c>
      <c r="C9" s="32">
        <f>INDEX('Input Data'!$B:$B,A9)/2+IF(A9&lt;&gt;A10,100,0)</f>
        <v>102.0625</v>
      </c>
      <c r="D9" s="33">
        <f>INDEX('ZCB Curve - Payment Dates'!$D$2:$D$246,MATCH(B9,'ZCB Curve - Payment Dates'!$A$2:$A$246,0))</f>
        <v>0.99405055111674689</v>
      </c>
      <c r="E9" s="32">
        <f t="shared" si="0"/>
        <v>101.45528437335298</v>
      </c>
    </row>
    <row r="10" spans="1:5" x14ac:dyDescent="0.25">
      <c r="A10" s="17">
        <v>10</v>
      </c>
      <c r="B10" s="31">
        <v>46341</v>
      </c>
      <c r="C10" s="32">
        <f>INDEX('Input Data'!$B:$B,A10)/2+IF(A10&lt;&gt;A11,100,0)</f>
        <v>101</v>
      </c>
      <c r="D10" s="33">
        <f>INDEX('ZCB Curve - Payment Dates'!$D$2:$D$246,MATCH(B10,'ZCB Curve - Payment Dates'!$A$2:$A$246,0))</f>
        <v>0.99245367292309439</v>
      </c>
      <c r="E10" s="32">
        <f t="shared" si="0"/>
        <v>100.23782096523253</v>
      </c>
    </row>
    <row r="11" spans="1:5" x14ac:dyDescent="0.25">
      <c r="A11" s="17">
        <v>11</v>
      </c>
      <c r="B11" s="31">
        <v>46341</v>
      </c>
      <c r="C11" s="32">
        <f>INDEX('Input Data'!$B:$B,A11)/2+IF(A11&lt;&gt;A12,100,0)</f>
        <v>102.3125</v>
      </c>
      <c r="D11" s="33">
        <f>INDEX('ZCB Curve - Payment Dates'!$D$2:$D$246,MATCH(B11,'ZCB Curve - Payment Dates'!$A$2:$A$246,0))</f>
        <v>0.99245367292309439</v>
      </c>
      <c r="E11" s="32">
        <f t="shared" si="0"/>
        <v>101.54041641094409</v>
      </c>
    </row>
    <row r="12" spans="1:5" x14ac:dyDescent="0.25">
      <c r="A12" s="17">
        <v>12</v>
      </c>
      <c r="B12" s="31">
        <v>46341</v>
      </c>
      <c r="C12" s="32">
        <f>INDEX('Input Data'!$B:$B,A12)/2+IF(A12&lt;&gt;A13,100,0)</f>
        <v>103.25</v>
      </c>
      <c r="D12" s="33">
        <f>INDEX('ZCB Curve - Payment Dates'!$D$2:$D$246,MATCH(B12,'ZCB Curve - Payment Dates'!$A$2:$A$246,0))</f>
        <v>0.99245367292309439</v>
      </c>
      <c r="E12" s="32">
        <f t="shared" si="0"/>
        <v>102.4708417293095</v>
      </c>
    </row>
    <row r="13" spans="1:5" x14ac:dyDescent="0.25">
      <c r="A13" s="17">
        <v>13</v>
      </c>
      <c r="B13" s="31">
        <v>46356</v>
      </c>
      <c r="C13" s="32">
        <f>INDEX('Input Data'!$B:$B,A13)/2+IF(A13&lt;&gt;A14,100,0)</f>
        <v>100.625</v>
      </c>
      <c r="D13" s="33">
        <f>INDEX('ZCB Curve - Payment Dates'!$D$2:$D$246,MATCH(B13,'ZCB Curve - Payment Dates'!$A$2:$A$246,0))</f>
        <v>0.99084497326382592</v>
      </c>
      <c r="E13" s="32">
        <f t="shared" si="0"/>
        <v>99.70377543467248</v>
      </c>
    </row>
    <row r="14" spans="1:5" x14ac:dyDescent="0.25">
      <c r="A14" s="17">
        <v>14</v>
      </c>
      <c r="B14" s="31">
        <v>46356</v>
      </c>
      <c r="C14" s="32">
        <f>INDEX('Input Data'!$B:$B,A14)/2+IF(A14&lt;&gt;A15,100,0)</f>
        <v>100.8125</v>
      </c>
      <c r="D14" s="33">
        <f>INDEX('ZCB Curve - Payment Dates'!$D$2:$D$246,MATCH(B14,'ZCB Curve - Payment Dates'!$A$2:$A$246,0))</f>
        <v>0.99084497326382592</v>
      </c>
      <c r="E14" s="32">
        <f t="shared" si="0"/>
        <v>99.889558867159451</v>
      </c>
    </row>
    <row r="15" spans="1:5" x14ac:dyDescent="0.25">
      <c r="A15" s="17">
        <v>15</v>
      </c>
      <c r="B15" s="31">
        <v>46356</v>
      </c>
      <c r="C15" s="32">
        <f>INDEX('Input Data'!$B:$B,A15)/2+IF(A15&lt;&gt;A16,100,0)</f>
        <v>102.125</v>
      </c>
      <c r="D15" s="33">
        <f>INDEX('ZCB Curve - Payment Dates'!$D$2:$D$246,MATCH(B15,'ZCB Curve - Payment Dates'!$A$2:$A$246,0))</f>
        <v>0.99084497326382592</v>
      </c>
      <c r="E15" s="32">
        <f t="shared" si="0"/>
        <v>101.19004289456822</v>
      </c>
    </row>
    <row r="16" spans="1:5" x14ac:dyDescent="0.25">
      <c r="A16" s="17">
        <v>16</v>
      </c>
      <c r="B16" s="31">
        <v>46371</v>
      </c>
      <c r="C16" s="32">
        <f>INDEX('Input Data'!$B:$B,A16)/2+IF(A16&lt;&gt;A17,100,0)</f>
        <v>102.1875</v>
      </c>
      <c r="D16" s="33">
        <f>INDEX('ZCB Curve - Payment Dates'!$D$2:$D$246,MATCH(B16,'ZCB Curve - Payment Dates'!$A$2:$A$246,0))</f>
        <v>0.98922507612573607</v>
      </c>
      <c r="E16" s="32">
        <f t="shared" si="0"/>
        <v>101.08643746659865</v>
      </c>
    </row>
    <row r="17" spans="1:5" x14ac:dyDescent="0.25">
      <c r="A17" s="17">
        <v>17</v>
      </c>
      <c r="B17" s="31">
        <v>46387</v>
      </c>
      <c r="C17" s="32">
        <f>INDEX('Input Data'!$B:$B,A17)/2+IF(A17&lt;&gt;A18,100,0)</f>
        <v>100.625</v>
      </c>
      <c r="D17" s="33">
        <f>INDEX('ZCB Curve - Payment Dates'!$D$2:$D$246,MATCH(B17,'ZCB Curve - Payment Dates'!$A$2:$A$246,0))</f>
        <v>0.987487116303851</v>
      </c>
      <c r="E17" s="32">
        <f t="shared" si="0"/>
        <v>99.365891078075009</v>
      </c>
    </row>
    <row r="18" spans="1:5" x14ac:dyDescent="0.25">
      <c r="A18" s="17">
        <v>18</v>
      </c>
      <c r="B18" s="31">
        <v>46387</v>
      </c>
      <c r="C18" s="32">
        <f>INDEX('Input Data'!$B:$B,A18)/2+IF(A18&lt;&gt;A19,100,0)</f>
        <v>100.875</v>
      </c>
      <c r="D18" s="33">
        <f>INDEX('ZCB Curve - Payment Dates'!$D$2:$D$246,MATCH(B18,'ZCB Curve - Payment Dates'!$A$2:$A$246,0))</f>
        <v>0.987487116303851</v>
      </c>
      <c r="E18" s="32">
        <f t="shared" si="0"/>
        <v>99.612762857150969</v>
      </c>
    </row>
    <row r="19" spans="1:5" x14ac:dyDescent="0.25">
      <c r="A19" s="17">
        <v>19</v>
      </c>
      <c r="B19" s="31">
        <v>46387</v>
      </c>
      <c r="C19" s="32">
        <f>INDEX('Input Data'!$B:$B,A19)/2+IF(A19&lt;&gt;A20,100,0)</f>
        <v>102.125</v>
      </c>
      <c r="D19" s="33">
        <f>INDEX('ZCB Curve - Payment Dates'!$D$2:$D$246,MATCH(B19,'ZCB Curve - Payment Dates'!$A$2:$A$246,0))</f>
        <v>0.987487116303851</v>
      </c>
      <c r="E19" s="32">
        <f t="shared" si="0"/>
        <v>100.84712175253078</v>
      </c>
    </row>
    <row r="20" spans="1:5" x14ac:dyDescent="0.25">
      <c r="A20" s="17">
        <v>20</v>
      </c>
      <c r="B20" s="31">
        <v>46402</v>
      </c>
      <c r="C20" s="32">
        <f>INDEX('Input Data'!$B:$B,A20)/2+IF(A20&lt;&gt;A21,100,0)</f>
        <v>102</v>
      </c>
      <c r="D20" s="33">
        <f>INDEX('ZCB Curve - Payment Dates'!$D$2:$D$246,MATCH(B20,'ZCB Curve - Payment Dates'!$A$2:$A$246,0))</f>
        <v>0.98584597894241466</v>
      </c>
      <c r="E20" s="32">
        <f t="shared" si="0"/>
        <v>100.5562898521263</v>
      </c>
    </row>
    <row r="21" spans="1:5" x14ac:dyDescent="0.25">
      <c r="A21" s="17">
        <v>21</v>
      </c>
      <c r="B21" s="31">
        <v>46418</v>
      </c>
      <c r="C21" s="32">
        <f>INDEX('Input Data'!$B:$B,A21)/2+IF(A21&lt;&gt;A22,100,0)</f>
        <v>100.75</v>
      </c>
      <c r="D21" s="33">
        <f>INDEX('ZCB Curve - Payment Dates'!$D$2:$D$246,MATCH(B21,'ZCB Curve - Payment Dates'!$A$2:$A$246,0))</f>
        <v>0.98408668818349121</v>
      </c>
      <c r="E21" s="32">
        <f t="shared" si="0"/>
        <v>99.146733834486739</v>
      </c>
    </row>
    <row r="22" spans="1:5" x14ac:dyDescent="0.25">
      <c r="A22" s="17">
        <v>22</v>
      </c>
      <c r="B22" s="31">
        <v>46418</v>
      </c>
      <c r="C22" s="32">
        <f>INDEX('Input Data'!$B:$B,A22)/2+IF(A22&lt;&gt;A23,100,0)</f>
        <v>102.0625</v>
      </c>
      <c r="D22" s="33">
        <f>INDEX('ZCB Curve - Payment Dates'!$D$2:$D$246,MATCH(B22,'ZCB Curve - Payment Dates'!$A$2:$A$246,0))</f>
        <v>0.98408668818349121</v>
      </c>
      <c r="E22" s="32">
        <f t="shared" si="0"/>
        <v>100.43834761272757</v>
      </c>
    </row>
    <row r="23" spans="1:5" x14ac:dyDescent="0.25">
      <c r="A23" s="17">
        <v>23</v>
      </c>
      <c r="B23" s="31">
        <v>46433</v>
      </c>
      <c r="C23" s="32">
        <f>INDEX('Input Data'!$B:$B,A23)/2+IF(A23&lt;&gt;A24,100,0)</f>
        <v>101.125</v>
      </c>
      <c r="D23" s="33">
        <f>INDEX('ZCB Curve - Payment Dates'!$D$2:$D$246,MATCH(B23,'ZCB Curve - Payment Dates'!$A$2:$A$246,0))</f>
        <v>0.98242671792446301</v>
      </c>
      <c r="E23" s="32">
        <f t="shared" si="0"/>
        <v>99.347901850111327</v>
      </c>
    </row>
    <row r="24" spans="1:5" x14ac:dyDescent="0.25">
      <c r="A24" s="17">
        <v>24</v>
      </c>
      <c r="B24" s="31">
        <v>46433</v>
      </c>
      <c r="C24" s="32">
        <f>INDEX('Input Data'!$B:$B,A24)/2+IF(A24&lt;&gt;A25,100,0)</f>
        <v>102.0625</v>
      </c>
      <c r="D24" s="33">
        <f>INDEX('ZCB Curve - Payment Dates'!$D$2:$D$246,MATCH(B24,'ZCB Curve - Payment Dates'!$A$2:$A$246,0))</f>
        <v>0.98242671792446301</v>
      </c>
      <c r="E24" s="32">
        <f t="shared" si="0"/>
        <v>100.2689268981655</v>
      </c>
    </row>
    <row r="25" spans="1:5" x14ac:dyDescent="0.25">
      <c r="A25" s="17">
        <v>25</v>
      </c>
      <c r="B25" s="31">
        <v>46433</v>
      </c>
      <c r="C25" s="32">
        <f>INDEX('Input Data'!$B:$B,A25)/2+IF(A25&lt;&gt;A26,100,0)</f>
        <v>103.3125</v>
      </c>
      <c r="D25" s="33">
        <f>INDEX('ZCB Curve - Payment Dates'!$D$2:$D$246,MATCH(B25,'ZCB Curve - Payment Dates'!$A$2:$A$246,0))</f>
        <v>0.98242671792446301</v>
      </c>
      <c r="E25" s="32">
        <f t="shared" si="0"/>
        <v>101.49696029557109</v>
      </c>
    </row>
    <row r="26" spans="1:5" x14ac:dyDescent="0.25">
      <c r="A26" s="17">
        <v>26</v>
      </c>
      <c r="B26" s="31">
        <v>46446</v>
      </c>
      <c r="C26" s="32">
        <f>INDEX('Input Data'!$B:$B,A26)/2+IF(A26&lt;&gt;A27,100,0)</f>
        <v>100.5625</v>
      </c>
      <c r="D26" s="33">
        <f>INDEX('ZCB Curve - Payment Dates'!$D$2:$D$246,MATCH(B26,'ZCB Curve - Payment Dates'!$A$2:$A$246,0))</f>
        <v>0.98098215746395478</v>
      </c>
      <c r="E26" s="32">
        <f t="shared" si="0"/>
        <v>98.650018209968948</v>
      </c>
    </row>
    <row r="27" spans="1:5" x14ac:dyDescent="0.25">
      <c r="A27" s="17">
        <v>27</v>
      </c>
      <c r="B27" s="31">
        <v>46446</v>
      </c>
      <c r="C27" s="32">
        <f>INDEX('Input Data'!$B:$B,A27)/2+IF(A27&lt;&gt;A28,100,0)</f>
        <v>100.9375</v>
      </c>
      <c r="D27" s="33">
        <f>INDEX('ZCB Curve - Payment Dates'!$D$2:$D$246,MATCH(B27,'ZCB Curve - Payment Dates'!$A$2:$A$246,0))</f>
        <v>0.98098215746395478</v>
      </c>
      <c r="E27" s="32">
        <f t="shared" si="0"/>
        <v>99.017886519017935</v>
      </c>
    </row>
    <row r="28" spans="1:5" x14ac:dyDescent="0.25">
      <c r="A28" s="17">
        <v>28</v>
      </c>
      <c r="B28" s="31">
        <v>46446</v>
      </c>
      <c r="C28" s="32">
        <f>INDEX('Input Data'!$B:$B,A28)/2+IF(A28&lt;&gt;A29,100,0)</f>
        <v>102.0625</v>
      </c>
      <c r="D28" s="33">
        <f>INDEX('ZCB Curve - Payment Dates'!$D$2:$D$246,MATCH(B28,'ZCB Curve - Payment Dates'!$A$2:$A$246,0))</f>
        <v>0.98098215746395478</v>
      </c>
      <c r="E28" s="32">
        <f t="shared" si="0"/>
        <v>100.12149144616488</v>
      </c>
    </row>
    <row r="29" spans="1:5" x14ac:dyDescent="0.25">
      <c r="A29" s="17">
        <v>29</v>
      </c>
      <c r="B29" s="31">
        <v>46280</v>
      </c>
      <c r="C29" s="32">
        <f>INDEX('Input Data'!$B:$B,A29)/2+IF(A29&lt;&gt;A30,100,0)</f>
        <v>2.125</v>
      </c>
      <c r="D29" s="33">
        <f>INDEX('ZCB Curve - Payment Dates'!$D$2:$D$246,MATCH(B29,'ZCB Curve - Payment Dates'!$A$2:$A$246,0))</f>
        <v>0.99886929050437945</v>
      </c>
      <c r="E29" s="32">
        <f t="shared" si="0"/>
        <v>2.1225972423218065</v>
      </c>
    </row>
    <row r="30" spans="1:5" x14ac:dyDescent="0.25">
      <c r="A30" s="17">
        <v>29</v>
      </c>
      <c r="B30" s="31">
        <v>46461</v>
      </c>
      <c r="C30" s="32">
        <f>INDEX('Input Data'!$B:$B,A30)/2+IF(A30&lt;&gt;A31,100,0)</f>
        <v>102.125</v>
      </c>
      <c r="D30" s="33">
        <f>INDEX('ZCB Curve - Payment Dates'!$D$2:$D$246,MATCH(B30,'ZCB Curve - Payment Dates'!$A$2:$A$246,0))</f>
        <v>0.97930710809714472</v>
      </c>
      <c r="E30" s="32">
        <f t="shared" si="0"/>
        <v>100.0117384144209</v>
      </c>
    </row>
    <row r="31" spans="1:5" x14ac:dyDescent="0.25">
      <c r="A31" s="17">
        <v>30</v>
      </c>
      <c r="B31" s="31">
        <v>46295</v>
      </c>
      <c r="C31" s="32">
        <f>INDEX('Input Data'!$B:$B,A31)/2+IF(A31&lt;&gt;A32,100,0)</f>
        <v>0.3125</v>
      </c>
      <c r="D31" s="33">
        <f>INDEX('ZCB Curve - Payment Dates'!$D$2:$D$246,MATCH(B31,'ZCB Curve - Payment Dates'!$A$2:$A$246,0))</f>
        <v>0.9973127951237063</v>
      </c>
      <c r="E31" s="32">
        <f t="shared" si="0"/>
        <v>0.3116602484761582</v>
      </c>
    </row>
    <row r="32" spans="1:5" x14ac:dyDescent="0.25">
      <c r="A32" s="17">
        <v>30</v>
      </c>
      <c r="B32" s="31">
        <v>46477</v>
      </c>
      <c r="C32" s="32">
        <f>INDEX('Input Data'!$B:$B,A32)/2+IF(A32&lt;&gt;A33,100,0)</f>
        <v>100.3125</v>
      </c>
      <c r="D32" s="33">
        <f>INDEX('ZCB Curve - Payment Dates'!$D$2:$D$246,MATCH(B32,'ZCB Curve - Payment Dates'!$A$2:$A$246,0))</f>
        <v>0.97750981974188245</v>
      </c>
      <c r="E32" s="32">
        <f t="shared" si="0"/>
        <v>98.056453792857582</v>
      </c>
    </row>
    <row r="33" spans="1:5" x14ac:dyDescent="0.25">
      <c r="A33" s="17">
        <v>31</v>
      </c>
      <c r="B33" s="31">
        <v>46295</v>
      </c>
      <c r="C33" s="32">
        <f>INDEX('Input Data'!$B:$B,A33)/2+IF(A33&lt;&gt;A34,100,0)</f>
        <v>1.25</v>
      </c>
      <c r="D33" s="33">
        <f>INDEX('ZCB Curve - Payment Dates'!$D$2:$D$246,MATCH(B33,'ZCB Curve - Payment Dates'!$A$2:$A$246,0))</f>
        <v>0.9973127951237063</v>
      </c>
      <c r="E33" s="32">
        <f t="shared" si="0"/>
        <v>1.2466409939046328</v>
      </c>
    </row>
    <row r="34" spans="1:5" x14ac:dyDescent="0.25">
      <c r="A34" s="17">
        <v>31</v>
      </c>
      <c r="B34" s="31">
        <v>46477</v>
      </c>
      <c r="C34" s="32">
        <f>INDEX('Input Data'!$B:$B,A34)/2+IF(A34&lt;&gt;A35,100,0)</f>
        <v>101.25</v>
      </c>
      <c r="D34" s="33">
        <f>INDEX('ZCB Curve - Payment Dates'!$D$2:$D$246,MATCH(B34,'ZCB Curve - Payment Dates'!$A$2:$A$246,0))</f>
        <v>0.97750981974188245</v>
      </c>
      <c r="E34" s="32">
        <f t="shared" si="0"/>
        <v>98.972869248865592</v>
      </c>
    </row>
    <row r="35" spans="1:5" x14ac:dyDescent="0.25">
      <c r="A35" s="17">
        <v>32</v>
      </c>
      <c r="B35" s="31">
        <v>46295</v>
      </c>
      <c r="C35" s="32">
        <f>INDEX('Input Data'!$B:$B,A35)/2+IF(A35&lt;&gt;A36,100,0)</f>
        <v>1.9375</v>
      </c>
      <c r="D35" s="33">
        <f>INDEX('ZCB Curve - Payment Dates'!$D$2:$D$246,MATCH(B35,'ZCB Curve - Payment Dates'!$A$2:$A$246,0))</f>
        <v>0.9973127951237063</v>
      </c>
      <c r="E35" s="32">
        <f t="shared" si="0"/>
        <v>1.9322935405521811</v>
      </c>
    </row>
    <row r="36" spans="1:5" x14ac:dyDescent="0.25">
      <c r="A36" s="17">
        <v>32</v>
      </c>
      <c r="B36" s="31">
        <v>46477</v>
      </c>
      <c r="C36" s="32">
        <f>INDEX('Input Data'!$B:$B,A36)/2+IF(A36&lt;&gt;A37,100,0)</f>
        <v>101.9375</v>
      </c>
      <c r="D36" s="33">
        <f>INDEX('ZCB Curve - Payment Dates'!$D$2:$D$246,MATCH(B36,'ZCB Curve - Payment Dates'!$A$2:$A$246,0))</f>
        <v>0.97750981974188245</v>
      </c>
      <c r="E36" s="32">
        <f t="shared" si="0"/>
        <v>99.644907249938143</v>
      </c>
    </row>
    <row r="37" spans="1:5" x14ac:dyDescent="0.25">
      <c r="A37" s="17">
        <v>33</v>
      </c>
      <c r="B37" s="31">
        <v>46310</v>
      </c>
      <c r="C37" s="32">
        <f>INDEX('Input Data'!$B:$B,A37)/2+IF(A37&lt;&gt;A38,100,0)</f>
        <v>2.25</v>
      </c>
      <c r="D37" s="33">
        <f>INDEX('ZCB Curve - Payment Dates'!$D$2:$D$246,MATCH(B37,'ZCB Curve - Payment Dates'!$A$2:$A$246,0))</f>
        <v>0.99574243370863547</v>
      </c>
      <c r="E37" s="32">
        <f t="shared" si="0"/>
        <v>2.2404204758444299</v>
      </c>
    </row>
    <row r="38" spans="1:5" x14ac:dyDescent="0.25">
      <c r="A38" s="17">
        <v>33</v>
      </c>
      <c r="B38" s="31">
        <v>46492</v>
      </c>
      <c r="C38" s="32">
        <f>INDEX('Input Data'!$B:$B,A38)/2+IF(A38&lt;&gt;A39,100,0)</f>
        <v>102.25</v>
      </c>
      <c r="D38" s="33">
        <f>INDEX('ZCB Curve - Payment Dates'!$D$2:$D$246,MATCH(B38,'ZCB Curve - Payment Dates'!$A$2:$A$246,0))</f>
        <v>0.97582006260857235</v>
      </c>
      <c r="E38" s="32">
        <f t="shared" si="0"/>
        <v>99.777601401726528</v>
      </c>
    </row>
    <row r="39" spans="1:5" x14ac:dyDescent="0.25">
      <c r="A39" s="17">
        <v>34</v>
      </c>
      <c r="B39" s="31">
        <v>46326</v>
      </c>
      <c r="C39" s="32">
        <f>INDEX('Input Data'!$B:$B,A39)/2+IF(A39&lt;&gt;A40,100,0)</f>
        <v>0.25</v>
      </c>
      <c r="D39" s="33">
        <f>INDEX('ZCB Curve - Payment Dates'!$D$2:$D$246,MATCH(B39,'ZCB Curve - Payment Dates'!$A$2:$A$246,0))</f>
        <v>0.99405055111674689</v>
      </c>
      <c r="E39" s="32">
        <f t="shared" si="0"/>
        <v>0.24851263777918672</v>
      </c>
    </row>
    <row r="40" spans="1:5" x14ac:dyDescent="0.25">
      <c r="A40" s="17">
        <v>34</v>
      </c>
      <c r="B40" s="31">
        <v>46507</v>
      </c>
      <c r="C40" s="32">
        <f>INDEX('Input Data'!$B:$B,A40)/2+IF(A40&lt;&gt;A41,100,0)</f>
        <v>100.25</v>
      </c>
      <c r="D40" s="33">
        <f>INDEX('ZCB Curve - Payment Dates'!$D$2:$D$246,MATCH(B40,'ZCB Curve - Payment Dates'!$A$2:$A$246,0))</f>
        <v>0.97412390690574091</v>
      </c>
      <c r="E40" s="32">
        <f t="shared" si="0"/>
        <v>97.655921667300532</v>
      </c>
    </row>
    <row r="41" spans="1:5" x14ac:dyDescent="0.25">
      <c r="A41" s="17">
        <v>35</v>
      </c>
      <c r="B41" s="31">
        <v>46326</v>
      </c>
      <c r="C41" s="32">
        <f>INDEX('Input Data'!$B:$B,A41)/2+IF(A41&lt;&gt;A42,100,0)</f>
        <v>1.375</v>
      </c>
      <c r="D41" s="33">
        <f>INDEX('ZCB Curve - Payment Dates'!$D$2:$D$246,MATCH(B41,'ZCB Curve - Payment Dates'!$A$2:$A$246,0))</f>
        <v>0.99405055111674689</v>
      </c>
      <c r="E41" s="32">
        <f t="shared" si="0"/>
        <v>1.366819507785527</v>
      </c>
    </row>
    <row r="42" spans="1:5" x14ac:dyDescent="0.25">
      <c r="A42" s="17">
        <v>35</v>
      </c>
      <c r="B42" s="31">
        <v>46507</v>
      </c>
      <c r="C42" s="32">
        <f>INDEX('Input Data'!$B:$B,A42)/2+IF(A42&lt;&gt;A43,100,0)</f>
        <v>101.375</v>
      </c>
      <c r="D42" s="33">
        <f>INDEX('ZCB Curve - Payment Dates'!$D$2:$D$246,MATCH(B42,'ZCB Curve - Payment Dates'!$A$2:$A$246,0))</f>
        <v>0.97412390690574091</v>
      </c>
      <c r="E42" s="32">
        <f t="shared" si="0"/>
        <v>98.751811062569487</v>
      </c>
    </row>
    <row r="43" spans="1:5" x14ac:dyDescent="0.25">
      <c r="A43" s="17">
        <v>36</v>
      </c>
      <c r="B43" s="31">
        <v>46326</v>
      </c>
      <c r="C43" s="32">
        <f>INDEX('Input Data'!$B:$B,A43)/2+IF(A43&lt;&gt;A44,100,0)</f>
        <v>1.875</v>
      </c>
      <c r="D43" s="33">
        <f>INDEX('ZCB Curve - Payment Dates'!$D$2:$D$246,MATCH(B43,'ZCB Curve - Payment Dates'!$A$2:$A$246,0))</f>
        <v>0.99405055111674689</v>
      </c>
      <c r="E43" s="32">
        <f t="shared" si="0"/>
        <v>1.8638447833439005</v>
      </c>
    </row>
    <row r="44" spans="1:5" x14ac:dyDescent="0.25">
      <c r="A44" s="17">
        <v>36</v>
      </c>
      <c r="B44" s="31">
        <v>46507</v>
      </c>
      <c r="C44" s="32">
        <f>INDEX('Input Data'!$B:$B,A44)/2+IF(A44&lt;&gt;A45,100,0)</f>
        <v>101.875</v>
      </c>
      <c r="D44" s="33">
        <f>INDEX('ZCB Curve - Payment Dates'!$D$2:$D$246,MATCH(B44,'ZCB Curve - Payment Dates'!$A$2:$A$246,0))</f>
        <v>0.97412390690574091</v>
      </c>
      <c r="E44" s="32">
        <f t="shared" si="0"/>
        <v>99.238873016022353</v>
      </c>
    </row>
    <row r="45" spans="1:5" x14ac:dyDescent="0.25">
      <c r="A45" s="17">
        <v>37</v>
      </c>
      <c r="B45" s="31">
        <v>46341</v>
      </c>
      <c r="C45" s="32">
        <f>INDEX('Input Data'!$B:$B,A45)/2+IF(A45&lt;&gt;A46,100,0)</f>
        <v>1.1875</v>
      </c>
      <c r="D45" s="33">
        <f>INDEX('ZCB Curve - Payment Dates'!$D$2:$D$246,MATCH(B45,'ZCB Curve - Payment Dates'!$A$2:$A$246,0))</f>
        <v>0.99245367292309439</v>
      </c>
      <c r="E45" s="32">
        <f t="shared" si="0"/>
        <v>1.1785387365961746</v>
      </c>
    </row>
    <row r="46" spans="1:5" x14ac:dyDescent="0.25">
      <c r="A46" s="17">
        <v>37</v>
      </c>
      <c r="B46" s="31">
        <v>46522</v>
      </c>
      <c r="C46" s="32">
        <f>INDEX('Input Data'!$B:$B,A46)/2+IF(A46&lt;&gt;A47,100,0)</f>
        <v>101.1875</v>
      </c>
      <c r="D46" s="33">
        <f>INDEX('ZCB Curve - Payment Dates'!$D$2:$D$246,MATCH(B46,'ZCB Curve - Payment Dates'!$A$2:$A$246,0))</f>
        <v>0.97242179559611874</v>
      </c>
      <c r="E46" s="32">
        <f t="shared" si="0"/>
        <v>98.396930441882262</v>
      </c>
    </row>
    <row r="47" spans="1:5" x14ac:dyDescent="0.25">
      <c r="A47" s="17">
        <v>38</v>
      </c>
      <c r="B47" s="31">
        <v>46341</v>
      </c>
      <c r="C47" s="32">
        <f>INDEX('Input Data'!$B:$B,A47)/2+IF(A47&lt;&gt;A48,100,0)</f>
        <v>2.25</v>
      </c>
      <c r="D47" s="33">
        <f>INDEX('ZCB Curve - Payment Dates'!$D$2:$D$246,MATCH(B47,'ZCB Curve - Payment Dates'!$A$2:$A$246,0))</f>
        <v>0.99245367292309439</v>
      </c>
      <c r="E47" s="32">
        <f t="shared" si="0"/>
        <v>2.2330207640769624</v>
      </c>
    </row>
    <row r="48" spans="1:5" x14ac:dyDescent="0.25">
      <c r="A48" s="17">
        <v>38</v>
      </c>
      <c r="B48" s="31">
        <v>46522</v>
      </c>
      <c r="C48" s="32">
        <f>INDEX('Input Data'!$B:$B,A48)/2+IF(A48&lt;&gt;A49,100,0)</f>
        <v>102.25</v>
      </c>
      <c r="D48" s="33">
        <f>INDEX('ZCB Curve - Payment Dates'!$D$2:$D$246,MATCH(B48,'ZCB Curve - Payment Dates'!$A$2:$A$246,0))</f>
        <v>0.97242179559611874</v>
      </c>
      <c r="E48" s="32">
        <f t="shared" si="0"/>
        <v>99.430128599703139</v>
      </c>
    </row>
    <row r="49" spans="1:5" x14ac:dyDescent="0.25">
      <c r="A49" s="17">
        <v>39</v>
      </c>
      <c r="B49" s="31">
        <v>46356</v>
      </c>
      <c r="C49" s="32">
        <f>INDEX('Input Data'!$B:$B,A49)/2+IF(A49&lt;&gt;A50,100,0)</f>
        <v>0.25</v>
      </c>
      <c r="D49" s="33">
        <f>INDEX('ZCB Curve - Payment Dates'!$D$2:$D$246,MATCH(B49,'ZCB Curve - Payment Dates'!$A$2:$A$246,0))</f>
        <v>0.99084497326382592</v>
      </c>
      <c r="E49" s="32">
        <f t="shared" si="0"/>
        <v>0.24771124331595648</v>
      </c>
    </row>
    <row r="50" spans="1:5" x14ac:dyDescent="0.25">
      <c r="A50" s="17">
        <v>39</v>
      </c>
      <c r="B50" s="31">
        <v>46538</v>
      </c>
      <c r="C50" s="32">
        <f>INDEX('Input Data'!$B:$B,A50)/2+IF(A50&lt;&gt;A51,100,0)</f>
        <v>100.25</v>
      </c>
      <c r="D50" s="33">
        <f>INDEX('ZCB Curve - Payment Dates'!$D$2:$D$246,MATCH(B50,'ZCB Curve - Payment Dates'!$A$2:$A$246,0))</f>
        <v>0.97060179184855555</v>
      </c>
      <c r="E50" s="32">
        <f t="shared" si="0"/>
        <v>97.302829632817691</v>
      </c>
    </row>
    <row r="51" spans="1:5" x14ac:dyDescent="0.25">
      <c r="A51" s="17">
        <v>40</v>
      </c>
      <c r="B51" s="31">
        <v>46356</v>
      </c>
      <c r="C51" s="32">
        <f>INDEX('Input Data'!$B:$B,A51)/2+IF(A51&lt;&gt;A52,100,0)</f>
        <v>1.3125</v>
      </c>
      <c r="D51" s="33">
        <f>INDEX('ZCB Curve - Payment Dates'!$D$2:$D$246,MATCH(B51,'ZCB Curve - Payment Dates'!$A$2:$A$246,0))</f>
        <v>0.99084497326382592</v>
      </c>
      <c r="E51" s="32">
        <f t="shared" si="0"/>
        <v>1.3004840274087714</v>
      </c>
    </row>
    <row r="52" spans="1:5" x14ac:dyDescent="0.25">
      <c r="A52" s="17">
        <v>40</v>
      </c>
      <c r="B52" s="31">
        <v>46538</v>
      </c>
      <c r="C52" s="32">
        <f>INDEX('Input Data'!$B:$B,A52)/2+IF(A52&lt;&gt;A53,100,0)</f>
        <v>101.3125</v>
      </c>
      <c r="D52" s="33">
        <f>INDEX('ZCB Curve - Payment Dates'!$D$2:$D$246,MATCH(B52,'ZCB Curve - Payment Dates'!$A$2:$A$246,0))</f>
        <v>0.97060179184855555</v>
      </c>
      <c r="E52" s="32">
        <f t="shared" si="0"/>
        <v>98.334094036656779</v>
      </c>
    </row>
    <row r="53" spans="1:5" x14ac:dyDescent="0.25">
      <c r="A53" s="17">
        <v>41</v>
      </c>
      <c r="B53" s="31">
        <v>46356</v>
      </c>
      <c r="C53" s="32">
        <f>INDEX('Input Data'!$B:$B,A53)/2+IF(A53&lt;&gt;A54,100,0)</f>
        <v>1.9375</v>
      </c>
      <c r="D53" s="33">
        <f>INDEX('ZCB Curve - Payment Dates'!$D$2:$D$246,MATCH(B53,'ZCB Curve - Payment Dates'!$A$2:$A$246,0))</f>
        <v>0.99084497326382592</v>
      </c>
      <c r="E53" s="32">
        <f t="shared" si="0"/>
        <v>1.9197621356986627</v>
      </c>
    </row>
    <row r="54" spans="1:5" x14ac:dyDescent="0.25">
      <c r="A54" s="17">
        <v>41</v>
      </c>
      <c r="B54" s="31">
        <v>46538</v>
      </c>
      <c r="C54" s="32">
        <f>INDEX('Input Data'!$B:$B,A54)/2+IF(A54&lt;&gt;A55,100,0)</f>
        <v>101.9375</v>
      </c>
      <c r="D54" s="33">
        <f>INDEX('ZCB Curve - Payment Dates'!$D$2:$D$246,MATCH(B54,'ZCB Curve - Payment Dates'!$A$2:$A$246,0))</f>
        <v>0.97060179184855555</v>
      </c>
      <c r="E54" s="32">
        <f t="shared" si="0"/>
        <v>98.940720156562136</v>
      </c>
    </row>
    <row r="55" spans="1:5" x14ac:dyDescent="0.25">
      <c r="A55" s="17">
        <v>42</v>
      </c>
      <c r="B55" s="31">
        <v>46371</v>
      </c>
      <c r="C55" s="32">
        <f>INDEX('Input Data'!$B:$B,A55)/2+IF(A55&lt;&gt;A56,100,0)</f>
        <v>2.3125</v>
      </c>
      <c r="D55" s="33">
        <f>INDEX('ZCB Curve - Payment Dates'!$D$2:$D$246,MATCH(B55,'ZCB Curve - Payment Dates'!$A$2:$A$246,0))</f>
        <v>0.98922507612573607</v>
      </c>
      <c r="E55" s="32">
        <f t="shared" si="0"/>
        <v>2.2875829885407648</v>
      </c>
    </row>
    <row r="56" spans="1:5" x14ac:dyDescent="0.25">
      <c r="A56" s="17">
        <v>42</v>
      </c>
      <c r="B56" s="31">
        <v>46553</v>
      </c>
      <c r="C56" s="32">
        <f>INDEX('Input Data'!$B:$B,A56)/2+IF(A56&lt;&gt;A57,100,0)</f>
        <v>102.3125</v>
      </c>
      <c r="D56" s="33">
        <f>INDEX('ZCB Curve - Payment Dates'!$D$2:$D$246,MATCH(B56,'ZCB Curve - Payment Dates'!$A$2:$A$246,0))</f>
        <v>0.96888871419984679</v>
      </c>
      <c r="E56" s="32">
        <f t="shared" si="0"/>
        <v>99.129426571571827</v>
      </c>
    </row>
    <row r="57" spans="1:5" x14ac:dyDescent="0.25">
      <c r="A57" s="17">
        <v>43</v>
      </c>
      <c r="B57" s="31">
        <v>46387</v>
      </c>
      <c r="C57" s="32">
        <f>INDEX('Input Data'!$B:$B,A57)/2+IF(A57&lt;&gt;A58,100,0)</f>
        <v>0.25</v>
      </c>
      <c r="D57" s="33">
        <f>INDEX('ZCB Curve - Payment Dates'!$D$2:$D$246,MATCH(B57,'ZCB Curve - Payment Dates'!$A$2:$A$246,0))</f>
        <v>0.987487116303851</v>
      </c>
      <c r="E57" s="32">
        <f t="shared" si="0"/>
        <v>0.24687177907596275</v>
      </c>
    </row>
    <row r="58" spans="1:5" x14ac:dyDescent="0.25">
      <c r="A58" s="17">
        <v>43</v>
      </c>
      <c r="B58" s="31">
        <v>46568</v>
      </c>
      <c r="C58" s="32">
        <f>INDEX('Input Data'!$B:$B,A58)/2+IF(A58&lt;&gt;A59,100,0)</f>
        <v>100.25</v>
      </c>
      <c r="D58" s="33">
        <f>INDEX('ZCB Curve - Payment Dates'!$D$2:$D$246,MATCH(B58,'ZCB Curve - Payment Dates'!$A$2:$A$246,0))</f>
        <v>0.96717094344557664</v>
      </c>
      <c r="E58" s="32">
        <f t="shared" si="0"/>
        <v>96.958887080419061</v>
      </c>
    </row>
    <row r="59" spans="1:5" x14ac:dyDescent="0.25">
      <c r="A59" s="17">
        <v>44</v>
      </c>
      <c r="B59" s="31">
        <v>46387</v>
      </c>
      <c r="C59" s="32">
        <f>INDEX('Input Data'!$B:$B,A59)/2+IF(A59&lt;&gt;A60,100,0)</f>
        <v>1.625</v>
      </c>
      <c r="D59" s="33">
        <f>INDEX('ZCB Curve - Payment Dates'!$D$2:$D$246,MATCH(B59,'ZCB Curve - Payment Dates'!$A$2:$A$246,0))</f>
        <v>0.987487116303851</v>
      </c>
      <c r="E59" s="32">
        <f t="shared" si="0"/>
        <v>1.6046665639937578</v>
      </c>
    </row>
    <row r="60" spans="1:5" x14ac:dyDescent="0.25">
      <c r="A60" s="17">
        <v>44</v>
      </c>
      <c r="B60" s="31">
        <v>46568</v>
      </c>
      <c r="C60" s="32">
        <f>INDEX('Input Data'!$B:$B,A60)/2+IF(A60&lt;&gt;A61,100,0)</f>
        <v>101.625</v>
      </c>
      <c r="D60" s="33">
        <f>INDEX('ZCB Curve - Payment Dates'!$D$2:$D$246,MATCH(B60,'ZCB Curve - Payment Dates'!$A$2:$A$246,0))</f>
        <v>0.96717094344557664</v>
      </c>
      <c r="E60" s="32">
        <f t="shared" si="0"/>
        <v>98.28874712765672</v>
      </c>
    </row>
    <row r="61" spans="1:5" x14ac:dyDescent="0.25">
      <c r="A61" s="17">
        <v>45</v>
      </c>
      <c r="B61" s="31">
        <v>46387</v>
      </c>
      <c r="C61" s="32">
        <f>INDEX('Input Data'!$B:$B,A61)/2+IF(A61&lt;&gt;A62,100,0)</f>
        <v>1.875</v>
      </c>
      <c r="D61" s="33">
        <f>INDEX('ZCB Curve - Payment Dates'!$D$2:$D$246,MATCH(B61,'ZCB Curve - Payment Dates'!$A$2:$A$246,0))</f>
        <v>0.987487116303851</v>
      </c>
      <c r="E61" s="32">
        <f t="shared" si="0"/>
        <v>1.8515383430697205</v>
      </c>
    </row>
    <row r="62" spans="1:5" x14ac:dyDescent="0.25">
      <c r="A62" s="17">
        <v>45</v>
      </c>
      <c r="B62" s="31">
        <v>46568</v>
      </c>
      <c r="C62" s="32">
        <f>INDEX('Input Data'!$B:$B,A62)/2+IF(A62&lt;&gt;A63,100,0)</f>
        <v>101.875</v>
      </c>
      <c r="D62" s="33">
        <f>INDEX('ZCB Curve - Payment Dates'!$D$2:$D$246,MATCH(B62,'ZCB Curve - Payment Dates'!$A$2:$A$246,0))</f>
        <v>0.96717094344557664</v>
      </c>
      <c r="E62" s="32">
        <f t="shared" si="0"/>
        <v>98.530539863518115</v>
      </c>
    </row>
    <row r="63" spans="1:5" x14ac:dyDescent="0.25">
      <c r="A63" s="17">
        <v>46</v>
      </c>
      <c r="B63" s="31">
        <v>46402</v>
      </c>
      <c r="C63" s="32">
        <f>INDEX('Input Data'!$B:$B,A63)/2+IF(A63&lt;&gt;A64,100,0)</f>
        <v>2.1875</v>
      </c>
      <c r="D63" s="33">
        <f>INDEX('ZCB Curve - Payment Dates'!$D$2:$D$246,MATCH(B63,'ZCB Curve - Payment Dates'!$A$2:$A$246,0))</f>
        <v>0.98584597894241466</v>
      </c>
      <c r="E63" s="32">
        <f t="shared" si="0"/>
        <v>2.1565380789365323</v>
      </c>
    </row>
    <row r="64" spans="1:5" x14ac:dyDescent="0.25">
      <c r="A64" s="17">
        <v>46</v>
      </c>
      <c r="B64" s="31">
        <v>46583</v>
      </c>
      <c r="C64" s="32">
        <f>INDEX('Input Data'!$B:$B,A64)/2+IF(A64&lt;&gt;A65,100,0)</f>
        <v>102.1875</v>
      </c>
      <c r="D64" s="33">
        <f>INDEX('ZCB Curve - Payment Dates'!$D$2:$D$246,MATCH(B64,'ZCB Curve - Payment Dates'!$A$2:$A$246,0))</f>
        <v>0.96544886161553756</v>
      </c>
      <c r="E64" s="32">
        <f t="shared" si="0"/>
        <v>98.65680554633775</v>
      </c>
    </row>
    <row r="65" spans="1:5" x14ac:dyDescent="0.25">
      <c r="A65" s="17">
        <v>47</v>
      </c>
      <c r="B65" s="31">
        <v>46418</v>
      </c>
      <c r="C65" s="32">
        <f>INDEX('Input Data'!$B:$B,A65)/2+IF(A65&lt;&gt;A66,100,0)</f>
        <v>0.1875</v>
      </c>
      <c r="D65" s="33">
        <f>INDEX('ZCB Curve - Payment Dates'!$D$2:$D$246,MATCH(B65,'ZCB Curve - Payment Dates'!$A$2:$A$246,0))</f>
        <v>0.98408668818349121</v>
      </c>
      <c r="E65" s="32">
        <f t="shared" si="0"/>
        <v>0.18451625403440461</v>
      </c>
    </row>
    <row r="66" spans="1:5" x14ac:dyDescent="0.25">
      <c r="A66" s="17">
        <v>47</v>
      </c>
      <c r="B66" s="31">
        <v>46599</v>
      </c>
      <c r="C66" s="32">
        <f>INDEX('Input Data'!$B:$B,A66)/2+IF(A66&lt;&gt;A67,100,0)</f>
        <v>100.1875</v>
      </c>
      <c r="D66" s="33">
        <f>INDEX('ZCB Curve - Payment Dates'!$D$2:$D$246,MATCH(B66,'ZCB Curve - Payment Dates'!$A$2:$A$246,0))</f>
        <v>0.96360931883583933</v>
      </c>
      <c r="E66" s="32">
        <f t="shared" ref="E66:E129" si="1">C66*D66</f>
        <v>96.541608630865653</v>
      </c>
    </row>
    <row r="67" spans="1:5" x14ac:dyDescent="0.25">
      <c r="A67" s="17">
        <v>48</v>
      </c>
      <c r="B67" s="31">
        <v>46418</v>
      </c>
      <c r="C67" s="32">
        <f>INDEX('Input Data'!$B:$B,A67)/2+IF(A67&lt;&gt;A68,100,0)</f>
        <v>1.375</v>
      </c>
      <c r="D67" s="33">
        <f>INDEX('ZCB Curve - Payment Dates'!$D$2:$D$246,MATCH(B67,'ZCB Curve - Payment Dates'!$A$2:$A$246,0))</f>
        <v>0.98408668818349121</v>
      </c>
      <c r="E67" s="32">
        <f t="shared" si="1"/>
        <v>1.3531191962523004</v>
      </c>
    </row>
    <row r="68" spans="1:5" x14ac:dyDescent="0.25">
      <c r="A68" s="17">
        <v>48</v>
      </c>
      <c r="B68" s="31">
        <v>46599</v>
      </c>
      <c r="C68" s="32">
        <f>INDEX('Input Data'!$B:$B,A68)/2+IF(A68&lt;&gt;A69,100,0)</f>
        <v>101.375</v>
      </c>
      <c r="D68" s="33">
        <f>INDEX('ZCB Curve - Payment Dates'!$D$2:$D$246,MATCH(B68,'ZCB Curve - Payment Dates'!$A$2:$A$246,0))</f>
        <v>0.96360931883583933</v>
      </c>
      <c r="E68" s="32">
        <f t="shared" si="1"/>
        <v>97.685894696983212</v>
      </c>
    </row>
    <row r="69" spans="1:5" x14ac:dyDescent="0.25">
      <c r="A69" s="17">
        <v>49</v>
      </c>
      <c r="B69" s="31">
        <v>46418</v>
      </c>
      <c r="C69" s="32">
        <f>INDEX('Input Data'!$B:$B,A69)/2+IF(A69&lt;&gt;A70,100,0)</f>
        <v>1.9375</v>
      </c>
      <c r="D69" s="33">
        <f>INDEX('ZCB Curve - Payment Dates'!$D$2:$D$246,MATCH(B69,'ZCB Curve - Payment Dates'!$A$2:$A$246,0))</f>
        <v>0.98408668818349121</v>
      </c>
      <c r="E69" s="32">
        <f t="shared" si="1"/>
        <v>1.9066679583555142</v>
      </c>
    </row>
    <row r="70" spans="1:5" x14ac:dyDescent="0.25">
      <c r="A70" s="17">
        <v>49</v>
      </c>
      <c r="B70" s="31">
        <v>46599</v>
      </c>
      <c r="C70" s="32">
        <f>INDEX('Input Data'!$B:$B,A70)/2+IF(A70&lt;&gt;A71,100,0)</f>
        <v>101.9375</v>
      </c>
      <c r="D70" s="33">
        <f>INDEX('ZCB Curve - Payment Dates'!$D$2:$D$246,MATCH(B70,'ZCB Curve - Payment Dates'!$A$2:$A$246,0))</f>
        <v>0.96360931883583933</v>
      </c>
      <c r="E70" s="32">
        <f t="shared" si="1"/>
        <v>98.227924938828366</v>
      </c>
    </row>
    <row r="71" spans="1:5" x14ac:dyDescent="0.25">
      <c r="A71" s="17">
        <v>50</v>
      </c>
      <c r="B71" s="31">
        <v>46433</v>
      </c>
      <c r="C71" s="32">
        <f>INDEX('Input Data'!$B:$B,A71)/2+IF(A71&lt;&gt;A72,100,0)</f>
        <v>1.125</v>
      </c>
      <c r="D71" s="33">
        <f>INDEX('ZCB Curve - Payment Dates'!$D$2:$D$246,MATCH(B71,'ZCB Curve - Payment Dates'!$A$2:$A$246,0))</f>
        <v>0.98242671792446301</v>
      </c>
      <c r="E71" s="32">
        <f t="shared" si="1"/>
        <v>1.1052300576650209</v>
      </c>
    </row>
    <row r="72" spans="1:5" x14ac:dyDescent="0.25">
      <c r="A72" s="17">
        <v>50</v>
      </c>
      <c r="B72" s="31">
        <v>46614</v>
      </c>
      <c r="C72" s="32">
        <f>INDEX('Input Data'!$B:$B,A72)/2+IF(A72&lt;&gt;A73,100,0)</f>
        <v>101.125</v>
      </c>
      <c r="D72" s="33">
        <f>INDEX('ZCB Curve - Payment Dates'!$D$2:$D$246,MATCH(B72,'ZCB Curve - Payment Dates'!$A$2:$A$246,0))</f>
        <v>0.96187948164765535</v>
      </c>
      <c r="E72" s="32">
        <f t="shared" si="1"/>
        <v>97.270062581619143</v>
      </c>
    </row>
    <row r="73" spans="1:5" x14ac:dyDescent="0.25">
      <c r="A73" s="17">
        <v>51</v>
      </c>
      <c r="B73" s="31">
        <v>46433</v>
      </c>
      <c r="C73" s="32">
        <f>INDEX('Input Data'!$B:$B,A73)/2+IF(A73&lt;&gt;A74,100,0)</f>
        <v>1.875</v>
      </c>
      <c r="D73" s="33">
        <f>INDEX('ZCB Curve - Payment Dates'!$D$2:$D$246,MATCH(B73,'ZCB Curve - Payment Dates'!$A$2:$A$246,0))</f>
        <v>0.98242671792446301</v>
      </c>
      <c r="E73" s="32">
        <f t="shared" si="1"/>
        <v>1.8420500961083681</v>
      </c>
    </row>
    <row r="74" spans="1:5" x14ac:dyDescent="0.25">
      <c r="A74" s="17">
        <v>51</v>
      </c>
      <c r="B74" s="31">
        <v>46614</v>
      </c>
      <c r="C74" s="32">
        <f>INDEX('Input Data'!$B:$B,A74)/2+IF(A74&lt;&gt;A75,100,0)</f>
        <v>101.875</v>
      </c>
      <c r="D74" s="33">
        <f>INDEX('ZCB Curve - Payment Dates'!$D$2:$D$246,MATCH(B74,'ZCB Curve - Payment Dates'!$A$2:$A$246,0))</f>
        <v>0.96187948164765535</v>
      </c>
      <c r="E74" s="32">
        <f t="shared" si="1"/>
        <v>97.991472192854886</v>
      </c>
    </row>
    <row r="75" spans="1:5" x14ac:dyDescent="0.25">
      <c r="A75" s="17">
        <v>52</v>
      </c>
      <c r="B75" s="31">
        <v>46433</v>
      </c>
      <c r="C75" s="32">
        <f>INDEX('Input Data'!$B:$B,A75)/2+IF(A75&lt;&gt;A76,100,0)</f>
        <v>3.1875</v>
      </c>
      <c r="D75" s="33">
        <f>INDEX('ZCB Curve - Payment Dates'!$D$2:$D$246,MATCH(B75,'ZCB Curve - Payment Dates'!$A$2:$A$246,0))</f>
        <v>0.98242671792446301</v>
      </c>
      <c r="E75" s="32">
        <f t="shared" si="1"/>
        <v>3.1314851633842258</v>
      </c>
    </row>
    <row r="76" spans="1:5" x14ac:dyDescent="0.25">
      <c r="A76" s="17">
        <v>52</v>
      </c>
      <c r="B76" s="31">
        <v>46614</v>
      </c>
      <c r="C76" s="32">
        <f>INDEX('Input Data'!$B:$B,A76)/2+IF(A76&lt;&gt;A77,100,0)</f>
        <v>103.1875</v>
      </c>
      <c r="D76" s="33">
        <f>INDEX('ZCB Curve - Payment Dates'!$D$2:$D$246,MATCH(B76,'ZCB Curve - Payment Dates'!$A$2:$A$246,0))</f>
        <v>0.96187948164765535</v>
      </c>
      <c r="E76" s="32">
        <f t="shared" si="1"/>
        <v>99.253939012517435</v>
      </c>
    </row>
    <row r="77" spans="1:5" x14ac:dyDescent="0.25">
      <c r="A77" s="17">
        <v>53</v>
      </c>
      <c r="B77" s="31">
        <v>46446</v>
      </c>
      <c r="C77" s="32">
        <f>INDEX('Input Data'!$B:$B,A77)/2+IF(A77&lt;&gt;A78,100,0)</f>
        <v>0.25</v>
      </c>
      <c r="D77" s="33">
        <f>INDEX('ZCB Curve - Payment Dates'!$D$2:$D$246,MATCH(B77,'ZCB Curve - Payment Dates'!$A$2:$A$246,0))</f>
        <v>0.98098215746395478</v>
      </c>
      <c r="E77" s="32">
        <f t="shared" si="1"/>
        <v>0.2452455393659887</v>
      </c>
    </row>
    <row r="78" spans="1:5" x14ac:dyDescent="0.25">
      <c r="A78" s="17">
        <v>53</v>
      </c>
      <c r="B78" s="31">
        <v>46630</v>
      </c>
      <c r="C78" s="32">
        <f>INDEX('Input Data'!$B:$B,A78)/2+IF(A78&lt;&gt;A79,100,0)</f>
        <v>100.25</v>
      </c>
      <c r="D78" s="33">
        <f>INDEX('ZCB Curve - Payment Dates'!$D$2:$D$246,MATCH(B78,'ZCB Curve - Payment Dates'!$A$2:$A$246,0))</f>
        <v>0.96003246313192503</v>
      </c>
      <c r="E78" s="32">
        <f t="shared" si="1"/>
        <v>96.24325442897549</v>
      </c>
    </row>
    <row r="79" spans="1:5" x14ac:dyDescent="0.25">
      <c r="A79" s="17">
        <v>54</v>
      </c>
      <c r="B79" s="31">
        <v>46446</v>
      </c>
      <c r="C79" s="32">
        <f>INDEX('Input Data'!$B:$B,A79)/2+IF(A79&lt;&gt;A80,100,0)</f>
        <v>1.5625</v>
      </c>
      <c r="D79" s="33">
        <f>INDEX('ZCB Curve - Payment Dates'!$D$2:$D$246,MATCH(B79,'ZCB Curve - Payment Dates'!$A$2:$A$246,0))</f>
        <v>0.98098215746395478</v>
      </c>
      <c r="E79" s="32">
        <f t="shared" si="1"/>
        <v>1.5327846210374294</v>
      </c>
    </row>
    <row r="80" spans="1:5" x14ac:dyDescent="0.25">
      <c r="A80" s="17">
        <v>54</v>
      </c>
      <c r="B80" s="31">
        <v>46630</v>
      </c>
      <c r="C80" s="32">
        <f>INDEX('Input Data'!$B:$B,A80)/2+IF(A80&lt;&gt;A81,100,0)</f>
        <v>101.5625</v>
      </c>
      <c r="D80" s="33">
        <f>INDEX('ZCB Curve - Payment Dates'!$D$2:$D$246,MATCH(B80,'ZCB Curve - Payment Dates'!$A$2:$A$246,0))</f>
        <v>0.96003246313192503</v>
      </c>
      <c r="E80" s="32">
        <f t="shared" si="1"/>
        <v>97.50329703683613</v>
      </c>
    </row>
    <row r="81" spans="1:5" x14ac:dyDescent="0.25">
      <c r="A81" s="17">
        <v>55</v>
      </c>
      <c r="B81" s="31">
        <v>46446</v>
      </c>
      <c r="C81" s="32">
        <f>INDEX('Input Data'!$B:$B,A81)/2+IF(A81&lt;&gt;A82,100,0)</f>
        <v>1.8125</v>
      </c>
      <c r="D81" s="33">
        <f>INDEX('ZCB Curve - Payment Dates'!$D$2:$D$246,MATCH(B81,'ZCB Curve - Payment Dates'!$A$2:$A$246,0))</f>
        <v>0.98098215746395478</v>
      </c>
      <c r="E81" s="32">
        <f t="shared" si="1"/>
        <v>1.7780301604034181</v>
      </c>
    </row>
    <row r="82" spans="1:5" x14ac:dyDescent="0.25">
      <c r="A82" s="17">
        <v>55</v>
      </c>
      <c r="B82" s="31">
        <v>46630</v>
      </c>
      <c r="C82" s="32">
        <f>INDEX('Input Data'!$B:$B,A82)/2+IF(A82&lt;&gt;A83,100,0)</f>
        <v>101.8125</v>
      </c>
      <c r="D82" s="33">
        <f>INDEX('ZCB Curve - Payment Dates'!$D$2:$D$246,MATCH(B82,'ZCB Curve - Payment Dates'!$A$2:$A$246,0))</f>
        <v>0.96003246313192503</v>
      </c>
      <c r="E82" s="32">
        <f t="shared" si="1"/>
        <v>97.743305152619115</v>
      </c>
    </row>
    <row r="83" spans="1:5" x14ac:dyDescent="0.25">
      <c r="A83" s="17">
        <v>56</v>
      </c>
      <c r="B83" s="31">
        <v>46280</v>
      </c>
      <c r="C83" s="32">
        <f>INDEX('Input Data'!$B:$B,A83)/2+IF(A83&lt;&gt;A84,100,0)</f>
        <v>1.6875</v>
      </c>
      <c r="D83" s="33">
        <f>INDEX('ZCB Curve - Payment Dates'!$D$2:$D$246,MATCH(B83,'ZCB Curve - Payment Dates'!$A$2:$A$246,0))</f>
        <v>0.99886929050437945</v>
      </c>
      <c r="E83" s="32">
        <f t="shared" si="1"/>
        <v>1.6855919277261404</v>
      </c>
    </row>
    <row r="84" spans="1:5" x14ac:dyDescent="0.25">
      <c r="A84" s="17">
        <v>56</v>
      </c>
      <c r="B84" s="31">
        <v>46461</v>
      </c>
      <c r="C84" s="32">
        <f>INDEX('Input Data'!$B:$B,A84)/2+IF(A84&lt;&gt;A85,100,0)</f>
        <v>1.6875</v>
      </c>
      <c r="D84" s="33">
        <f>INDEX('ZCB Curve - Payment Dates'!$D$2:$D$246,MATCH(B84,'ZCB Curve - Payment Dates'!$A$2:$A$246,0))</f>
        <v>0.97930710809714472</v>
      </c>
      <c r="E84" s="32">
        <f t="shared" si="1"/>
        <v>1.6525807449139318</v>
      </c>
    </row>
    <row r="85" spans="1:5" x14ac:dyDescent="0.25">
      <c r="A85" s="17">
        <v>56</v>
      </c>
      <c r="B85" s="31">
        <v>46645</v>
      </c>
      <c r="C85" s="32">
        <f>INDEX('Input Data'!$B:$B,A85)/2+IF(A85&lt;&gt;A86,100,0)</f>
        <v>101.6875</v>
      </c>
      <c r="D85" s="33">
        <f>INDEX('ZCB Curve - Payment Dates'!$D$2:$D$246,MATCH(B85,'ZCB Curve - Payment Dates'!$A$2:$A$246,0))</f>
        <v>0.95829632303364787</v>
      </c>
      <c r="E85" s="32">
        <f t="shared" si="1"/>
        <v>97.44675734848407</v>
      </c>
    </row>
    <row r="86" spans="1:5" x14ac:dyDescent="0.25">
      <c r="A86" s="17">
        <v>57</v>
      </c>
      <c r="B86" s="31">
        <v>46295</v>
      </c>
      <c r="C86" s="32">
        <f>INDEX('Input Data'!$B:$B,A86)/2+IF(A86&lt;&gt;A87,100,0)</f>
        <v>0.1875</v>
      </c>
      <c r="D86" s="33">
        <f>INDEX('ZCB Curve - Payment Dates'!$D$2:$D$246,MATCH(B86,'ZCB Curve - Payment Dates'!$A$2:$A$246,0))</f>
        <v>0.9973127951237063</v>
      </c>
      <c r="E86" s="32">
        <f t="shared" si="1"/>
        <v>0.18699614908569492</v>
      </c>
    </row>
    <row r="87" spans="1:5" x14ac:dyDescent="0.25">
      <c r="A87" s="17">
        <v>57</v>
      </c>
      <c r="B87" s="31">
        <v>46477</v>
      </c>
      <c r="C87" s="32">
        <f>INDEX('Input Data'!$B:$B,A87)/2+IF(A87&lt;&gt;A88,100,0)</f>
        <v>0.1875</v>
      </c>
      <c r="D87" s="33">
        <f>INDEX('ZCB Curve - Payment Dates'!$D$2:$D$246,MATCH(B87,'ZCB Curve - Payment Dates'!$A$2:$A$246,0))</f>
        <v>0.97750981974188245</v>
      </c>
      <c r="E87" s="32">
        <f t="shared" si="1"/>
        <v>0.18328309120160297</v>
      </c>
    </row>
    <row r="88" spans="1:5" x14ac:dyDescent="0.25">
      <c r="A88" s="17">
        <v>57</v>
      </c>
      <c r="B88" s="31">
        <v>46660</v>
      </c>
      <c r="C88" s="32">
        <f>INDEX('Input Data'!$B:$B,A88)/2+IF(A88&lt;&gt;A89,100,0)</f>
        <v>100.1875</v>
      </c>
      <c r="D88" s="33">
        <f>INDEX('ZCB Curve - Payment Dates'!$D$2:$D$246,MATCH(B88,'ZCB Curve - Payment Dates'!$A$2:$A$246,0))</f>
        <v>0.95655761994841249</v>
      </c>
      <c r="E88" s="32">
        <f t="shared" si="1"/>
        <v>95.835116548581581</v>
      </c>
    </row>
    <row r="89" spans="1:5" x14ac:dyDescent="0.25">
      <c r="A89" s="17">
        <v>58</v>
      </c>
      <c r="B89" s="31">
        <v>46295</v>
      </c>
      <c r="C89" s="32">
        <f>INDEX('Input Data'!$B:$B,A89)/2+IF(A89&lt;&gt;A90,100,0)</f>
        <v>1.75</v>
      </c>
      <c r="D89" s="33">
        <f>INDEX('ZCB Curve - Payment Dates'!$D$2:$D$246,MATCH(B89,'ZCB Curve - Payment Dates'!$A$2:$A$246,0))</f>
        <v>0.9973127951237063</v>
      </c>
      <c r="E89" s="32">
        <f t="shared" si="1"/>
        <v>1.745297391466486</v>
      </c>
    </row>
    <row r="90" spans="1:5" x14ac:dyDescent="0.25">
      <c r="A90" s="17">
        <v>58</v>
      </c>
      <c r="B90" s="31">
        <v>46477</v>
      </c>
      <c r="C90" s="32">
        <f>INDEX('Input Data'!$B:$B,A90)/2+IF(A90&lt;&gt;A91,100,0)</f>
        <v>1.75</v>
      </c>
      <c r="D90" s="33">
        <f>INDEX('ZCB Curve - Payment Dates'!$D$2:$D$246,MATCH(B90,'ZCB Curve - Payment Dates'!$A$2:$A$246,0))</f>
        <v>0.97750981974188245</v>
      </c>
      <c r="E90" s="32">
        <f t="shared" si="1"/>
        <v>1.7106421845482942</v>
      </c>
    </row>
    <row r="91" spans="1:5" x14ac:dyDescent="0.25">
      <c r="A91" s="17">
        <v>58</v>
      </c>
      <c r="B91" s="31">
        <v>46660</v>
      </c>
      <c r="C91" s="32">
        <f>INDEX('Input Data'!$B:$B,A91)/2+IF(A91&lt;&gt;A92,100,0)</f>
        <v>101.75</v>
      </c>
      <c r="D91" s="33">
        <f>INDEX('ZCB Curve - Payment Dates'!$D$2:$D$246,MATCH(B91,'ZCB Curve - Payment Dates'!$A$2:$A$246,0))</f>
        <v>0.95655761994841249</v>
      </c>
      <c r="E91" s="32">
        <f t="shared" si="1"/>
        <v>97.329737829750968</v>
      </c>
    </row>
    <row r="92" spans="1:5" x14ac:dyDescent="0.25">
      <c r="A92" s="17">
        <v>59</v>
      </c>
      <c r="B92" s="31">
        <v>46295</v>
      </c>
      <c r="C92" s="32">
        <f>INDEX('Input Data'!$B:$B,A92)/2+IF(A92&lt;&gt;A93,100,0)</f>
        <v>2.0625</v>
      </c>
      <c r="D92" s="33">
        <f>INDEX('ZCB Curve - Payment Dates'!$D$2:$D$246,MATCH(B92,'ZCB Curve - Payment Dates'!$A$2:$A$246,0))</f>
        <v>0.9973127951237063</v>
      </c>
      <c r="E92" s="32">
        <f t="shared" si="1"/>
        <v>2.0569576399426444</v>
      </c>
    </row>
    <row r="93" spans="1:5" x14ac:dyDescent="0.25">
      <c r="A93" s="17">
        <v>59</v>
      </c>
      <c r="B93" s="31">
        <v>46477</v>
      </c>
      <c r="C93" s="32">
        <f>INDEX('Input Data'!$B:$B,A93)/2+IF(A93&lt;&gt;A94,100,0)</f>
        <v>2.0625</v>
      </c>
      <c r="D93" s="33">
        <f>INDEX('ZCB Curve - Payment Dates'!$D$2:$D$246,MATCH(B93,'ZCB Curve - Payment Dates'!$A$2:$A$246,0))</f>
        <v>0.97750981974188245</v>
      </c>
      <c r="E93" s="32">
        <f t="shared" si="1"/>
        <v>2.0161140032176323</v>
      </c>
    </row>
    <row r="94" spans="1:5" x14ac:dyDescent="0.25">
      <c r="A94" s="17">
        <v>59</v>
      </c>
      <c r="B94" s="31">
        <v>46660</v>
      </c>
      <c r="C94" s="32">
        <f>INDEX('Input Data'!$B:$B,A94)/2+IF(A94&lt;&gt;A95,100,0)</f>
        <v>102.0625</v>
      </c>
      <c r="D94" s="33">
        <f>INDEX('ZCB Curve - Payment Dates'!$D$2:$D$246,MATCH(B94,'ZCB Curve - Payment Dates'!$A$2:$A$246,0))</f>
        <v>0.95655761994841249</v>
      </c>
      <c r="E94" s="32">
        <f t="shared" si="1"/>
        <v>97.628662085984843</v>
      </c>
    </row>
    <row r="95" spans="1:5" x14ac:dyDescent="0.25">
      <c r="A95" s="17">
        <v>60</v>
      </c>
      <c r="B95" s="31">
        <v>46310</v>
      </c>
      <c r="C95" s="32">
        <f>INDEX('Input Data'!$B:$B,A95)/2+IF(A95&lt;&gt;A96,100,0)</f>
        <v>1.9375</v>
      </c>
      <c r="D95" s="33">
        <f>INDEX('ZCB Curve - Payment Dates'!$D$2:$D$246,MATCH(B95,'ZCB Curve - Payment Dates'!$A$2:$A$246,0))</f>
        <v>0.99574243370863547</v>
      </c>
      <c r="E95" s="32">
        <f t="shared" si="1"/>
        <v>1.9292509653104812</v>
      </c>
    </row>
    <row r="96" spans="1:5" x14ac:dyDescent="0.25">
      <c r="A96" s="17">
        <v>60</v>
      </c>
      <c r="B96" s="31">
        <v>46492</v>
      </c>
      <c r="C96" s="32">
        <f>INDEX('Input Data'!$B:$B,A96)/2+IF(A96&lt;&gt;A97,100,0)</f>
        <v>1.9375</v>
      </c>
      <c r="D96" s="33">
        <f>INDEX('ZCB Curve - Payment Dates'!$D$2:$D$246,MATCH(B96,'ZCB Curve - Payment Dates'!$A$2:$A$246,0))</f>
        <v>0.97582006260857235</v>
      </c>
      <c r="E96" s="32">
        <f t="shared" si="1"/>
        <v>1.8906513713041089</v>
      </c>
    </row>
    <row r="97" spans="1:5" x14ac:dyDescent="0.25">
      <c r="A97" s="17">
        <v>60</v>
      </c>
      <c r="B97" s="31">
        <v>46675</v>
      </c>
      <c r="C97" s="32">
        <f>INDEX('Input Data'!$B:$B,A97)/2+IF(A97&lt;&gt;A98,100,0)</f>
        <v>101.9375</v>
      </c>
      <c r="D97" s="33">
        <f>INDEX('ZCB Curve - Payment Dates'!$D$2:$D$246,MATCH(B97,'ZCB Curve - Payment Dates'!$A$2:$A$246,0))</f>
        <v>0.95481665580389952</v>
      </c>
      <c r="E97" s="32">
        <f t="shared" si="1"/>
        <v>97.33162285101001</v>
      </c>
    </row>
    <row r="98" spans="1:5" x14ac:dyDescent="0.25">
      <c r="A98" s="17">
        <v>61</v>
      </c>
      <c r="B98" s="31">
        <v>46326</v>
      </c>
      <c r="C98" s="32">
        <f>INDEX('Input Data'!$B:$B,A98)/2+IF(A98&lt;&gt;A99,100,0)</f>
        <v>0.25</v>
      </c>
      <c r="D98" s="33">
        <f>INDEX('ZCB Curve - Payment Dates'!$D$2:$D$246,MATCH(B98,'ZCB Curve - Payment Dates'!$A$2:$A$246,0))</f>
        <v>0.99405055111674689</v>
      </c>
      <c r="E98" s="32">
        <f t="shared" si="1"/>
        <v>0.24851263777918672</v>
      </c>
    </row>
    <row r="99" spans="1:5" x14ac:dyDescent="0.25">
      <c r="A99" s="17">
        <v>61</v>
      </c>
      <c r="B99" s="31">
        <v>46507</v>
      </c>
      <c r="C99" s="32">
        <f>INDEX('Input Data'!$B:$B,A99)/2+IF(A99&lt;&gt;A100,100,0)</f>
        <v>0.25</v>
      </c>
      <c r="D99" s="33">
        <f>INDEX('ZCB Curve - Payment Dates'!$D$2:$D$246,MATCH(B99,'ZCB Curve - Payment Dates'!$A$2:$A$246,0))</f>
        <v>0.97412390690574091</v>
      </c>
      <c r="E99" s="32">
        <f t="shared" si="1"/>
        <v>0.24353097672643523</v>
      </c>
    </row>
    <row r="100" spans="1:5" x14ac:dyDescent="0.25">
      <c r="A100" s="17">
        <v>61</v>
      </c>
      <c r="B100" s="31">
        <v>46691</v>
      </c>
      <c r="C100" s="32">
        <f>INDEX('Input Data'!$B:$B,A100)/2+IF(A100&lt;&gt;A101,100,0)</f>
        <v>100.25</v>
      </c>
      <c r="D100" s="33">
        <f>INDEX('ZCB Curve - Payment Dates'!$D$2:$D$246,MATCH(B100,'ZCB Curve - Payment Dates'!$A$2:$A$246,0))</f>
        <v>0.95295491595466364</v>
      </c>
      <c r="E100" s="32">
        <f t="shared" si="1"/>
        <v>95.533730324455036</v>
      </c>
    </row>
    <row r="101" spans="1:5" x14ac:dyDescent="0.25">
      <c r="A101" s="17">
        <v>62</v>
      </c>
      <c r="B101" s="31">
        <v>46326</v>
      </c>
      <c r="C101" s="32">
        <f>INDEX('Input Data'!$B:$B,A101)/2+IF(A101&lt;&gt;A102,100,0)</f>
        <v>1.75</v>
      </c>
      <c r="D101" s="33">
        <f>INDEX('ZCB Curve - Payment Dates'!$D$2:$D$246,MATCH(B101,'ZCB Curve - Payment Dates'!$A$2:$A$246,0))</f>
        <v>0.99405055111674689</v>
      </c>
      <c r="E101" s="32">
        <f t="shared" si="1"/>
        <v>1.7395884644543071</v>
      </c>
    </row>
    <row r="102" spans="1:5" x14ac:dyDescent="0.25">
      <c r="A102" s="17">
        <v>62</v>
      </c>
      <c r="B102" s="31">
        <v>46507</v>
      </c>
      <c r="C102" s="32">
        <f>INDEX('Input Data'!$B:$B,A102)/2+IF(A102&lt;&gt;A103,100,0)</f>
        <v>1.75</v>
      </c>
      <c r="D102" s="33">
        <f>INDEX('ZCB Curve - Payment Dates'!$D$2:$D$246,MATCH(B102,'ZCB Curve - Payment Dates'!$A$2:$A$246,0))</f>
        <v>0.97412390690574091</v>
      </c>
      <c r="E102" s="32">
        <f t="shared" si="1"/>
        <v>1.7047168370850465</v>
      </c>
    </row>
    <row r="103" spans="1:5" x14ac:dyDescent="0.25">
      <c r="A103" s="17">
        <v>62</v>
      </c>
      <c r="B103" s="31">
        <v>46691</v>
      </c>
      <c r="C103" s="32">
        <f>INDEX('Input Data'!$B:$B,A103)/2+IF(A103&lt;&gt;A104,100,0)</f>
        <v>101.75</v>
      </c>
      <c r="D103" s="33">
        <f>INDEX('ZCB Curve - Payment Dates'!$D$2:$D$246,MATCH(B103,'ZCB Curve - Payment Dates'!$A$2:$A$246,0))</f>
        <v>0.95295491595466364</v>
      </c>
      <c r="E103" s="32">
        <f t="shared" si="1"/>
        <v>96.963162698387023</v>
      </c>
    </row>
    <row r="104" spans="1:5" x14ac:dyDescent="0.25">
      <c r="A104" s="17">
        <v>63</v>
      </c>
      <c r="B104" s="31">
        <v>46326</v>
      </c>
      <c r="C104" s="32">
        <f>INDEX('Input Data'!$B:$B,A104)/2+IF(A104&lt;&gt;A105,100,0)</f>
        <v>2.0625</v>
      </c>
      <c r="D104" s="33">
        <f>INDEX('ZCB Curve - Payment Dates'!$D$2:$D$246,MATCH(B104,'ZCB Curve - Payment Dates'!$A$2:$A$246,0))</f>
        <v>0.99405055111674689</v>
      </c>
      <c r="E104" s="32">
        <f t="shared" si="1"/>
        <v>2.0502292616782904</v>
      </c>
    </row>
    <row r="105" spans="1:5" x14ac:dyDescent="0.25">
      <c r="A105" s="17">
        <v>63</v>
      </c>
      <c r="B105" s="31">
        <v>46507</v>
      </c>
      <c r="C105" s="32">
        <f>INDEX('Input Data'!$B:$B,A105)/2+IF(A105&lt;&gt;A106,100,0)</f>
        <v>2.0625</v>
      </c>
      <c r="D105" s="33">
        <f>INDEX('ZCB Curve - Payment Dates'!$D$2:$D$246,MATCH(B105,'ZCB Curve - Payment Dates'!$A$2:$A$246,0))</f>
        <v>0.97412390690574091</v>
      </c>
      <c r="E105" s="32">
        <f t="shared" si="1"/>
        <v>2.0091305579930907</v>
      </c>
    </row>
    <row r="106" spans="1:5" x14ac:dyDescent="0.25">
      <c r="A106" s="17">
        <v>63</v>
      </c>
      <c r="B106" s="31">
        <v>46691</v>
      </c>
      <c r="C106" s="32">
        <f>INDEX('Input Data'!$B:$B,A106)/2+IF(A106&lt;&gt;A107,100,0)</f>
        <v>102.0625</v>
      </c>
      <c r="D106" s="33">
        <f>INDEX('ZCB Curve - Payment Dates'!$D$2:$D$246,MATCH(B106,'ZCB Curve - Payment Dates'!$A$2:$A$246,0))</f>
        <v>0.95295491595466364</v>
      </c>
      <c r="E106" s="32">
        <f t="shared" si="1"/>
        <v>97.260961109622855</v>
      </c>
    </row>
    <row r="107" spans="1:5" x14ac:dyDescent="0.25">
      <c r="A107" s="17">
        <v>64</v>
      </c>
      <c r="B107" s="31">
        <v>46341</v>
      </c>
      <c r="C107" s="32">
        <f>INDEX('Input Data'!$B:$B,A107)/2+IF(A107&lt;&gt;A108,100,0)</f>
        <v>1.125</v>
      </c>
      <c r="D107" s="33">
        <f>INDEX('ZCB Curve - Payment Dates'!$D$2:$D$246,MATCH(B107,'ZCB Curve - Payment Dates'!$A$2:$A$246,0))</f>
        <v>0.99245367292309439</v>
      </c>
      <c r="E107" s="32">
        <f t="shared" si="1"/>
        <v>1.1165103820384812</v>
      </c>
    </row>
    <row r="108" spans="1:5" x14ac:dyDescent="0.25">
      <c r="A108" s="17">
        <v>64</v>
      </c>
      <c r="B108" s="31">
        <v>46522</v>
      </c>
      <c r="C108" s="32">
        <f>INDEX('Input Data'!$B:$B,A108)/2+IF(A108&lt;&gt;A109,100,0)</f>
        <v>1.125</v>
      </c>
      <c r="D108" s="33">
        <f>INDEX('ZCB Curve - Payment Dates'!$D$2:$D$246,MATCH(B108,'ZCB Curve - Payment Dates'!$A$2:$A$246,0))</f>
        <v>0.97242179559611874</v>
      </c>
      <c r="E108" s="32">
        <f t="shared" si="1"/>
        <v>1.0939745200456337</v>
      </c>
    </row>
    <row r="109" spans="1:5" x14ac:dyDescent="0.25">
      <c r="A109" s="17">
        <v>64</v>
      </c>
      <c r="B109" s="31">
        <v>46706</v>
      </c>
      <c r="C109" s="32">
        <f>INDEX('Input Data'!$B:$B,A109)/2+IF(A109&lt;&gt;A110,100,0)</f>
        <v>101.125</v>
      </c>
      <c r="D109" s="33">
        <f>INDEX('ZCB Curve - Payment Dates'!$D$2:$D$246,MATCH(B109,'ZCB Curve - Payment Dates'!$A$2:$A$246,0))</f>
        <v>0.95121018311627348</v>
      </c>
      <c r="E109" s="32">
        <f t="shared" si="1"/>
        <v>96.191129767633157</v>
      </c>
    </row>
    <row r="110" spans="1:5" x14ac:dyDescent="0.25">
      <c r="A110" s="17">
        <v>65</v>
      </c>
      <c r="B110" s="31">
        <v>46341</v>
      </c>
      <c r="C110" s="32">
        <f>INDEX('Input Data'!$B:$B,A110)/2+IF(A110&lt;&gt;A111,100,0)</f>
        <v>2.0625</v>
      </c>
      <c r="D110" s="33">
        <f>INDEX('ZCB Curve - Payment Dates'!$D$2:$D$246,MATCH(B110,'ZCB Curve - Payment Dates'!$A$2:$A$246,0))</f>
        <v>0.99245367292309439</v>
      </c>
      <c r="E110" s="32">
        <f t="shared" si="1"/>
        <v>2.046935700403882</v>
      </c>
    </row>
    <row r="111" spans="1:5" x14ac:dyDescent="0.25">
      <c r="A111" s="17">
        <v>65</v>
      </c>
      <c r="B111" s="31">
        <v>46522</v>
      </c>
      <c r="C111" s="32">
        <f>INDEX('Input Data'!$B:$B,A111)/2+IF(A111&lt;&gt;A112,100,0)</f>
        <v>2.0625</v>
      </c>
      <c r="D111" s="33">
        <f>INDEX('ZCB Curve - Payment Dates'!$D$2:$D$246,MATCH(B111,'ZCB Curve - Payment Dates'!$A$2:$A$246,0))</f>
        <v>0.97242179559611874</v>
      </c>
      <c r="E111" s="32">
        <f t="shared" si="1"/>
        <v>2.0056199534169949</v>
      </c>
    </row>
    <row r="112" spans="1:5" x14ac:dyDescent="0.25">
      <c r="A112" s="17">
        <v>65</v>
      </c>
      <c r="B112" s="31">
        <v>46706</v>
      </c>
      <c r="C112" s="32">
        <f>INDEX('Input Data'!$B:$B,A112)/2+IF(A112&lt;&gt;A113,100,0)</f>
        <v>102.0625</v>
      </c>
      <c r="D112" s="33">
        <f>INDEX('ZCB Curve - Payment Dates'!$D$2:$D$246,MATCH(B112,'ZCB Curve - Payment Dates'!$A$2:$A$246,0))</f>
        <v>0.95121018311627348</v>
      </c>
      <c r="E112" s="32">
        <f t="shared" si="1"/>
        <v>97.082889314304666</v>
      </c>
    </row>
    <row r="113" spans="1:5" x14ac:dyDescent="0.25">
      <c r="A113" s="17">
        <v>66</v>
      </c>
      <c r="B113" s="31">
        <v>46341</v>
      </c>
      <c r="C113" s="32">
        <f>INDEX('Input Data'!$B:$B,A113)/2+IF(A113&lt;&gt;A114,100,0)</f>
        <v>3.0625</v>
      </c>
      <c r="D113" s="33">
        <f>INDEX('ZCB Curve - Payment Dates'!$D$2:$D$246,MATCH(B113,'ZCB Curve - Payment Dates'!$A$2:$A$246,0))</f>
        <v>0.99245367292309439</v>
      </c>
      <c r="E113" s="32">
        <f t="shared" si="1"/>
        <v>3.0393893733269763</v>
      </c>
    </row>
    <row r="114" spans="1:5" x14ac:dyDescent="0.25">
      <c r="A114" s="17">
        <v>66</v>
      </c>
      <c r="B114" s="31">
        <v>46522</v>
      </c>
      <c r="C114" s="32">
        <f>INDEX('Input Data'!$B:$B,A114)/2+IF(A114&lt;&gt;A115,100,0)</f>
        <v>3.0625</v>
      </c>
      <c r="D114" s="33">
        <f>INDEX('ZCB Curve - Payment Dates'!$D$2:$D$246,MATCH(B114,'ZCB Curve - Payment Dates'!$A$2:$A$246,0))</f>
        <v>0.97242179559611874</v>
      </c>
      <c r="E114" s="32">
        <f t="shared" si="1"/>
        <v>2.9780417490131135</v>
      </c>
    </row>
    <row r="115" spans="1:5" x14ac:dyDescent="0.25">
      <c r="A115" s="17">
        <v>66</v>
      </c>
      <c r="B115" s="31">
        <v>46706</v>
      </c>
      <c r="C115" s="32">
        <f>INDEX('Input Data'!$B:$B,A115)/2+IF(A115&lt;&gt;A116,100,0)</f>
        <v>103.0625</v>
      </c>
      <c r="D115" s="33">
        <f>INDEX('ZCB Curve - Payment Dates'!$D$2:$D$246,MATCH(B115,'ZCB Curve - Payment Dates'!$A$2:$A$246,0))</f>
        <v>0.95121018311627348</v>
      </c>
      <c r="E115" s="32">
        <f t="shared" si="1"/>
        <v>98.034099497420939</v>
      </c>
    </row>
    <row r="116" spans="1:5" x14ac:dyDescent="0.25">
      <c r="A116" s="17">
        <v>67</v>
      </c>
      <c r="B116" s="31">
        <v>46356</v>
      </c>
      <c r="C116" s="32">
        <f>INDEX('Input Data'!$B:$B,A116)/2+IF(A116&lt;&gt;A117,100,0)</f>
        <v>0.3125</v>
      </c>
      <c r="D116" s="33">
        <f>INDEX('ZCB Curve - Payment Dates'!$D$2:$D$246,MATCH(B116,'ZCB Curve - Payment Dates'!$A$2:$A$246,0))</f>
        <v>0.99084497326382592</v>
      </c>
      <c r="E116" s="32">
        <f t="shared" si="1"/>
        <v>0.30963905414494558</v>
      </c>
    </row>
    <row r="117" spans="1:5" x14ac:dyDescent="0.25">
      <c r="A117" s="17">
        <v>67</v>
      </c>
      <c r="B117" s="31">
        <v>46538</v>
      </c>
      <c r="C117" s="32">
        <f>INDEX('Input Data'!$B:$B,A117)/2+IF(A117&lt;&gt;A118,100,0)</f>
        <v>0.3125</v>
      </c>
      <c r="D117" s="33">
        <f>INDEX('ZCB Curve - Payment Dates'!$D$2:$D$246,MATCH(B117,'ZCB Curve - Payment Dates'!$A$2:$A$246,0))</f>
        <v>0.97060179184855555</v>
      </c>
      <c r="E117" s="32">
        <f t="shared" si="1"/>
        <v>0.3033130599526736</v>
      </c>
    </row>
    <row r="118" spans="1:5" x14ac:dyDescent="0.25">
      <c r="A118" s="17">
        <v>67</v>
      </c>
      <c r="B118" s="31">
        <v>46721</v>
      </c>
      <c r="C118" s="32">
        <f>INDEX('Input Data'!$B:$B,A118)/2+IF(A118&lt;&gt;A119,100,0)</f>
        <v>100.3125</v>
      </c>
      <c r="D118" s="33">
        <f>INDEX('ZCB Curve - Payment Dates'!$D$2:$D$246,MATCH(B118,'ZCB Curve - Payment Dates'!$A$2:$A$246,0))</f>
        <v>0.94946404326393219</v>
      </c>
      <c r="E118" s="32">
        <f t="shared" si="1"/>
        <v>95.243111839913198</v>
      </c>
    </row>
    <row r="119" spans="1:5" x14ac:dyDescent="0.25">
      <c r="A119" s="17">
        <v>68</v>
      </c>
      <c r="B119" s="31">
        <v>46356</v>
      </c>
      <c r="C119" s="32">
        <f>INDEX('Input Data'!$B:$B,A119)/2+IF(A119&lt;&gt;A120,100,0)</f>
        <v>1.6875</v>
      </c>
      <c r="D119" s="33">
        <f>INDEX('ZCB Curve - Payment Dates'!$D$2:$D$246,MATCH(B119,'ZCB Curve - Payment Dates'!$A$2:$A$246,0))</f>
        <v>0.99084497326382592</v>
      </c>
      <c r="E119" s="32">
        <f t="shared" si="1"/>
        <v>1.6720508923827062</v>
      </c>
    </row>
    <row r="120" spans="1:5" x14ac:dyDescent="0.25">
      <c r="A120" s="17">
        <v>68</v>
      </c>
      <c r="B120" s="31">
        <v>46538</v>
      </c>
      <c r="C120" s="32">
        <f>INDEX('Input Data'!$B:$B,A120)/2+IF(A120&lt;&gt;A121,100,0)</f>
        <v>1.6875</v>
      </c>
      <c r="D120" s="33">
        <f>INDEX('ZCB Curve - Payment Dates'!$D$2:$D$246,MATCH(B120,'ZCB Curve - Payment Dates'!$A$2:$A$246,0))</f>
        <v>0.97060179184855555</v>
      </c>
      <c r="E120" s="32">
        <f t="shared" si="1"/>
        <v>1.6378905237444374</v>
      </c>
    </row>
    <row r="121" spans="1:5" x14ac:dyDescent="0.25">
      <c r="A121" s="17">
        <v>68</v>
      </c>
      <c r="B121" s="31">
        <v>46721</v>
      </c>
      <c r="C121" s="32">
        <f>INDEX('Input Data'!$B:$B,A121)/2+IF(A121&lt;&gt;A122,100,0)</f>
        <v>101.6875</v>
      </c>
      <c r="D121" s="33">
        <f>INDEX('ZCB Curve - Payment Dates'!$D$2:$D$246,MATCH(B121,'ZCB Curve - Payment Dates'!$A$2:$A$246,0))</f>
        <v>0.94946404326393219</v>
      </c>
      <c r="E121" s="32">
        <f t="shared" si="1"/>
        <v>96.548624899401105</v>
      </c>
    </row>
    <row r="122" spans="1:5" x14ac:dyDescent="0.25">
      <c r="A122" s="17">
        <v>69</v>
      </c>
      <c r="B122" s="31">
        <v>46356</v>
      </c>
      <c r="C122" s="32">
        <f>INDEX('Input Data'!$B:$B,A122)/2+IF(A122&lt;&gt;A123,100,0)</f>
        <v>1.9375</v>
      </c>
      <c r="D122" s="33">
        <f>INDEX('ZCB Curve - Payment Dates'!$D$2:$D$246,MATCH(B122,'ZCB Curve - Payment Dates'!$A$2:$A$246,0))</f>
        <v>0.99084497326382592</v>
      </c>
      <c r="E122" s="32">
        <f t="shared" si="1"/>
        <v>1.9197621356986627</v>
      </c>
    </row>
    <row r="123" spans="1:5" x14ac:dyDescent="0.25">
      <c r="A123" s="17">
        <v>69</v>
      </c>
      <c r="B123" s="31">
        <v>46538</v>
      </c>
      <c r="C123" s="32">
        <f>INDEX('Input Data'!$B:$B,A123)/2+IF(A123&lt;&gt;A124,100,0)</f>
        <v>1.9375</v>
      </c>
      <c r="D123" s="33">
        <f>INDEX('ZCB Curve - Payment Dates'!$D$2:$D$246,MATCH(B123,'ZCB Curve - Payment Dates'!$A$2:$A$246,0))</f>
        <v>0.97060179184855555</v>
      </c>
      <c r="E123" s="32">
        <f t="shared" si="1"/>
        <v>1.8805409717065764</v>
      </c>
    </row>
    <row r="124" spans="1:5" x14ac:dyDescent="0.25">
      <c r="A124" s="17">
        <v>69</v>
      </c>
      <c r="B124" s="31">
        <v>46721</v>
      </c>
      <c r="C124" s="32">
        <f>INDEX('Input Data'!$B:$B,A124)/2+IF(A124&lt;&gt;A125,100,0)</f>
        <v>101.9375</v>
      </c>
      <c r="D124" s="33">
        <f>INDEX('ZCB Curve - Payment Dates'!$D$2:$D$246,MATCH(B124,'ZCB Curve - Payment Dates'!$A$2:$A$246,0))</f>
        <v>0.94946404326393219</v>
      </c>
      <c r="E124" s="32">
        <f t="shared" si="1"/>
        <v>96.785990910217095</v>
      </c>
    </row>
    <row r="125" spans="1:5" x14ac:dyDescent="0.25">
      <c r="A125" s="17">
        <v>70</v>
      </c>
      <c r="B125" s="31">
        <v>46371</v>
      </c>
      <c r="C125" s="32">
        <f>INDEX('Input Data'!$B:$B,A125)/2+IF(A125&lt;&gt;A126,100,0)</f>
        <v>2</v>
      </c>
      <c r="D125" s="33">
        <f>INDEX('ZCB Curve - Payment Dates'!$D$2:$D$246,MATCH(B125,'ZCB Curve - Payment Dates'!$A$2:$A$246,0))</f>
        <v>0.98922507612573607</v>
      </c>
      <c r="E125" s="32">
        <f t="shared" si="1"/>
        <v>1.9784501522514721</v>
      </c>
    </row>
    <row r="126" spans="1:5" x14ac:dyDescent="0.25">
      <c r="A126" s="17">
        <v>70</v>
      </c>
      <c r="B126" s="31">
        <v>46553</v>
      </c>
      <c r="C126" s="32">
        <f>INDEX('Input Data'!$B:$B,A126)/2+IF(A126&lt;&gt;A127,100,0)</f>
        <v>2</v>
      </c>
      <c r="D126" s="33">
        <f>INDEX('ZCB Curve - Payment Dates'!$D$2:$D$246,MATCH(B126,'ZCB Curve - Payment Dates'!$A$2:$A$246,0))</f>
        <v>0.96888871419984679</v>
      </c>
      <c r="E126" s="32">
        <f t="shared" si="1"/>
        <v>1.9377774283996936</v>
      </c>
    </row>
    <row r="127" spans="1:5" x14ac:dyDescent="0.25">
      <c r="A127" s="17">
        <v>70</v>
      </c>
      <c r="B127" s="31">
        <v>46736</v>
      </c>
      <c r="C127" s="32">
        <f>INDEX('Input Data'!$B:$B,A127)/2+IF(A127&lt;&gt;A128,100,0)</f>
        <v>102</v>
      </c>
      <c r="D127" s="33">
        <f>INDEX('ZCB Curve - Payment Dates'!$D$2:$D$246,MATCH(B127,'ZCB Curve - Payment Dates'!$A$2:$A$246,0))</f>
        <v>0.94771675230658103</v>
      </c>
      <c r="E127" s="32">
        <f t="shared" si="1"/>
        <v>96.66710873527127</v>
      </c>
    </row>
    <row r="128" spans="1:5" x14ac:dyDescent="0.25">
      <c r="A128" s="17">
        <v>71</v>
      </c>
      <c r="B128" s="31">
        <v>46387</v>
      </c>
      <c r="C128" s="32">
        <f>INDEX('Input Data'!$B:$B,A128)/2+IF(A128&lt;&gt;A129,100,0)</f>
        <v>0.3125</v>
      </c>
      <c r="D128" s="33">
        <f>INDEX('ZCB Curve - Payment Dates'!$D$2:$D$246,MATCH(B128,'ZCB Curve - Payment Dates'!$A$2:$A$246,0))</f>
        <v>0.987487116303851</v>
      </c>
      <c r="E128" s="32">
        <f t="shared" si="1"/>
        <v>0.30858972384495342</v>
      </c>
    </row>
    <row r="129" spans="1:5" x14ac:dyDescent="0.25">
      <c r="A129" s="17">
        <v>71</v>
      </c>
      <c r="B129" s="31">
        <v>46568</v>
      </c>
      <c r="C129" s="32">
        <f>INDEX('Input Data'!$B:$B,A129)/2+IF(A129&lt;&gt;A130,100,0)</f>
        <v>0.3125</v>
      </c>
      <c r="D129" s="33">
        <f>INDEX('ZCB Curve - Payment Dates'!$D$2:$D$246,MATCH(B129,'ZCB Curve - Payment Dates'!$A$2:$A$246,0))</f>
        <v>0.96717094344557664</v>
      </c>
      <c r="E129" s="32">
        <f t="shared" si="1"/>
        <v>0.30224091982674273</v>
      </c>
    </row>
    <row r="130" spans="1:5" x14ac:dyDescent="0.25">
      <c r="A130" s="17">
        <v>71</v>
      </c>
      <c r="B130" s="31">
        <v>46752</v>
      </c>
      <c r="C130" s="32">
        <f>INDEX('Input Data'!$B:$B,A130)/2+IF(A130&lt;&gt;A131,100,0)</f>
        <v>100.3125</v>
      </c>
      <c r="D130" s="33">
        <f>INDEX('ZCB Curve - Payment Dates'!$D$2:$D$246,MATCH(B130,'ZCB Curve - Payment Dates'!$A$2:$A$246,0))</f>
        <v>0.94585368463190456</v>
      </c>
      <c r="E130" s="32">
        <f t="shared" ref="E130:E193" si="2">C130*D130</f>
        <v>94.880947739637932</v>
      </c>
    </row>
    <row r="131" spans="1:5" x14ac:dyDescent="0.25">
      <c r="A131" s="17">
        <v>72</v>
      </c>
      <c r="B131" s="31">
        <v>46387</v>
      </c>
      <c r="C131" s="32">
        <f>INDEX('Input Data'!$B:$B,A131)/2+IF(A131&lt;&gt;A132,100,0)</f>
        <v>1.6875</v>
      </c>
      <c r="D131" s="33">
        <f>INDEX('ZCB Curve - Payment Dates'!$D$2:$D$246,MATCH(B131,'ZCB Curve - Payment Dates'!$A$2:$A$246,0))</f>
        <v>0.987487116303851</v>
      </c>
      <c r="E131" s="32">
        <f t="shared" si="2"/>
        <v>1.6663845087627485</v>
      </c>
    </row>
    <row r="132" spans="1:5" x14ac:dyDescent="0.25">
      <c r="A132" s="17">
        <v>72</v>
      </c>
      <c r="B132" s="31">
        <v>46568</v>
      </c>
      <c r="C132" s="32">
        <f>INDEX('Input Data'!$B:$B,A132)/2+IF(A132&lt;&gt;A133,100,0)</f>
        <v>1.6875</v>
      </c>
      <c r="D132" s="33">
        <f>INDEX('ZCB Curve - Payment Dates'!$D$2:$D$246,MATCH(B132,'ZCB Curve - Payment Dates'!$A$2:$A$246,0))</f>
        <v>0.96717094344557664</v>
      </c>
      <c r="E132" s="32">
        <f t="shared" si="2"/>
        <v>1.6321009670644107</v>
      </c>
    </row>
    <row r="133" spans="1:5" x14ac:dyDescent="0.25">
      <c r="A133" s="17">
        <v>72</v>
      </c>
      <c r="B133" s="31">
        <v>46752</v>
      </c>
      <c r="C133" s="32">
        <f>INDEX('Input Data'!$B:$B,A133)/2+IF(A133&lt;&gt;A134,100,0)</f>
        <v>101.6875</v>
      </c>
      <c r="D133" s="33">
        <f>INDEX('ZCB Curve - Payment Dates'!$D$2:$D$246,MATCH(B133,'ZCB Curve - Payment Dates'!$A$2:$A$246,0))</f>
        <v>0.94585368463190456</v>
      </c>
      <c r="E133" s="32">
        <f t="shared" si="2"/>
        <v>96.181496556006792</v>
      </c>
    </row>
    <row r="134" spans="1:5" x14ac:dyDescent="0.25">
      <c r="A134" s="17">
        <v>73</v>
      </c>
      <c r="B134" s="31">
        <v>46387</v>
      </c>
      <c r="C134" s="32">
        <f>INDEX('Input Data'!$B:$B,A134)/2+IF(A134&lt;&gt;A135,100,0)</f>
        <v>1.9375</v>
      </c>
      <c r="D134" s="33">
        <f>INDEX('ZCB Curve - Payment Dates'!$D$2:$D$246,MATCH(B134,'ZCB Curve - Payment Dates'!$A$2:$A$246,0))</f>
        <v>0.987487116303851</v>
      </c>
      <c r="E134" s="32">
        <f t="shared" si="2"/>
        <v>1.9132562878387114</v>
      </c>
    </row>
    <row r="135" spans="1:5" x14ac:dyDescent="0.25">
      <c r="A135" s="17">
        <v>73</v>
      </c>
      <c r="B135" s="31">
        <v>46568</v>
      </c>
      <c r="C135" s="32">
        <f>INDEX('Input Data'!$B:$B,A135)/2+IF(A135&lt;&gt;A136,100,0)</f>
        <v>1.9375</v>
      </c>
      <c r="D135" s="33">
        <f>INDEX('ZCB Curve - Payment Dates'!$D$2:$D$246,MATCH(B135,'ZCB Curve - Payment Dates'!$A$2:$A$246,0))</f>
        <v>0.96717094344557664</v>
      </c>
      <c r="E135" s="32">
        <f t="shared" si="2"/>
        <v>1.8738937029258047</v>
      </c>
    </row>
    <row r="136" spans="1:5" x14ac:dyDescent="0.25">
      <c r="A136" s="17">
        <v>73</v>
      </c>
      <c r="B136" s="31">
        <v>46752</v>
      </c>
      <c r="C136" s="32">
        <f>INDEX('Input Data'!$B:$B,A136)/2+IF(A136&lt;&gt;A137,100,0)</f>
        <v>101.9375</v>
      </c>
      <c r="D136" s="33">
        <f>INDEX('ZCB Curve - Payment Dates'!$D$2:$D$246,MATCH(B136,'ZCB Curve - Payment Dates'!$A$2:$A$246,0))</f>
        <v>0.94585368463190456</v>
      </c>
      <c r="E136" s="32">
        <f t="shared" si="2"/>
        <v>96.41795997716477</v>
      </c>
    </row>
    <row r="137" spans="1:5" x14ac:dyDescent="0.25">
      <c r="A137" s="17">
        <v>74</v>
      </c>
      <c r="B137" s="31">
        <v>46402</v>
      </c>
      <c r="C137" s="32">
        <f>INDEX('Input Data'!$B:$B,A137)/2+IF(A137&lt;&gt;A138,100,0)</f>
        <v>2.125</v>
      </c>
      <c r="D137" s="33">
        <f>INDEX('ZCB Curve - Payment Dates'!$D$2:$D$246,MATCH(B137,'ZCB Curve - Payment Dates'!$A$2:$A$246,0))</f>
        <v>0.98584597894241466</v>
      </c>
      <c r="E137" s="32">
        <f t="shared" si="2"/>
        <v>2.0949227052526314</v>
      </c>
    </row>
    <row r="138" spans="1:5" x14ac:dyDescent="0.25">
      <c r="A138" s="17">
        <v>74</v>
      </c>
      <c r="B138" s="31">
        <v>46583</v>
      </c>
      <c r="C138" s="32">
        <f>INDEX('Input Data'!$B:$B,A138)/2+IF(A138&lt;&gt;A139,100,0)</f>
        <v>2.125</v>
      </c>
      <c r="D138" s="33">
        <f>INDEX('ZCB Curve - Payment Dates'!$D$2:$D$246,MATCH(B138,'ZCB Curve - Payment Dates'!$A$2:$A$246,0))</f>
        <v>0.96544886161553756</v>
      </c>
      <c r="E138" s="32">
        <f t="shared" si="2"/>
        <v>2.0515788309330172</v>
      </c>
    </row>
    <row r="139" spans="1:5" x14ac:dyDescent="0.25">
      <c r="A139" s="17">
        <v>74</v>
      </c>
      <c r="B139" s="31">
        <v>46767</v>
      </c>
      <c r="C139" s="32">
        <f>INDEX('Input Data'!$B:$B,A139)/2+IF(A139&lt;&gt;A140,100,0)</f>
        <v>102.125</v>
      </c>
      <c r="D139" s="33">
        <f>INDEX('ZCB Curve - Payment Dates'!$D$2:$D$246,MATCH(B139,'ZCB Curve - Payment Dates'!$A$2:$A$246,0))</f>
        <v>0.94410478141292531</v>
      </c>
      <c r="E139" s="32">
        <f t="shared" si="2"/>
        <v>96.416700801795002</v>
      </c>
    </row>
    <row r="140" spans="1:5" x14ac:dyDescent="0.25">
      <c r="A140" s="17">
        <v>75</v>
      </c>
      <c r="B140" s="31">
        <v>46418</v>
      </c>
      <c r="C140" s="32">
        <f>INDEX('Input Data'!$B:$B,A140)/2+IF(A140&lt;&gt;A141,100,0)</f>
        <v>0.375</v>
      </c>
      <c r="D140" s="33">
        <f>INDEX('ZCB Curve - Payment Dates'!$D$2:$D$246,MATCH(B140,'ZCB Curve - Payment Dates'!$A$2:$A$246,0))</f>
        <v>0.98408668818349121</v>
      </c>
      <c r="E140" s="32">
        <f t="shared" si="2"/>
        <v>0.36903250806880922</v>
      </c>
    </row>
    <row r="141" spans="1:5" x14ac:dyDescent="0.25">
      <c r="A141" s="17">
        <v>75</v>
      </c>
      <c r="B141" s="31">
        <v>46599</v>
      </c>
      <c r="C141" s="32">
        <f>INDEX('Input Data'!$B:$B,A141)/2+IF(A141&lt;&gt;A142,100,0)</f>
        <v>0.375</v>
      </c>
      <c r="D141" s="33">
        <f>INDEX('ZCB Curve - Payment Dates'!$D$2:$D$246,MATCH(B141,'ZCB Curve - Payment Dates'!$A$2:$A$246,0))</f>
        <v>0.96360931883583933</v>
      </c>
      <c r="E141" s="32">
        <f t="shared" si="2"/>
        <v>0.36135349456343974</v>
      </c>
    </row>
    <row r="142" spans="1:5" x14ac:dyDescent="0.25">
      <c r="A142" s="17">
        <v>75</v>
      </c>
      <c r="B142" s="31">
        <v>46783</v>
      </c>
      <c r="C142" s="32">
        <f>INDEX('Input Data'!$B:$B,A142)/2+IF(A142&lt;&gt;A143,100,0)</f>
        <v>100.375</v>
      </c>
      <c r="D142" s="33">
        <f>INDEX('ZCB Curve - Payment Dates'!$D$2:$D$246,MATCH(B142,'ZCB Curve - Payment Dates'!$A$2:$A$246,0))</f>
        <v>0.94224051785347052</v>
      </c>
      <c r="E142" s="32">
        <f t="shared" si="2"/>
        <v>94.577391979542099</v>
      </c>
    </row>
    <row r="143" spans="1:5" x14ac:dyDescent="0.25">
      <c r="A143" s="17">
        <v>76</v>
      </c>
      <c r="B143" s="31">
        <v>46418</v>
      </c>
      <c r="C143" s="32">
        <f>INDEX('Input Data'!$B:$B,A143)/2+IF(A143&lt;&gt;A144,100,0)</f>
        <v>1.75</v>
      </c>
      <c r="D143" s="33">
        <f>INDEX('ZCB Curve - Payment Dates'!$D$2:$D$246,MATCH(B143,'ZCB Curve - Payment Dates'!$A$2:$A$246,0))</f>
        <v>0.98408668818349121</v>
      </c>
      <c r="E143" s="32">
        <f t="shared" si="2"/>
        <v>1.7221517043211096</v>
      </c>
    </row>
    <row r="144" spans="1:5" x14ac:dyDescent="0.25">
      <c r="A144" s="17">
        <v>76</v>
      </c>
      <c r="B144" s="31">
        <v>46599</v>
      </c>
      <c r="C144" s="32">
        <f>INDEX('Input Data'!$B:$B,A144)/2+IF(A144&lt;&gt;A145,100,0)</f>
        <v>1.75</v>
      </c>
      <c r="D144" s="33">
        <f>INDEX('ZCB Curve - Payment Dates'!$D$2:$D$246,MATCH(B144,'ZCB Curve - Payment Dates'!$A$2:$A$246,0))</f>
        <v>0.96360931883583933</v>
      </c>
      <c r="E144" s="32">
        <f t="shared" si="2"/>
        <v>1.6863163079627188</v>
      </c>
    </row>
    <row r="145" spans="1:5" x14ac:dyDescent="0.25">
      <c r="A145" s="17">
        <v>76</v>
      </c>
      <c r="B145" s="31">
        <v>46783</v>
      </c>
      <c r="C145" s="32">
        <f>INDEX('Input Data'!$B:$B,A145)/2+IF(A145&lt;&gt;A146,100,0)</f>
        <v>101.75</v>
      </c>
      <c r="D145" s="33">
        <f>INDEX('ZCB Curve - Payment Dates'!$D$2:$D$246,MATCH(B145,'ZCB Curve - Payment Dates'!$A$2:$A$246,0))</f>
        <v>0.94224051785347052</v>
      </c>
      <c r="E145" s="32">
        <f t="shared" si="2"/>
        <v>95.872972691590618</v>
      </c>
    </row>
    <row r="146" spans="1:5" x14ac:dyDescent="0.25">
      <c r="A146" s="17">
        <v>77</v>
      </c>
      <c r="B146" s="31">
        <v>46433</v>
      </c>
      <c r="C146" s="32">
        <f>INDEX('Input Data'!$B:$B,A146)/2+IF(A146&lt;&gt;A147,100,0)</f>
        <v>1.375</v>
      </c>
      <c r="D146" s="33">
        <f>INDEX('ZCB Curve - Payment Dates'!$D$2:$D$246,MATCH(B146,'ZCB Curve - Payment Dates'!$A$2:$A$246,0))</f>
        <v>0.98242671792446301</v>
      </c>
      <c r="E146" s="32">
        <f t="shared" si="2"/>
        <v>1.3508367371461367</v>
      </c>
    </row>
    <row r="147" spans="1:5" x14ac:dyDescent="0.25">
      <c r="A147" s="17">
        <v>77</v>
      </c>
      <c r="B147" s="31">
        <v>46614</v>
      </c>
      <c r="C147" s="32">
        <f>INDEX('Input Data'!$B:$B,A147)/2+IF(A147&lt;&gt;A148,100,0)</f>
        <v>1.375</v>
      </c>
      <c r="D147" s="33">
        <f>INDEX('ZCB Curve - Payment Dates'!$D$2:$D$246,MATCH(B147,'ZCB Curve - Payment Dates'!$A$2:$A$246,0))</f>
        <v>0.96187948164765535</v>
      </c>
      <c r="E147" s="32">
        <f t="shared" si="2"/>
        <v>1.322584287265526</v>
      </c>
    </row>
    <row r="148" spans="1:5" x14ac:dyDescent="0.25">
      <c r="A148" s="17">
        <v>77</v>
      </c>
      <c r="B148" s="31">
        <v>46798</v>
      </c>
      <c r="C148" s="32">
        <f>INDEX('Input Data'!$B:$B,A148)/2+IF(A148&lt;&gt;A149,100,0)</f>
        <v>101.375</v>
      </c>
      <c r="D148" s="33">
        <f>INDEX('ZCB Curve - Payment Dates'!$D$2:$D$246,MATCH(B148,'ZCB Curve - Payment Dates'!$A$2:$A$246,0))</f>
        <v>0.94049096132648802</v>
      </c>
      <c r="E148" s="32">
        <f t="shared" si="2"/>
        <v>95.342271204472723</v>
      </c>
    </row>
    <row r="149" spans="1:5" x14ac:dyDescent="0.25">
      <c r="A149" s="17">
        <v>78</v>
      </c>
      <c r="B149" s="31">
        <v>46433</v>
      </c>
      <c r="C149" s="32">
        <f>INDEX('Input Data'!$B:$B,A149)/2+IF(A149&lt;&gt;A150,100,0)</f>
        <v>2.125</v>
      </c>
      <c r="D149" s="33">
        <f>INDEX('ZCB Curve - Payment Dates'!$D$2:$D$246,MATCH(B149,'ZCB Curve - Payment Dates'!$A$2:$A$246,0))</f>
        <v>0.98242671792446301</v>
      </c>
      <c r="E149" s="32">
        <f t="shared" si="2"/>
        <v>2.0876567755894837</v>
      </c>
    </row>
    <row r="150" spans="1:5" x14ac:dyDescent="0.25">
      <c r="A150" s="17">
        <v>78</v>
      </c>
      <c r="B150" s="31">
        <v>46614</v>
      </c>
      <c r="C150" s="32">
        <f>INDEX('Input Data'!$B:$B,A150)/2+IF(A150&lt;&gt;A151,100,0)</f>
        <v>2.125</v>
      </c>
      <c r="D150" s="33">
        <f>INDEX('ZCB Curve - Payment Dates'!$D$2:$D$246,MATCH(B150,'ZCB Curve - Payment Dates'!$A$2:$A$246,0))</f>
        <v>0.96187948164765535</v>
      </c>
      <c r="E150" s="32">
        <f t="shared" si="2"/>
        <v>2.0439938985012676</v>
      </c>
    </row>
    <row r="151" spans="1:5" x14ac:dyDescent="0.25">
      <c r="A151" s="17">
        <v>78</v>
      </c>
      <c r="B151" s="31">
        <v>46798</v>
      </c>
      <c r="C151" s="32">
        <f>INDEX('Input Data'!$B:$B,A151)/2+IF(A151&lt;&gt;A152,100,0)</f>
        <v>102.125</v>
      </c>
      <c r="D151" s="33">
        <f>INDEX('ZCB Curve - Payment Dates'!$D$2:$D$246,MATCH(B151,'ZCB Curve - Payment Dates'!$A$2:$A$246,0))</f>
        <v>0.94049096132648802</v>
      </c>
      <c r="E151" s="32">
        <f t="shared" si="2"/>
        <v>96.047639425467594</v>
      </c>
    </row>
    <row r="152" spans="1:5" x14ac:dyDescent="0.25">
      <c r="A152" s="17">
        <v>79</v>
      </c>
      <c r="B152" s="31">
        <v>46446</v>
      </c>
      <c r="C152" s="32">
        <f>INDEX('Input Data'!$B:$B,A152)/2+IF(A152&lt;&gt;A153,100,0)</f>
        <v>0.5625</v>
      </c>
      <c r="D152" s="33">
        <f>INDEX('ZCB Curve - Payment Dates'!$D$2:$D$246,MATCH(B152,'ZCB Curve - Payment Dates'!$A$2:$A$246,0))</f>
        <v>0.98098215746395478</v>
      </c>
      <c r="E152" s="32">
        <f t="shared" si="2"/>
        <v>0.55180246357347462</v>
      </c>
    </row>
    <row r="153" spans="1:5" x14ac:dyDescent="0.25">
      <c r="A153" s="17">
        <v>79</v>
      </c>
      <c r="B153" s="31">
        <v>46630</v>
      </c>
      <c r="C153" s="32">
        <f>INDEX('Input Data'!$B:$B,A153)/2+IF(A153&lt;&gt;A154,100,0)</f>
        <v>0.5625</v>
      </c>
      <c r="D153" s="33">
        <f>INDEX('ZCB Curve - Payment Dates'!$D$2:$D$246,MATCH(B153,'ZCB Curve - Payment Dates'!$A$2:$A$246,0))</f>
        <v>0.96003246313192503</v>
      </c>
      <c r="E153" s="32">
        <f t="shared" si="2"/>
        <v>0.54001826051170787</v>
      </c>
    </row>
    <row r="154" spans="1:5" x14ac:dyDescent="0.25">
      <c r="A154" s="17">
        <v>79</v>
      </c>
      <c r="B154" s="31">
        <v>46812</v>
      </c>
      <c r="C154" s="32">
        <f>INDEX('Input Data'!$B:$B,A154)/2+IF(A154&lt;&gt;A155,100,0)</f>
        <v>100.5625</v>
      </c>
      <c r="D154" s="33">
        <f>INDEX('ZCB Curve - Payment Dates'!$D$2:$D$246,MATCH(B154,'ZCB Curve - Payment Dates'!$A$2:$A$246,0))</f>
        <v>0.938856338180596</v>
      </c>
      <c r="E154" s="32">
        <f t="shared" si="2"/>
        <v>94.413740508286182</v>
      </c>
    </row>
    <row r="155" spans="1:5" x14ac:dyDescent="0.25">
      <c r="A155" s="17">
        <v>80</v>
      </c>
      <c r="B155" s="31">
        <v>46446</v>
      </c>
      <c r="C155" s="32">
        <f>INDEX('Input Data'!$B:$B,A155)/2+IF(A155&lt;&gt;A156,100,0)</f>
        <v>1.6875</v>
      </c>
      <c r="D155" s="33">
        <f>INDEX('ZCB Curve - Payment Dates'!$D$2:$D$246,MATCH(B155,'ZCB Curve - Payment Dates'!$A$2:$A$246,0))</f>
        <v>0.98098215746395478</v>
      </c>
      <c r="E155" s="32">
        <f t="shared" si="2"/>
        <v>1.6554073907204236</v>
      </c>
    </row>
    <row r="156" spans="1:5" x14ac:dyDescent="0.25">
      <c r="A156" s="17">
        <v>80</v>
      </c>
      <c r="B156" s="31">
        <v>46630</v>
      </c>
      <c r="C156" s="32">
        <f>INDEX('Input Data'!$B:$B,A156)/2+IF(A156&lt;&gt;A157,100,0)</f>
        <v>1.6875</v>
      </c>
      <c r="D156" s="33">
        <f>INDEX('ZCB Curve - Payment Dates'!$D$2:$D$246,MATCH(B156,'ZCB Curve - Payment Dates'!$A$2:$A$246,0))</f>
        <v>0.96003246313192503</v>
      </c>
      <c r="E156" s="32">
        <f t="shared" si="2"/>
        <v>1.6200547815351234</v>
      </c>
    </row>
    <row r="157" spans="1:5" x14ac:dyDescent="0.25">
      <c r="A157" s="17">
        <v>80</v>
      </c>
      <c r="B157" s="31">
        <v>46812</v>
      </c>
      <c r="C157" s="32">
        <f>INDEX('Input Data'!$B:$B,A157)/2+IF(A157&lt;&gt;A158,100,0)</f>
        <v>101.6875</v>
      </c>
      <c r="D157" s="33">
        <f>INDEX('ZCB Curve - Payment Dates'!$D$2:$D$246,MATCH(B157,'ZCB Curve - Payment Dates'!$A$2:$A$246,0))</f>
        <v>0.938856338180596</v>
      </c>
      <c r="E157" s="32">
        <f t="shared" si="2"/>
        <v>95.469953888739354</v>
      </c>
    </row>
    <row r="158" spans="1:5" x14ac:dyDescent="0.25">
      <c r="A158" s="17">
        <v>81</v>
      </c>
      <c r="B158" s="31">
        <v>46446</v>
      </c>
      <c r="C158" s="32">
        <f>INDEX('Input Data'!$B:$B,A158)/2+IF(A158&lt;&gt;A159,100,0)</f>
        <v>2</v>
      </c>
      <c r="D158" s="33">
        <f>INDEX('ZCB Curve - Payment Dates'!$D$2:$D$246,MATCH(B158,'ZCB Curve - Payment Dates'!$A$2:$A$246,0))</f>
        <v>0.98098215746395478</v>
      </c>
      <c r="E158" s="32">
        <f t="shared" si="2"/>
        <v>1.9619643149279096</v>
      </c>
    </row>
    <row r="159" spans="1:5" x14ac:dyDescent="0.25">
      <c r="A159" s="17">
        <v>81</v>
      </c>
      <c r="B159" s="31">
        <v>46630</v>
      </c>
      <c r="C159" s="32">
        <f>INDEX('Input Data'!$B:$B,A159)/2+IF(A159&lt;&gt;A160,100,0)</f>
        <v>2</v>
      </c>
      <c r="D159" s="33">
        <f>INDEX('ZCB Curve - Payment Dates'!$D$2:$D$246,MATCH(B159,'ZCB Curve - Payment Dates'!$A$2:$A$246,0))</f>
        <v>0.96003246313192503</v>
      </c>
      <c r="E159" s="32">
        <f t="shared" si="2"/>
        <v>1.9200649262638501</v>
      </c>
    </row>
    <row r="160" spans="1:5" x14ac:dyDescent="0.25">
      <c r="A160" s="17">
        <v>81</v>
      </c>
      <c r="B160" s="31">
        <v>46812</v>
      </c>
      <c r="C160" s="32">
        <f>INDEX('Input Data'!$B:$B,A160)/2+IF(A160&lt;&gt;A161,100,0)</f>
        <v>102</v>
      </c>
      <c r="D160" s="33">
        <f>INDEX('ZCB Curve - Payment Dates'!$D$2:$D$246,MATCH(B160,'ZCB Curve - Payment Dates'!$A$2:$A$246,0))</f>
        <v>0.938856338180596</v>
      </c>
      <c r="E160" s="32">
        <f t="shared" si="2"/>
        <v>95.763346494420787</v>
      </c>
    </row>
    <row r="161" spans="1:5" x14ac:dyDescent="0.25">
      <c r="A161" s="17">
        <v>82</v>
      </c>
      <c r="B161" s="31">
        <v>46280</v>
      </c>
      <c r="C161" s="32">
        <f>INDEX('Input Data'!$B:$B,A161)/2+IF(A161&lt;&gt;A162,100,0)</f>
        <v>1.9375</v>
      </c>
      <c r="D161" s="33">
        <f>INDEX('ZCB Curve - Payment Dates'!$D$2:$D$246,MATCH(B161,'ZCB Curve - Payment Dates'!$A$2:$A$246,0))</f>
        <v>0.99886929050437945</v>
      </c>
      <c r="E161" s="32">
        <f t="shared" si="2"/>
        <v>1.9353092503522351</v>
      </c>
    </row>
    <row r="162" spans="1:5" x14ac:dyDescent="0.25">
      <c r="A162" s="17">
        <v>82</v>
      </c>
      <c r="B162" s="31">
        <v>46461</v>
      </c>
      <c r="C162" s="32">
        <f>INDEX('Input Data'!$B:$B,A162)/2+IF(A162&lt;&gt;A163,100,0)</f>
        <v>1.9375</v>
      </c>
      <c r="D162" s="33">
        <f>INDEX('ZCB Curve - Payment Dates'!$D$2:$D$246,MATCH(B162,'ZCB Curve - Payment Dates'!$A$2:$A$246,0))</f>
        <v>0.97930710809714472</v>
      </c>
      <c r="E162" s="32">
        <f t="shared" si="2"/>
        <v>1.8974075219382178</v>
      </c>
    </row>
    <row r="163" spans="1:5" x14ac:dyDescent="0.25">
      <c r="A163" s="17">
        <v>82</v>
      </c>
      <c r="B163" s="31">
        <v>46645</v>
      </c>
      <c r="C163" s="32">
        <f>INDEX('Input Data'!$B:$B,A163)/2+IF(A163&lt;&gt;A164,100,0)</f>
        <v>1.9375</v>
      </c>
      <c r="D163" s="33">
        <f>INDEX('ZCB Curve - Payment Dates'!$D$2:$D$246,MATCH(B163,'ZCB Curve - Payment Dates'!$A$2:$A$246,0))</f>
        <v>0.95829632303364787</v>
      </c>
      <c r="E163" s="32">
        <f t="shared" si="2"/>
        <v>1.8566991258776928</v>
      </c>
    </row>
    <row r="164" spans="1:5" x14ac:dyDescent="0.25">
      <c r="A164" s="17">
        <v>82</v>
      </c>
      <c r="B164" s="31">
        <v>46827</v>
      </c>
      <c r="C164" s="32">
        <f>INDEX('Input Data'!$B:$B,A164)/2+IF(A164&lt;&gt;A165,100,0)</f>
        <v>101.9375</v>
      </c>
      <c r="D164" s="33">
        <f>INDEX('ZCB Curve - Payment Dates'!$D$2:$D$246,MATCH(B164,'ZCB Curve - Payment Dates'!$A$2:$A$246,0))</f>
        <v>0.9371069653423626</v>
      </c>
      <c r="E164" s="32">
        <f t="shared" si="2"/>
        <v>95.526341279587086</v>
      </c>
    </row>
    <row r="165" spans="1:5" x14ac:dyDescent="0.25">
      <c r="A165" s="17">
        <v>83</v>
      </c>
      <c r="B165" s="31">
        <v>46295</v>
      </c>
      <c r="C165" s="32">
        <f>INDEX('Input Data'!$B:$B,A165)/2+IF(A165&lt;&gt;A166,100,0)</f>
        <v>0.625</v>
      </c>
      <c r="D165" s="33">
        <f>INDEX('ZCB Curve - Payment Dates'!$D$2:$D$246,MATCH(B165,'ZCB Curve - Payment Dates'!$A$2:$A$246,0))</f>
        <v>0.9973127951237063</v>
      </c>
      <c r="E165" s="32">
        <f t="shared" si="2"/>
        <v>0.62332049695231639</v>
      </c>
    </row>
    <row r="166" spans="1:5" x14ac:dyDescent="0.25">
      <c r="A166" s="17">
        <v>83</v>
      </c>
      <c r="B166" s="31">
        <v>46477</v>
      </c>
      <c r="C166" s="32">
        <f>INDEX('Input Data'!$B:$B,A166)/2+IF(A166&lt;&gt;A167,100,0)</f>
        <v>0.625</v>
      </c>
      <c r="D166" s="33">
        <f>INDEX('ZCB Curve - Payment Dates'!$D$2:$D$246,MATCH(B166,'ZCB Curve - Payment Dates'!$A$2:$A$246,0))</f>
        <v>0.97750981974188245</v>
      </c>
      <c r="E166" s="32">
        <f t="shared" si="2"/>
        <v>0.61094363733867652</v>
      </c>
    </row>
    <row r="167" spans="1:5" x14ac:dyDescent="0.25">
      <c r="A167" s="17">
        <v>83</v>
      </c>
      <c r="B167" s="31">
        <v>46660</v>
      </c>
      <c r="C167" s="32">
        <f>INDEX('Input Data'!$B:$B,A167)/2+IF(A167&lt;&gt;A168,100,0)</f>
        <v>0.625</v>
      </c>
      <c r="D167" s="33">
        <f>INDEX('ZCB Curve - Payment Dates'!$D$2:$D$246,MATCH(B167,'ZCB Curve - Payment Dates'!$A$2:$A$246,0))</f>
        <v>0.95655761994841249</v>
      </c>
      <c r="E167" s="32">
        <f t="shared" si="2"/>
        <v>0.59784851246775783</v>
      </c>
    </row>
    <row r="168" spans="1:5" x14ac:dyDescent="0.25">
      <c r="A168" s="17">
        <v>83</v>
      </c>
      <c r="B168" s="31">
        <v>46843</v>
      </c>
      <c r="C168" s="32">
        <f>INDEX('Input Data'!$B:$B,A168)/2+IF(A168&lt;&gt;A169,100,0)</f>
        <v>100.625</v>
      </c>
      <c r="D168" s="33">
        <f>INDEX('ZCB Curve - Payment Dates'!$D$2:$D$246,MATCH(B168,'ZCB Curve - Payment Dates'!$A$2:$A$246,0))</f>
        <v>0.93524308702159842</v>
      </c>
      <c r="E168" s="32">
        <f t="shared" si="2"/>
        <v>94.108835631548345</v>
      </c>
    </row>
    <row r="169" spans="1:5" x14ac:dyDescent="0.25">
      <c r="A169" s="17">
        <v>84</v>
      </c>
      <c r="B169" s="31">
        <v>46295</v>
      </c>
      <c r="C169" s="32">
        <f>INDEX('Input Data'!$B:$B,A169)/2+IF(A169&lt;&gt;A170,100,0)</f>
        <v>1.8125</v>
      </c>
      <c r="D169" s="33">
        <f>INDEX('ZCB Curve - Payment Dates'!$D$2:$D$246,MATCH(B169,'ZCB Curve - Payment Dates'!$A$2:$A$246,0))</f>
        <v>0.9973127951237063</v>
      </c>
      <c r="E169" s="32">
        <f t="shared" si="2"/>
        <v>1.8076294411617178</v>
      </c>
    </row>
    <row r="170" spans="1:5" x14ac:dyDescent="0.25">
      <c r="A170" s="17">
        <v>84</v>
      </c>
      <c r="B170" s="31">
        <v>46477</v>
      </c>
      <c r="C170" s="32">
        <f>INDEX('Input Data'!$B:$B,A170)/2+IF(A170&lt;&gt;A171,100,0)</f>
        <v>1.8125</v>
      </c>
      <c r="D170" s="33">
        <f>INDEX('ZCB Curve - Payment Dates'!$D$2:$D$246,MATCH(B170,'ZCB Curve - Payment Dates'!$A$2:$A$246,0))</f>
        <v>0.97750981974188245</v>
      </c>
      <c r="E170" s="32">
        <f t="shared" si="2"/>
        <v>1.7717365482821619</v>
      </c>
    </row>
    <row r="171" spans="1:5" x14ac:dyDescent="0.25">
      <c r="A171" s="17">
        <v>84</v>
      </c>
      <c r="B171" s="31">
        <v>46660</v>
      </c>
      <c r="C171" s="32">
        <f>INDEX('Input Data'!$B:$B,A171)/2+IF(A171&lt;&gt;A172,100,0)</f>
        <v>1.8125</v>
      </c>
      <c r="D171" s="33">
        <f>INDEX('ZCB Curve - Payment Dates'!$D$2:$D$246,MATCH(B171,'ZCB Curve - Payment Dates'!$A$2:$A$246,0))</f>
        <v>0.95655761994841249</v>
      </c>
      <c r="E171" s="32">
        <f t="shared" si="2"/>
        <v>1.7337606861564976</v>
      </c>
    </row>
    <row r="172" spans="1:5" x14ac:dyDescent="0.25">
      <c r="A172" s="17">
        <v>84</v>
      </c>
      <c r="B172" s="31">
        <v>46843</v>
      </c>
      <c r="C172" s="32">
        <f>INDEX('Input Data'!$B:$B,A172)/2+IF(A172&lt;&gt;A173,100,0)</f>
        <v>101.8125</v>
      </c>
      <c r="D172" s="33">
        <f>INDEX('ZCB Curve - Payment Dates'!$D$2:$D$246,MATCH(B172,'ZCB Curve - Payment Dates'!$A$2:$A$246,0))</f>
        <v>0.93524308702159842</v>
      </c>
      <c r="E172" s="32">
        <f t="shared" si="2"/>
        <v>95.219436797386493</v>
      </c>
    </row>
    <row r="173" spans="1:5" x14ac:dyDescent="0.25">
      <c r="A173" s="17">
        <v>85</v>
      </c>
      <c r="B173" s="31">
        <v>46295</v>
      </c>
      <c r="C173" s="32">
        <f>INDEX('Input Data'!$B:$B,A173)/2+IF(A173&lt;&gt;A174,100,0)</f>
        <v>1.9375</v>
      </c>
      <c r="D173" s="33">
        <f>INDEX('ZCB Curve - Payment Dates'!$D$2:$D$246,MATCH(B173,'ZCB Curve - Payment Dates'!$A$2:$A$246,0))</f>
        <v>0.9973127951237063</v>
      </c>
      <c r="E173" s="32">
        <f t="shared" si="2"/>
        <v>1.9322935405521811</v>
      </c>
    </row>
    <row r="174" spans="1:5" x14ac:dyDescent="0.25">
      <c r="A174" s="17">
        <v>85</v>
      </c>
      <c r="B174" s="31">
        <v>46477</v>
      </c>
      <c r="C174" s="32">
        <f>INDEX('Input Data'!$B:$B,A174)/2+IF(A174&lt;&gt;A175,100,0)</f>
        <v>1.9375</v>
      </c>
      <c r="D174" s="33">
        <f>INDEX('ZCB Curve - Payment Dates'!$D$2:$D$246,MATCH(B174,'ZCB Curve - Payment Dates'!$A$2:$A$246,0))</f>
        <v>0.97750981974188245</v>
      </c>
      <c r="E174" s="32">
        <f t="shared" si="2"/>
        <v>1.8939252757498972</v>
      </c>
    </row>
    <row r="175" spans="1:5" x14ac:dyDescent="0.25">
      <c r="A175" s="17">
        <v>85</v>
      </c>
      <c r="B175" s="31">
        <v>46660</v>
      </c>
      <c r="C175" s="32">
        <f>INDEX('Input Data'!$B:$B,A175)/2+IF(A175&lt;&gt;A176,100,0)</f>
        <v>1.9375</v>
      </c>
      <c r="D175" s="33">
        <f>INDEX('ZCB Curve - Payment Dates'!$D$2:$D$246,MATCH(B175,'ZCB Curve - Payment Dates'!$A$2:$A$246,0))</f>
        <v>0.95655761994841249</v>
      </c>
      <c r="E175" s="32">
        <f t="shared" si="2"/>
        <v>1.8533303886500492</v>
      </c>
    </row>
    <row r="176" spans="1:5" x14ac:dyDescent="0.25">
      <c r="A176" s="17">
        <v>85</v>
      </c>
      <c r="B176" s="31">
        <v>46843</v>
      </c>
      <c r="C176" s="32">
        <f>INDEX('Input Data'!$B:$B,A176)/2+IF(A176&lt;&gt;A177,100,0)</f>
        <v>101.9375</v>
      </c>
      <c r="D176" s="33">
        <f>INDEX('ZCB Curve - Payment Dates'!$D$2:$D$246,MATCH(B176,'ZCB Curve - Payment Dates'!$A$2:$A$246,0))</f>
        <v>0.93524308702159842</v>
      </c>
      <c r="E176" s="32">
        <f t="shared" si="2"/>
        <v>95.336342183264193</v>
      </c>
    </row>
    <row r="177" spans="1:5" x14ac:dyDescent="0.25">
      <c r="A177" s="17">
        <v>86</v>
      </c>
      <c r="B177" s="31">
        <v>46310</v>
      </c>
      <c r="C177" s="32">
        <f>INDEX('Input Data'!$B:$B,A177)/2+IF(A177&lt;&gt;A178,100,0)</f>
        <v>1.875</v>
      </c>
      <c r="D177" s="33">
        <f>INDEX('ZCB Curve - Payment Dates'!$D$2:$D$246,MATCH(B177,'ZCB Curve - Payment Dates'!$A$2:$A$246,0))</f>
        <v>0.99574243370863547</v>
      </c>
      <c r="E177" s="32">
        <f t="shared" si="2"/>
        <v>1.8670170632036915</v>
      </c>
    </row>
    <row r="178" spans="1:5" x14ac:dyDescent="0.25">
      <c r="A178" s="17">
        <v>86</v>
      </c>
      <c r="B178" s="31">
        <v>46492</v>
      </c>
      <c r="C178" s="32">
        <f>INDEX('Input Data'!$B:$B,A178)/2+IF(A178&lt;&gt;A179,100,0)</f>
        <v>1.875</v>
      </c>
      <c r="D178" s="33">
        <f>INDEX('ZCB Curve - Payment Dates'!$D$2:$D$246,MATCH(B178,'ZCB Curve - Payment Dates'!$A$2:$A$246,0))</f>
        <v>0.97582006260857235</v>
      </c>
      <c r="E178" s="32">
        <f t="shared" si="2"/>
        <v>1.8296626173910731</v>
      </c>
    </row>
    <row r="179" spans="1:5" x14ac:dyDescent="0.25">
      <c r="A179" s="17">
        <v>86</v>
      </c>
      <c r="B179" s="31">
        <v>46675</v>
      </c>
      <c r="C179" s="32">
        <f>INDEX('Input Data'!$B:$B,A179)/2+IF(A179&lt;&gt;A180,100,0)</f>
        <v>1.875</v>
      </c>
      <c r="D179" s="33">
        <f>INDEX('ZCB Curve - Payment Dates'!$D$2:$D$246,MATCH(B179,'ZCB Curve - Payment Dates'!$A$2:$A$246,0))</f>
        <v>0.95481665580389952</v>
      </c>
      <c r="E179" s="32">
        <f t="shared" si="2"/>
        <v>1.7902812296323116</v>
      </c>
    </row>
    <row r="180" spans="1:5" x14ac:dyDescent="0.25">
      <c r="A180" s="17">
        <v>86</v>
      </c>
      <c r="B180" s="31">
        <v>46858</v>
      </c>
      <c r="C180" s="32">
        <f>INDEX('Input Data'!$B:$B,A180)/2+IF(A180&lt;&gt;A181,100,0)</f>
        <v>101.875</v>
      </c>
      <c r="D180" s="33">
        <f>INDEX('ZCB Curve - Payment Dates'!$D$2:$D$246,MATCH(B180,'ZCB Curve - Payment Dates'!$A$2:$A$246,0))</f>
        <v>0.93349468555170922</v>
      </c>
      <c r="E180" s="32">
        <f t="shared" si="2"/>
        <v>95.099771090580376</v>
      </c>
    </row>
    <row r="181" spans="1:5" x14ac:dyDescent="0.25">
      <c r="A181" s="17">
        <v>87</v>
      </c>
      <c r="B181" s="31">
        <v>46326</v>
      </c>
      <c r="C181" s="32">
        <f>INDEX('Input Data'!$B:$B,A181)/2+IF(A181&lt;&gt;A182,100,0)</f>
        <v>0.625</v>
      </c>
      <c r="D181" s="33">
        <f>INDEX('ZCB Curve - Payment Dates'!$D$2:$D$246,MATCH(B181,'ZCB Curve - Payment Dates'!$A$2:$A$246,0))</f>
        <v>0.99405055111674689</v>
      </c>
      <c r="E181" s="32">
        <f t="shared" si="2"/>
        <v>0.62128159444796682</v>
      </c>
    </row>
    <row r="182" spans="1:5" x14ac:dyDescent="0.25">
      <c r="A182" s="17">
        <v>87</v>
      </c>
      <c r="B182" s="31">
        <v>46507</v>
      </c>
      <c r="C182" s="32">
        <f>INDEX('Input Data'!$B:$B,A182)/2+IF(A182&lt;&gt;A183,100,0)</f>
        <v>0.625</v>
      </c>
      <c r="D182" s="33">
        <f>INDEX('ZCB Curve - Payment Dates'!$D$2:$D$246,MATCH(B182,'ZCB Curve - Payment Dates'!$A$2:$A$246,0))</f>
        <v>0.97412390690574091</v>
      </c>
      <c r="E182" s="32">
        <f t="shared" si="2"/>
        <v>0.60882744181608806</v>
      </c>
    </row>
    <row r="183" spans="1:5" x14ac:dyDescent="0.25">
      <c r="A183" s="17">
        <v>87</v>
      </c>
      <c r="B183" s="31">
        <v>46691</v>
      </c>
      <c r="C183" s="32">
        <f>INDEX('Input Data'!$B:$B,A183)/2+IF(A183&lt;&gt;A184,100,0)</f>
        <v>0.625</v>
      </c>
      <c r="D183" s="33">
        <f>INDEX('ZCB Curve - Payment Dates'!$D$2:$D$246,MATCH(B183,'ZCB Curve - Payment Dates'!$A$2:$A$246,0))</f>
        <v>0.95295491595466364</v>
      </c>
      <c r="E183" s="32">
        <f t="shared" si="2"/>
        <v>0.59559682247166479</v>
      </c>
    </row>
    <row r="184" spans="1:5" x14ac:dyDescent="0.25">
      <c r="A184" s="17">
        <v>87</v>
      </c>
      <c r="B184" s="31">
        <v>46873</v>
      </c>
      <c r="C184" s="32">
        <f>INDEX('Input Data'!$B:$B,A184)/2+IF(A184&lt;&gt;A185,100,0)</f>
        <v>100.625</v>
      </c>
      <c r="D184" s="33">
        <f>INDEX('ZCB Curve - Payment Dates'!$D$2:$D$246,MATCH(B184,'ZCB Curve - Payment Dates'!$A$2:$A$246,0))</f>
        <v>0.93174702042500246</v>
      </c>
      <c r="E184" s="32">
        <f t="shared" si="2"/>
        <v>93.757043930265866</v>
      </c>
    </row>
    <row r="185" spans="1:5" x14ac:dyDescent="0.25">
      <c r="A185" s="17">
        <v>88</v>
      </c>
      <c r="B185" s="31">
        <v>46326</v>
      </c>
      <c r="C185" s="32">
        <f>INDEX('Input Data'!$B:$B,A185)/2+IF(A185&lt;&gt;A186,100,0)</f>
        <v>1.75</v>
      </c>
      <c r="D185" s="33">
        <f>INDEX('ZCB Curve - Payment Dates'!$D$2:$D$246,MATCH(B185,'ZCB Curve - Payment Dates'!$A$2:$A$246,0))</f>
        <v>0.99405055111674689</v>
      </c>
      <c r="E185" s="32">
        <f t="shared" si="2"/>
        <v>1.7395884644543071</v>
      </c>
    </row>
    <row r="186" spans="1:5" x14ac:dyDescent="0.25">
      <c r="A186" s="17">
        <v>88</v>
      </c>
      <c r="B186" s="31">
        <v>46507</v>
      </c>
      <c r="C186" s="32">
        <f>INDEX('Input Data'!$B:$B,A186)/2+IF(A186&lt;&gt;A187,100,0)</f>
        <v>1.75</v>
      </c>
      <c r="D186" s="33">
        <f>INDEX('ZCB Curve - Payment Dates'!$D$2:$D$246,MATCH(B186,'ZCB Curve - Payment Dates'!$A$2:$A$246,0))</f>
        <v>0.97412390690574091</v>
      </c>
      <c r="E186" s="32">
        <f t="shared" si="2"/>
        <v>1.7047168370850465</v>
      </c>
    </row>
    <row r="187" spans="1:5" x14ac:dyDescent="0.25">
      <c r="A187" s="17">
        <v>88</v>
      </c>
      <c r="B187" s="31">
        <v>46691</v>
      </c>
      <c r="C187" s="32">
        <f>INDEX('Input Data'!$B:$B,A187)/2+IF(A187&lt;&gt;A188,100,0)</f>
        <v>1.75</v>
      </c>
      <c r="D187" s="33">
        <f>INDEX('ZCB Curve - Payment Dates'!$D$2:$D$246,MATCH(B187,'ZCB Curve - Payment Dates'!$A$2:$A$246,0))</f>
        <v>0.95295491595466364</v>
      </c>
      <c r="E187" s="32">
        <f t="shared" si="2"/>
        <v>1.6676711029206615</v>
      </c>
    </row>
    <row r="188" spans="1:5" x14ac:dyDescent="0.25">
      <c r="A188" s="17">
        <v>88</v>
      </c>
      <c r="B188" s="31">
        <v>46873</v>
      </c>
      <c r="C188" s="32">
        <f>INDEX('Input Data'!$B:$B,A188)/2+IF(A188&lt;&gt;A189,100,0)</f>
        <v>101.75</v>
      </c>
      <c r="D188" s="33">
        <f>INDEX('ZCB Curve - Payment Dates'!$D$2:$D$246,MATCH(B188,'ZCB Curve - Payment Dates'!$A$2:$A$246,0))</f>
        <v>0.93174702042500246</v>
      </c>
      <c r="E188" s="32">
        <f t="shared" si="2"/>
        <v>94.805259328244006</v>
      </c>
    </row>
    <row r="189" spans="1:5" x14ac:dyDescent="0.25">
      <c r="A189" s="17">
        <v>89</v>
      </c>
      <c r="B189" s="31">
        <v>46326</v>
      </c>
      <c r="C189" s="32">
        <f>INDEX('Input Data'!$B:$B,A189)/2+IF(A189&lt;&gt;A190,100,0)</f>
        <v>1.875</v>
      </c>
      <c r="D189" s="33">
        <f>INDEX('ZCB Curve - Payment Dates'!$D$2:$D$246,MATCH(B189,'ZCB Curve - Payment Dates'!$A$2:$A$246,0))</f>
        <v>0.99405055111674689</v>
      </c>
      <c r="E189" s="32">
        <f t="shared" si="2"/>
        <v>1.8638447833439005</v>
      </c>
    </row>
    <row r="190" spans="1:5" x14ac:dyDescent="0.25">
      <c r="A190" s="17">
        <v>89</v>
      </c>
      <c r="B190" s="31">
        <v>46507</v>
      </c>
      <c r="C190" s="32">
        <f>INDEX('Input Data'!$B:$B,A190)/2+IF(A190&lt;&gt;A191,100,0)</f>
        <v>1.875</v>
      </c>
      <c r="D190" s="33">
        <f>INDEX('ZCB Curve - Payment Dates'!$D$2:$D$246,MATCH(B190,'ZCB Curve - Payment Dates'!$A$2:$A$246,0))</f>
        <v>0.97412390690574091</v>
      </c>
      <c r="E190" s="32">
        <f t="shared" si="2"/>
        <v>1.8264823254482643</v>
      </c>
    </row>
    <row r="191" spans="1:5" x14ac:dyDescent="0.25">
      <c r="A191" s="17">
        <v>89</v>
      </c>
      <c r="B191" s="31">
        <v>46691</v>
      </c>
      <c r="C191" s="32">
        <f>INDEX('Input Data'!$B:$B,A191)/2+IF(A191&lt;&gt;A192,100,0)</f>
        <v>1.875</v>
      </c>
      <c r="D191" s="33">
        <f>INDEX('ZCB Curve - Payment Dates'!$D$2:$D$246,MATCH(B191,'ZCB Curve - Payment Dates'!$A$2:$A$246,0))</f>
        <v>0.95295491595466364</v>
      </c>
      <c r="E191" s="32">
        <f t="shared" si="2"/>
        <v>1.7867904674149944</v>
      </c>
    </row>
    <row r="192" spans="1:5" x14ac:dyDescent="0.25">
      <c r="A192" s="17">
        <v>89</v>
      </c>
      <c r="B192" s="31">
        <v>46873</v>
      </c>
      <c r="C192" s="32">
        <f>INDEX('Input Data'!$B:$B,A192)/2+IF(A192&lt;&gt;A193,100,0)</f>
        <v>101.875</v>
      </c>
      <c r="D192" s="33">
        <f>INDEX('ZCB Curve - Payment Dates'!$D$2:$D$246,MATCH(B192,'ZCB Curve - Payment Dates'!$A$2:$A$246,0))</f>
        <v>0.93174702042500246</v>
      </c>
      <c r="E192" s="32">
        <f t="shared" si="2"/>
        <v>94.921727705797124</v>
      </c>
    </row>
    <row r="193" spans="1:5" x14ac:dyDescent="0.25">
      <c r="A193" s="17">
        <v>90</v>
      </c>
      <c r="B193" s="31">
        <v>46341</v>
      </c>
      <c r="C193" s="32">
        <f>INDEX('Input Data'!$B:$B,A193)/2+IF(A193&lt;&gt;A194,100,0)</f>
        <v>1.4375</v>
      </c>
      <c r="D193" s="33">
        <f>INDEX('ZCB Curve - Payment Dates'!$D$2:$D$246,MATCH(B193,'ZCB Curve - Payment Dates'!$A$2:$A$246,0))</f>
        <v>0.99245367292309439</v>
      </c>
      <c r="E193" s="32">
        <f t="shared" si="2"/>
        <v>1.4266521548269482</v>
      </c>
    </row>
    <row r="194" spans="1:5" x14ac:dyDescent="0.25">
      <c r="A194" s="17">
        <v>90</v>
      </c>
      <c r="B194" s="31">
        <v>46522</v>
      </c>
      <c r="C194" s="32">
        <f>INDEX('Input Data'!$B:$B,A194)/2+IF(A194&lt;&gt;A195,100,0)</f>
        <v>1.4375</v>
      </c>
      <c r="D194" s="33">
        <f>INDEX('ZCB Curve - Payment Dates'!$D$2:$D$246,MATCH(B194,'ZCB Curve - Payment Dates'!$A$2:$A$246,0))</f>
        <v>0.97242179559611874</v>
      </c>
      <c r="E194" s="32">
        <f t="shared" ref="E194:E257" si="3">C194*D194</f>
        <v>1.3978563311694208</v>
      </c>
    </row>
    <row r="195" spans="1:5" x14ac:dyDescent="0.25">
      <c r="A195" s="17">
        <v>90</v>
      </c>
      <c r="B195" s="31">
        <v>46706</v>
      </c>
      <c r="C195" s="32">
        <f>INDEX('Input Data'!$B:$B,A195)/2+IF(A195&lt;&gt;A196,100,0)</f>
        <v>1.4375</v>
      </c>
      <c r="D195" s="33">
        <f>INDEX('ZCB Curve - Payment Dates'!$D$2:$D$246,MATCH(B195,'ZCB Curve - Payment Dates'!$A$2:$A$246,0))</f>
        <v>0.95121018311627348</v>
      </c>
      <c r="E195" s="32">
        <f t="shared" si="3"/>
        <v>1.3673646382296432</v>
      </c>
    </row>
    <row r="196" spans="1:5" x14ac:dyDescent="0.25">
      <c r="A196" s="17">
        <v>90</v>
      </c>
      <c r="B196" s="31">
        <v>46888</v>
      </c>
      <c r="C196" s="32">
        <f>INDEX('Input Data'!$B:$B,A196)/2+IF(A196&lt;&gt;A197,100,0)</f>
        <v>101.4375</v>
      </c>
      <c r="D196" s="33">
        <f>INDEX('ZCB Curve - Payment Dates'!$D$2:$D$246,MATCH(B196,'ZCB Curve - Payment Dates'!$A$2:$A$246,0))</f>
        <v>0.93000025435083566</v>
      </c>
      <c r="E196" s="32">
        <f t="shared" si="3"/>
        <v>94.336900800712897</v>
      </c>
    </row>
    <row r="197" spans="1:5" x14ac:dyDescent="0.25">
      <c r="A197" s="17">
        <v>91</v>
      </c>
      <c r="B197" s="31">
        <v>46341</v>
      </c>
      <c r="C197" s="32">
        <f>INDEX('Input Data'!$B:$B,A197)/2+IF(A197&lt;&gt;A198,100,0)</f>
        <v>1.875</v>
      </c>
      <c r="D197" s="33">
        <f>INDEX('ZCB Curve - Payment Dates'!$D$2:$D$246,MATCH(B197,'ZCB Curve - Payment Dates'!$A$2:$A$246,0))</f>
        <v>0.99245367292309439</v>
      </c>
      <c r="E197" s="32">
        <f t="shared" si="3"/>
        <v>1.860850636730802</v>
      </c>
    </row>
    <row r="198" spans="1:5" x14ac:dyDescent="0.25">
      <c r="A198" s="17">
        <v>91</v>
      </c>
      <c r="B198" s="31">
        <v>46522</v>
      </c>
      <c r="C198" s="32">
        <f>INDEX('Input Data'!$B:$B,A198)/2+IF(A198&lt;&gt;A199,100,0)</f>
        <v>1.875</v>
      </c>
      <c r="D198" s="33">
        <f>INDEX('ZCB Curve - Payment Dates'!$D$2:$D$246,MATCH(B198,'ZCB Curve - Payment Dates'!$A$2:$A$246,0))</f>
        <v>0.97242179559611874</v>
      </c>
      <c r="E198" s="32">
        <f t="shared" si="3"/>
        <v>1.8232908667427226</v>
      </c>
    </row>
    <row r="199" spans="1:5" x14ac:dyDescent="0.25">
      <c r="A199" s="17">
        <v>91</v>
      </c>
      <c r="B199" s="31">
        <v>46706</v>
      </c>
      <c r="C199" s="32">
        <f>INDEX('Input Data'!$B:$B,A199)/2+IF(A199&lt;&gt;A200,100,0)</f>
        <v>1.875</v>
      </c>
      <c r="D199" s="33">
        <f>INDEX('ZCB Curve - Payment Dates'!$D$2:$D$246,MATCH(B199,'ZCB Curve - Payment Dates'!$A$2:$A$246,0))</f>
        <v>0.95121018311627348</v>
      </c>
      <c r="E199" s="32">
        <f t="shared" si="3"/>
        <v>1.7835190933430127</v>
      </c>
    </row>
    <row r="200" spans="1:5" x14ac:dyDescent="0.25">
      <c r="A200" s="17">
        <v>91</v>
      </c>
      <c r="B200" s="31">
        <v>46888</v>
      </c>
      <c r="C200" s="32">
        <f>INDEX('Input Data'!$B:$B,A200)/2+IF(A200&lt;&gt;A201,100,0)</f>
        <v>101.875</v>
      </c>
      <c r="D200" s="33">
        <f>INDEX('ZCB Curve - Payment Dates'!$D$2:$D$246,MATCH(B200,'ZCB Curve - Payment Dates'!$A$2:$A$246,0))</f>
        <v>0.93000025435083566</v>
      </c>
      <c r="E200" s="32">
        <f t="shared" si="3"/>
        <v>94.743775911991378</v>
      </c>
    </row>
    <row r="201" spans="1:5" x14ac:dyDescent="0.25">
      <c r="A201" s="17">
        <v>92</v>
      </c>
      <c r="B201" s="31">
        <v>46356</v>
      </c>
      <c r="C201" s="32">
        <f>INDEX('Input Data'!$B:$B,A201)/2+IF(A201&lt;&gt;A202,100,0)</f>
        <v>0.625</v>
      </c>
      <c r="D201" s="33">
        <f>INDEX('ZCB Curve - Payment Dates'!$D$2:$D$246,MATCH(B201,'ZCB Curve - Payment Dates'!$A$2:$A$246,0))</f>
        <v>0.99084497326382592</v>
      </c>
      <c r="E201" s="32">
        <f t="shared" si="3"/>
        <v>0.61927810828989116</v>
      </c>
    </row>
    <row r="202" spans="1:5" x14ac:dyDescent="0.25">
      <c r="A202" s="17">
        <v>92</v>
      </c>
      <c r="B202" s="31">
        <v>46538</v>
      </c>
      <c r="C202" s="32">
        <f>INDEX('Input Data'!$B:$B,A202)/2+IF(A202&lt;&gt;A203,100,0)</f>
        <v>0.625</v>
      </c>
      <c r="D202" s="33">
        <f>INDEX('ZCB Curve - Payment Dates'!$D$2:$D$246,MATCH(B202,'ZCB Curve - Payment Dates'!$A$2:$A$246,0))</f>
        <v>0.97060179184855555</v>
      </c>
      <c r="E202" s="32">
        <f t="shared" si="3"/>
        <v>0.60662611990534721</v>
      </c>
    </row>
    <row r="203" spans="1:5" x14ac:dyDescent="0.25">
      <c r="A203" s="17">
        <v>92</v>
      </c>
      <c r="B203" s="31">
        <v>46721</v>
      </c>
      <c r="C203" s="32">
        <f>INDEX('Input Data'!$B:$B,A203)/2+IF(A203&lt;&gt;A204,100,0)</f>
        <v>0.625</v>
      </c>
      <c r="D203" s="33">
        <f>INDEX('ZCB Curve - Payment Dates'!$D$2:$D$246,MATCH(B203,'ZCB Curve - Payment Dates'!$A$2:$A$246,0))</f>
        <v>0.94946404326393219</v>
      </c>
      <c r="E203" s="32">
        <f t="shared" si="3"/>
        <v>0.59341502703995763</v>
      </c>
    </row>
    <row r="204" spans="1:5" x14ac:dyDescent="0.25">
      <c r="A204" s="17">
        <v>92</v>
      </c>
      <c r="B204" s="31">
        <v>46904</v>
      </c>
      <c r="C204" s="32">
        <f>INDEX('Input Data'!$B:$B,A204)/2+IF(A204&lt;&gt;A205,100,0)</f>
        <v>100.625</v>
      </c>
      <c r="D204" s="33">
        <f>INDEX('ZCB Curve - Payment Dates'!$D$2:$D$246,MATCH(B204,'ZCB Curve - Payment Dates'!$A$2:$A$246,0))</f>
        <v>0.92813990099508414</v>
      </c>
      <c r="E204" s="32">
        <f t="shared" si="3"/>
        <v>93.394077537630338</v>
      </c>
    </row>
    <row r="205" spans="1:5" x14ac:dyDescent="0.25">
      <c r="A205" s="17">
        <v>93</v>
      </c>
      <c r="B205" s="31">
        <v>46356</v>
      </c>
      <c r="C205" s="32">
        <f>INDEX('Input Data'!$B:$B,A205)/2+IF(A205&lt;&gt;A206,100,0)</f>
        <v>1.8125</v>
      </c>
      <c r="D205" s="33">
        <f>INDEX('ZCB Curve - Payment Dates'!$D$2:$D$246,MATCH(B205,'ZCB Curve - Payment Dates'!$A$2:$A$246,0))</f>
        <v>0.99084497326382592</v>
      </c>
      <c r="E205" s="32">
        <f t="shared" si="3"/>
        <v>1.7959065140406845</v>
      </c>
    </row>
    <row r="206" spans="1:5" x14ac:dyDescent="0.25">
      <c r="A206" s="17">
        <v>93</v>
      </c>
      <c r="B206" s="31">
        <v>46538</v>
      </c>
      <c r="C206" s="32">
        <f>INDEX('Input Data'!$B:$B,A206)/2+IF(A206&lt;&gt;A207,100,0)</f>
        <v>1.8125</v>
      </c>
      <c r="D206" s="33">
        <f>INDEX('ZCB Curve - Payment Dates'!$D$2:$D$246,MATCH(B206,'ZCB Curve - Payment Dates'!$A$2:$A$246,0))</f>
        <v>0.97060179184855555</v>
      </c>
      <c r="E206" s="32">
        <f t="shared" si="3"/>
        <v>1.759215747725507</v>
      </c>
    </row>
    <row r="207" spans="1:5" x14ac:dyDescent="0.25">
      <c r="A207" s="17">
        <v>93</v>
      </c>
      <c r="B207" s="31">
        <v>46721</v>
      </c>
      <c r="C207" s="32">
        <f>INDEX('Input Data'!$B:$B,A207)/2+IF(A207&lt;&gt;A208,100,0)</f>
        <v>1.8125</v>
      </c>
      <c r="D207" s="33">
        <f>INDEX('ZCB Curve - Payment Dates'!$D$2:$D$246,MATCH(B207,'ZCB Curve - Payment Dates'!$A$2:$A$246,0))</f>
        <v>0.94946404326393219</v>
      </c>
      <c r="E207" s="32">
        <f t="shared" si="3"/>
        <v>1.720903578415877</v>
      </c>
    </row>
    <row r="208" spans="1:5" x14ac:dyDescent="0.25">
      <c r="A208" s="17">
        <v>93</v>
      </c>
      <c r="B208" s="31">
        <v>46904</v>
      </c>
      <c r="C208" s="32">
        <f>INDEX('Input Data'!$B:$B,A208)/2+IF(A208&lt;&gt;A209,100,0)</f>
        <v>101.8125</v>
      </c>
      <c r="D208" s="33">
        <f>INDEX('ZCB Curve - Payment Dates'!$D$2:$D$246,MATCH(B208,'ZCB Curve - Payment Dates'!$A$2:$A$246,0))</f>
        <v>0.92813990099508414</v>
      </c>
      <c r="E208" s="32">
        <f t="shared" si="3"/>
        <v>94.496243670062</v>
      </c>
    </row>
    <row r="209" spans="1:5" x14ac:dyDescent="0.25">
      <c r="A209" s="17">
        <v>94</v>
      </c>
      <c r="B209" s="31">
        <v>46356</v>
      </c>
      <c r="C209" s="32">
        <f>INDEX('Input Data'!$B:$B,A209)/2+IF(A209&lt;&gt;A210,100,0)</f>
        <v>2</v>
      </c>
      <c r="D209" s="33">
        <f>INDEX('ZCB Curve - Payment Dates'!$D$2:$D$246,MATCH(B209,'ZCB Curve - Payment Dates'!$A$2:$A$246,0))</f>
        <v>0.99084497326382592</v>
      </c>
      <c r="E209" s="32">
        <f t="shared" si="3"/>
        <v>1.9816899465276518</v>
      </c>
    </row>
    <row r="210" spans="1:5" x14ac:dyDescent="0.25">
      <c r="A210" s="17">
        <v>94</v>
      </c>
      <c r="B210" s="31">
        <v>46538</v>
      </c>
      <c r="C210" s="32">
        <f>INDEX('Input Data'!$B:$B,A210)/2+IF(A210&lt;&gt;A211,100,0)</f>
        <v>2</v>
      </c>
      <c r="D210" s="33">
        <f>INDEX('ZCB Curve - Payment Dates'!$D$2:$D$246,MATCH(B210,'ZCB Curve - Payment Dates'!$A$2:$A$246,0))</f>
        <v>0.97060179184855555</v>
      </c>
      <c r="E210" s="32">
        <f t="shared" si="3"/>
        <v>1.9412035836971111</v>
      </c>
    </row>
    <row r="211" spans="1:5" x14ac:dyDescent="0.25">
      <c r="A211" s="17">
        <v>94</v>
      </c>
      <c r="B211" s="31">
        <v>46721</v>
      </c>
      <c r="C211" s="32">
        <f>INDEX('Input Data'!$B:$B,A211)/2+IF(A211&lt;&gt;A212,100,0)</f>
        <v>2</v>
      </c>
      <c r="D211" s="33">
        <f>INDEX('ZCB Curve - Payment Dates'!$D$2:$D$246,MATCH(B211,'ZCB Curve - Payment Dates'!$A$2:$A$246,0))</f>
        <v>0.94946404326393219</v>
      </c>
      <c r="E211" s="32">
        <f t="shared" si="3"/>
        <v>1.8989280865278644</v>
      </c>
    </row>
    <row r="212" spans="1:5" x14ac:dyDescent="0.25">
      <c r="A212" s="17">
        <v>94</v>
      </c>
      <c r="B212" s="31">
        <v>46904</v>
      </c>
      <c r="C212" s="32">
        <f>INDEX('Input Data'!$B:$B,A212)/2+IF(A212&lt;&gt;A213,100,0)</f>
        <v>102</v>
      </c>
      <c r="D212" s="33">
        <f>INDEX('ZCB Curve - Payment Dates'!$D$2:$D$246,MATCH(B212,'ZCB Curve - Payment Dates'!$A$2:$A$246,0))</f>
        <v>0.92813990099508414</v>
      </c>
      <c r="E212" s="32">
        <f t="shared" si="3"/>
        <v>94.670269901498585</v>
      </c>
    </row>
    <row r="213" spans="1:5" x14ac:dyDescent="0.25">
      <c r="A213" s="17">
        <v>95</v>
      </c>
      <c r="B213" s="31">
        <v>46371</v>
      </c>
      <c r="C213" s="32">
        <f>INDEX('Input Data'!$B:$B,A213)/2+IF(A213&lt;&gt;A214,100,0)</f>
        <v>1.9375</v>
      </c>
      <c r="D213" s="33">
        <f>INDEX('ZCB Curve - Payment Dates'!$D$2:$D$246,MATCH(B213,'ZCB Curve - Payment Dates'!$A$2:$A$246,0))</f>
        <v>0.98922507612573607</v>
      </c>
      <c r="E213" s="32">
        <f t="shared" si="3"/>
        <v>1.9166235849936137</v>
      </c>
    </row>
    <row r="214" spans="1:5" x14ac:dyDescent="0.25">
      <c r="A214" s="17">
        <v>95</v>
      </c>
      <c r="B214" s="31">
        <v>46553</v>
      </c>
      <c r="C214" s="32">
        <f>INDEX('Input Data'!$B:$B,A214)/2+IF(A214&lt;&gt;A215,100,0)</f>
        <v>1.9375</v>
      </c>
      <c r="D214" s="33">
        <f>INDEX('ZCB Curve - Payment Dates'!$D$2:$D$246,MATCH(B214,'ZCB Curve - Payment Dates'!$A$2:$A$246,0))</f>
        <v>0.96888871419984679</v>
      </c>
      <c r="E214" s="32">
        <f t="shared" si="3"/>
        <v>1.8772218837622032</v>
      </c>
    </row>
    <row r="215" spans="1:5" x14ac:dyDescent="0.25">
      <c r="A215" s="17">
        <v>95</v>
      </c>
      <c r="B215" s="31">
        <v>46736</v>
      </c>
      <c r="C215" s="32">
        <f>INDEX('Input Data'!$B:$B,A215)/2+IF(A215&lt;&gt;A216,100,0)</f>
        <v>1.9375</v>
      </c>
      <c r="D215" s="33">
        <f>INDEX('ZCB Curve - Payment Dates'!$D$2:$D$246,MATCH(B215,'ZCB Curve - Payment Dates'!$A$2:$A$246,0))</f>
        <v>0.94771675230658103</v>
      </c>
      <c r="E215" s="32">
        <f t="shared" si="3"/>
        <v>1.8362012075940009</v>
      </c>
    </row>
    <row r="216" spans="1:5" x14ac:dyDescent="0.25">
      <c r="A216" s="17">
        <v>95</v>
      </c>
      <c r="B216" s="31">
        <v>46919</v>
      </c>
      <c r="C216" s="32">
        <f>INDEX('Input Data'!$B:$B,A216)/2+IF(A216&lt;&gt;A217,100,0)</f>
        <v>101.9375</v>
      </c>
      <c r="D216" s="33">
        <f>INDEX('ZCB Curve - Payment Dates'!$D$2:$D$246,MATCH(B216,'ZCB Curve - Payment Dates'!$A$2:$A$246,0))</f>
        <v>0.92639547442094117</v>
      </c>
      <c r="E216" s="32">
        <f t="shared" si="3"/>
        <v>94.434438673784683</v>
      </c>
    </row>
    <row r="217" spans="1:5" x14ac:dyDescent="0.25">
      <c r="A217" s="17">
        <v>96</v>
      </c>
      <c r="B217" s="31">
        <v>46387</v>
      </c>
      <c r="C217" s="32">
        <f>INDEX('Input Data'!$B:$B,A217)/2+IF(A217&lt;&gt;A218,100,0)</f>
        <v>0.625</v>
      </c>
      <c r="D217" s="33">
        <f>INDEX('ZCB Curve - Payment Dates'!$D$2:$D$246,MATCH(B217,'ZCB Curve - Payment Dates'!$A$2:$A$246,0))</f>
        <v>0.987487116303851</v>
      </c>
      <c r="E217" s="32">
        <f t="shared" si="3"/>
        <v>0.61717944768990685</v>
      </c>
    </row>
    <row r="218" spans="1:5" x14ac:dyDescent="0.25">
      <c r="A218" s="17">
        <v>96</v>
      </c>
      <c r="B218" s="31">
        <v>46568</v>
      </c>
      <c r="C218" s="32">
        <f>INDEX('Input Data'!$B:$B,A218)/2+IF(A218&lt;&gt;A219,100,0)</f>
        <v>0.625</v>
      </c>
      <c r="D218" s="33">
        <f>INDEX('ZCB Curve - Payment Dates'!$D$2:$D$246,MATCH(B218,'ZCB Curve - Payment Dates'!$A$2:$A$246,0))</f>
        <v>0.96717094344557664</v>
      </c>
      <c r="E218" s="32">
        <f t="shared" si="3"/>
        <v>0.60448183965348545</v>
      </c>
    </row>
    <row r="219" spans="1:5" x14ac:dyDescent="0.25">
      <c r="A219" s="17">
        <v>96</v>
      </c>
      <c r="B219" s="31">
        <v>46752</v>
      </c>
      <c r="C219" s="32">
        <f>INDEX('Input Data'!$B:$B,A219)/2+IF(A219&lt;&gt;A220,100,0)</f>
        <v>0.625</v>
      </c>
      <c r="D219" s="33">
        <f>INDEX('ZCB Curve - Payment Dates'!$D$2:$D$246,MATCH(B219,'ZCB Curve - Payment Dates'!$A$2:$A$246,0))</f>
        <v>0.94585368463190456</v>
      </c>
      <c r="E219" s="32">
        <f t="shared" si="3"/>
        <v>0.59115855289494035</v>
      </c>
    </row>
    <row r="220" spans="1:5" x14ac:dyDescent="0.25">
      <c r="A220" s="17">
        <v>96</v>
      </c>
      <c r="B220" s="31">
        <v>46934</v>
      </c>
      <c r="C220" s="32">
        <f>INDEX('Input Data'!$B:$B,A220)/2+IF(A220&lt;&gt;A221,100,0)</f>
        <v>100.625</v>
      </c>
      <c r="D220" s="33">
        <f>INDEX('ZCB Curve - Payment Dates'!$D$2:$D$246,MATCH(B220,'ZCB Curve - Payment Dates'!$A$2:$A$246,0))</f>
        <v>0.92465239860805604</v>
      </c>
      <c r="E220" s="32">
        <f t="shared" si="3"/>
        <v>93.043147609935644</v>
      </c>
    </row>
    <row r="221" spans="1:5" x14ac:dyDescent="0.25">
      <c r="A221" s="17">
        <v>97</v>
      </c>
      <c r="B221" s="31">
        <v>46387</v>
      </c>
      <c r="C221" s="32">
        <f>INDEX('Input Data'!$B:$B,A221)/2+IF(A221&lt;&gt;A222,100,0)</f>
        <v>2</v>
      </c>
      <c r="D221" s="33">
        <f>INDEX('ZCB Curve - Payment Dates'!$D$2:$D$246,MATCH(B221,'ZCB Curve - Payment Dates'!$A$2:$A$246,0))</f>
        <v>0.987487116303851</v>
      </c>
      <c r="E221" s="32">
        <f t="shared" si="3"/>
        <v>1.974974232607702</v>
      </c>
    </row>
    <row r="222" spans="1:5" x14ac:dyDescent="0.25">
      <c r="A222" s="17">
        <v>97</v>
      </c>
      <c r="B222" s="31">
        <v>46568</v>
      </c>
      <c r="C222" s="32">
        <f>INDEX('Input Data'!$B:$B,A222)/2+IF(A222&lt;&gt;A223,100,0)</f>
        <v>2</v>
      </c>
      <c r="D222" s="33">
        <f>INDEX('ZCB Curve - Payment Dates'!$D$2:$D$246,MATCH(B222,'ZCB Curve - Payment Dates'!$A$2:$A$246,0))</f>
        <v>0.96717094344557664</v>
      </c>
      <c r="E222" s="32">
        <f t="shared" si="3"/>
        <v>1.9343418868911533</v>
      </c>
    </row>
    <row r="223" spans="1:5" x14ac:dyDescent="0.25">
      <c r="A223" s="17">
        <v>97</v>
      </c>
      <c r="B223" s="31">
        <v>46752</v>
      </c>
      <c r="C223" s="32">
        <f>INDEX('Input Data'!$B:$B,A223)/2+IF(A223&lt;&gt;A224,100,0)</f>
        <v>2</v>
      </c>
      <c r="D223" s="33">
        <f>INDEX('ZCB Curve - Payment Dates'!$D$2:$D$246,MATCH(B223,'ZCB Curve - Payment Dates'!$A$2:$A$246,0))</f>
        <v>0.94585368463190456</v>
      </c>
      <c r="E223" s="32">
        <f t="shared" si="3"/>
        <v>1.8917073692638091</v>
      </c>
    </row>
    <row r="224" spans="1:5" x14ac:dyDescent="0.25">
      <c r="A224" s="17">
        <v>97</v>
      </c>
      <c r="B224" s="31">
        <v>46934</v>
      </c>
      <c r="C224" s="32">
        <f>INDEX('Input Data'!$B:$B,A224)/2+IF(A224&lt;&gt;A225,100,0)</f>
        <v>102</v>
      </c>
      <c r="D224" s="33">
        <f>INDEX('ZCB Curve - Payment Dates'!$D$2:$D$246,MATCH(B224,'ZCB Curve - Payment Dates'!$A$2:$A$246,0))</f>
        <v>0.92465239860805604</v>
      </c>
      <c r="E224" s="32">
        <f t="shared" si="3"/>
        <v>94.314544658021717</v>
      </c>
    </row>
    <row r="225" spans="1:5" x14ac:dyDescent="0.25">
      <c r="A225" s="17">
        <v>98</v>
      </c>
      <c r="B225" s="31">
        <v>46387</v>
      </c>
      <c r="C225" s="32">
        <f>INDEX('Input Data'!$B:$B,A225)/2+IF(A225&lt;&gt;A226,100,0)</f>
        <v>2.0625</v>
      </c>
      <c r="D225" s="33">
        <f>INDEX('ZCB Curve - Payment Dates'!$D$2:$D$246,MATCH(B225,'ZCB Curve - Payment Dates'!$A$2:$A$246,0))</f>
        <v>0.987487116303851</v>
      </c>
      <c r="E225" s="32">
        <f t="shared" si="3"/>
        <v>2.0366921773766928</v>
      </c>
    </row>
    <row r="226" spans="1:5" x14ac:dyDescent="0.25">
      <c r="A226" s="17">
        <v>98</v>
      </c>
      <c r="B226" s="31">
        <v>46568</v>
      </c>
      <c r="C226" s="32">
        <f>INDEX('Input Data'!$B:$B,A226)/2+IF(A226&lt;&gt;A227,100,0)</f>
        <v>2.0625</v>
      </c>
      <c r="D226" s="33">
        <f>INDEX('ZCB Curve - Payment Dates'!$D$2:$D$246,MATCH(B226,'ZCB Curve - Payment Dates'!$A$2:$A$246,0))</f>
        <v>0.96717094344557664</v>
      </c>
      <c r="E226" s="32">
        <f t="shared" si="3"/>
        <v>1.9947900708565018</v>
      </c>
    </row>
    <row r="227" spans="1:5" x14ac:dyDescent="0.25">
      <c r="A227" s="17">
        <v>98</v>
      </c>
      <c r="B227" s="31">
        <v>46752</v>
      </c>
      <c r="C227" s="32">
        <f>INDEX('Input Data'!$B:$B,A227)/2+IF(A227&lt;&gt;A228,100,0)</f>
        <v>2.0625</v>
      </c>
      <c r="D227" s="33">
        <f>INDEX('ZCB Curve - Payment Dates'!$D$2:$D$246,MATCH(B227,'ZCB Curve - Payment Dates'!$A$2:$A$246,0))</f>
        <v>0.94585368463190456</v>
      </c>
      <c r="E227" s="32">
        <f t="shared" si="3"/>
        <v>1.9508232245533033</v>
      </c>
    </row>
    <row r="228" spans="1:5" x14ac:dyDescent="0.25">
      <c r="A228" s="17">
        <v>98</v>
      </c>
      <c r="B228" s="31">
        <v>46934</v>
      </c>
      <c r="C228" s="32">
        <f>INDEX('Input Data'!$B:$B,A228)/2+IF(A228&lt;&gt;A229,100,0)</f>
        <v>102.0625</v>
      </c>
      <c r="D228" s="33">
        <f>INDEX('ZCB Curve - Payment Dates'!$D$2:$D$246,MATCH(B228,'ZCB Curve - Payment Dates'!$A$2:$A$246,0))</f>
        <v>0.92465239860805604</v>
      </c>
      <c r="E228" s="32">
        <f t="shared" si="3"/>
        <v>94.372335432934719</v>
      </c>
    </row>
    <row r="229" spans="1:5" x14ac:dyDescent="0.25">
      <c r="A229" s="17">
        <v>99</v>
      </c>
      <c r="B229" s="31">
        <v>46402</v>
      </c>
      <c r="C229" s="32">
        <f>INDEX('Input Data'!$B:$B,A229)/2+IF(A229&lt;&gt;A230,100,0)</f>
        <v>1.9375</v>
      </c>
      <c r="D229" s="33">
        <f>INDEX('ZCB Curve - Payment Dates'!$D$2:$D$246,MATCH(B229,'ZCB Curve - Payment Dates'!$A$2:$A$246,0))</f>
        <v>0.98584597894241466</v>
      </c>
      <c r="E229" s="32">
        <f t="shared" si="3"/>
        <v>1.9100765842009284</v>
      </c>
    </row>
    <row r="230" spans="1:5" x14ac:dyDescent="0.25">
      <c r="A230" s="17">
        <v>99</v>
      </c>
      <c r="B230" s="31">
        <v>46583</v>
      </c>
      <c r="C230" s="32">
        <f>INDEX('Input Data'!$B:$B,A230)/2+IF(A230&lt;&gt;A231,100,0)</f>
        <v>1.9375</v>
      </c>
      <c r="D230" s="33">
        <f>INDEX('ZCB Curve - Payment Dates'!$D$2:$D$246,MATCH(B230,'ZCB Curve - Payment Dates'!$A$2:$A$246,0))</f>
        <v>0.96544886161553756</v>
      </c>
      <c r="E230" s="32">
        <f t="shared" si="3"/>
        <v>1.870557169380104</v>
      </c>
    </row>
    <row r="231" spans="1:5" x14ac:dyDescent="0.25">
      <c r="A231" s="17">
        <v>99</v>
      </c>
      <c r="B231" s="31">
        <v>46767</v>
      </c>
      <c r="C231" s="32">
        <f>INDEX('Input Data'!$B:$B,A231)/2+IF(A231&lt;&gt;A232,100,0)</f>
        <v>1.9375</v>
      </c>
      <c r="D231" s="33">
        <f>INDEX('ZCB Curve - Payment Dates'!$D$2:$D$246,MATCH(B231,'ZCB Curve - Payment Dates'!$A$2:$A$246,0))</f>
        <v>0.94410478141292531</v>
      </c>
      <c r="E231" s="32">
        <f t="shared" si="3"/>
        <v>1.8292030139875428</v>
      </c>
    </row>
    <row r="232" spans="1:5" x14ac:dyDescent="0.25">
      <c r="A232" s="17">
        <v>99</v>
      </c>
      <c r="B232" s="31">
        <v>46949</v>
      </c>
      <c r="C232" s="32">
        <f>INDEX('Input Data'!$B:$B,A232)/2+IF(A232&lt;&gt;A233,100,0)</f>
        <v>101.9375</v>
      </c>
      <c r="D232" s="33">
        <f>INDEX('ZCB Curve - Payment Dates'!$D$2:$D$246,MATCH(B232,'ZCB Curve - Payment Dates'!$A$2:$A$246,0))</f>
        <v>0.92291080633862488</v>
      </c>
      <c r="E232" s="32">
        <f t="shared" si="3"/>
        <v>94.07922032114358</v>
      </c>
    </row>
    <row r="233" spans="1:5" x14ac:dyDescent="0.25">
      <c r="A233" s="17">
        <v>100</v>
      </c>
      <c r="B233" s="31">
        <v>46418</v>
      </c>
      <c r="C233" s="32">
        <f>INDEX('Input Data'!$B:$B,A233)/2+IF(A233&lt;&gt;A234,100,0)</f>
        <v>0.5</v>
      </c>
      <c r="D233" s="33">
        <f>INDEX('ZCB Curve - Payment Dates'!$D$2:$D$246,MATCH(B233,'ZCB Curve - Payment Dates'!$A$2:$A$246,0))</f>
        <v>0.98408668818349121</v>
      </c>
      <c r="E233" s="32">
        <f t="shared" si="3"/>
        <v>0.4920433440917456</v>
      </c>
    </row>
    <row r="234" spans="1:5" x14ac:dyDescent="0.25">
      <c r="A234" s="17">
        <v>100</v>
      </c>
      <c r="B234" s="31">
        <v>46599</v>
      </c>
      <c r="C234" s="32">
        <f>INDEX('Input Data'!$B:$B,A234)/2+IF(A234&lt;&gt;A235,100,0)</f>
        <v>0.5</v>
      </c>
      <c r="D234" s="33">
        <f>INDEX('ZCB Curve - Payment Dates'!$D$2:$D$246,MATCH(B234,'ZCB Curve - Payment Dates'!$A$2:$A$246,0))</f>
        <v>0.96360931883583933</v>
      </c>
      <c r="E234" s="32">
        <f t="shared" si="3"/>
        <v>0.48180465941791967</v>
      </c>
    </row>
    <row r="235" spans="1:5" x14ac:dyDescent="0.25">
      <c r="A235" s="17">
        <v>100</v>
      </c>
      <c r="B235" s="31">
        <v>46783</v>
      </c>
      <c r="C235" s="32">
        <f>INDEX('Input Data'!$B:$B,A235)/2+IF(A235&lt;&gt;A236,100,0)</f>
        <v>0.5</v>
      </c>
      <c r="D235" s="33">
        <f>INDEX('ZCB Curve - Payment Dates'!$D$2:$D$246,MATCH(B235,'ZCB Curve - Payment Dates'!$A$2:$A$246,0))</f>
        <v>0.94224051785347052</v>
      </c>
      <c r="E235" s="32">
        <f t="shared" si="3"/>
        <v>0.47112025892673526</v>
      </c>
    </row>
    <row r="236" spans="1:5" x14ac:dyDescent="0.25">
      <c r="A236" s="17">
        <v>100</v>
      </c>
      <c r="B236" s="31">
        <v>46965</v>
      </c>
      <c r="C236" s="32">
        <f>INDEX('Input Data'!$B:$B,A236)/2+IF(A236&lt;&gt;A237,100,0)</f>
        <v>100.5</v>
      </c>
      <c r="D236" s="33">
        <f>INDEX('ZCB Curve - Payment Dates'!$D$2:$D$246,MATCH(B236,'ZCB Curve - Payment Dates'!$A$2:$A$246,0))</f>
        <v>0.92105657743562108</v>
      </c>
      <c r="E236" s="32">
        <f t="shared" si="3"/>
        <v>92.566186032279916</v>
      </c>
    </row>
    <row r="237" spans="1:5" x14ac:dyDescent="0.25">
      <c r="A237" s="17">
        <v>101</v>
      </c>
      <c r="B237" s="31">
        <v>46418</v>
      </c>
      <c r="C237" s="32">
        <f>INDEX('Input Data'!$B:$B,A237)/2+IF(A237&lt;&gt;A238,100,0)</f>
        <v>2.0625</v>
      </c>
      <c r="D237" s="33">
        <f>INDEX('ZCB Curve - Payment Dates'!$D$2:$D$246,MATCH(B237,'ZCB Curve - Payment Dates'!$A$2:$A$246,0))</f>
        <v>0.98408668818349121</v>
      </c>
      <c r="E237" s="32">
        <f t="shared" si="3"/>
        <v>2.0296787943784507</v>
      </c>
    </row>
    <row r="238" spans="1:5" x14ac:dyDescent="0.25">
      <c r="A238" s="17">
        <v>101</v>
      </c>
      <c r="B238" s="31">
        <v>46599</v>
      </c>
      <c r="C238" s="32">
        <f>INDEX('Input Data'!$B:$B,A238)/2+IF(A238&lt;&gt;A239,100,0)</f>
        <v>2.0625</v>
      </c>
      <c r="D238" s="33">
        <f>INDEX('ZCB Curve - Payment Dates'!$D$2:$D$246,MATCH(B238,'ZCB Curve - Payment Dates'!$A$2:$A$246,0))</f>
        <v>0.96360931883583933</v>
      </c>
      <c r="E238" s="32">
        <f t="shared" si="3"/>
        <v>1.9874442200989186</v>
      </c>
    </row>
    <row r="239" spans="1:5" x14ac:dyDescent="0.25">
      <c r="A239" s="17">
        <v>101</v>
      </c>
      <c r="B239" s="31">
        <v>46783</v>
      </c>
      <c r="C239" s="32">
        <f>INDEX('Input Data'!$B:$B,A239)/2+IF(A239&lt;&gt;A240,100,0)</f>
        <v>2.0625</v>
      </c>
      <c r="D239" s="33">
        <f>INDEX('ZCB Curve - Payment Dates'!$D$2:$D$246,MATCH(B239,'ZCB Curve - Payment Dates'!$A$2:$A$246,0))</f>
        <v>0.94224051785347052</v>
      </c>
      <c r="E239" s="32">
        <f t="shared" si="3"/>
        <v>1.9433710680727829</v>
      </c>
    </row>
    <row r="240" spans="1:5" x14ac:dyDescent="0.25">
      <c r="A240" s="17">
        <v>101</v>
      </c>
      <c r="B240" s="31">
        <v>46965</v>
      </c>
      <c r="C240" s="32">
        <f>INDEX('Input Data'!$B:$B,A240)/2+IF(A240&lt;&gt;A241,100,0)</f>
        <v>102.0625</v>
      </c>
      <c r="D240" s="33">
        <f>INDEX('ZCB Curve - Payment Dates'!$D$2:$D$246,MATCH(B240,'ZCB Curve - Payment Dates'!$A$2:$A$246,0))</f>
        <v>0.92105657743562108</v>
      </c>
      <c r="E240" s="32">
        <f t="shared" si="3"/>
        <v>94.005336934523072</v>
      </c>
    </row>
    <row r="241" spans="1:5" x14ac:dyDescent="0.25">
      <c r="A241" s="17">
        <v>102</v>
      </c>
      <c r="B241" s="31">
        <v>46418</v>
      </c>
      <c r="C241" s="32">
        <f>INDEX('Input Data'!$B:$B,A241)/2+IF(A241&lt;&gt;A242,100,0)</f>
        <v>2.125</v>
      </c>
      <c r="D241" s="33">
        <f>INDEX('ZCB Curve - Payment Dates'!$D$2:$D$246,MATCH(B241,'ZCB Curve - Payment Dates'!$A$2:$A$246,0))</f>
        <v>0.98408668818349121</v>
      </c>
      <c r="E241" s="32">
        <f t="shared" si="3"/>
        <v>2.0911842123899187</v>
      </c>
    </row>
    <row r="242" spans="1:5" x14ac:dyDescent="0.25">
      <c r="A242" s="17">
        <v>102</v>
      </c>
      <c r="B242" s="31">
        <v>46599</v>
      </c>
      <c r="C242" s="32">
        <f>INDEX('Input Data'!$B:$B,A242)/2+IF(A242&lt;&gt;A243,100,0)</f>
        <v>2.125</v>
      </c>
      <c r="D242" s="33">
        <f>INDEX('ZCB Curve - Payment Dates'!$D$2:$D$246,MATCH(B242,'ZCB Curve - Payment Dates'!$A$2:$A$246,0))</f>
        <v>0.96360931883583933</v>
      </c>
      <c r="E242" s="32">
        <f t="shared" si="3"/>
        <v>2.0476698025261584</v>
      </c>
    </row>
    <row r="243" spans="1:5" x14ac:dyDescent="0.25">
      <c r="A243" s="17">
        <v>102</v>
      </c>
      <c r="B243" s="31">
        <v>46783</v>
      </c>
      <c r="C243" s="32">
        <f>INDEX('Input Data'!$B:$B,A243)/2+IF(A243&lt;&gt;A244,100,0)</f>
        <v>2.125</v>
      </c>
      <c r="D243" s="33">
        <f>INDEX('ZCB Curve - Payment Dates'!$D$2:$D$246,MATCH(B243,'ZCB Curve - Payment Dates'!$A$2:$A$246,0))</f>
        <v>0.94224051785347052</v>
      </c>
      <c r="E243" s="32">
        <f t="shared" si="3"/>
        <v>2.0022611004386248</v>
      </c>
    </row>
    <row r="244" spans="1:5" x14ac:dyDescent="0.25">
      <c r="A244" s="17">
        <v>102</v>
      </c>
      <c r="B244" s="31">
        <v>46965</v>
      </c>
      <c r="C244" s="32">
        <f>INDEX('Input Data'!$B:$B,A244)/2+IF(A244&lt;&gt;A245,100,0)</f>
        <v>102.125</v>
      </c>
      <c r="D244" s="33">
        <f>INDEX('ZCB Curve - Payment Dates'!$D$2:$D$246,MATCH(B244,'ZCB Curve - Payment Dates'!$A$2:$A$246,0))</f>
        <v>0.92105657743562108</v>
      </c>
      <c r="E244" s="32">
        <f t="shared" si="3"/>
        <v>94.062902970612797</v>
      </c>
    </row>
    <row r="245" spans="1:5" x14ac:dyDescent="0.25">
      <c r="A245" s="17">
        <v>103</v>
      </c>
      <c r="B245" s="31">
        <v>46433</v>
      </c>
      <c r="C245" s="32">
        <f>INDEX('Input Data'!$B:$B,A245)/2+IF(A245&lt;&gt;A246,100,0)</f>
        <v>1.4375</v>
      </c>
      <c r="D245" s="33">
        <f>INDEX('ZCB Curve - Payment Dates'!$D$2:$D$246,MATCH(B245,'ZCB Curve - Payment Dates'!$A$2:$A$246,0))</f>
        <v>0.98242671792446301</v>
      </c>
      <c r="E245" s="32">
        <f t="shared" si="3"/>
        <v>1.4122384070164156</v>
      </c>
    </row>
    <row r="246" spans="1:5" x14ac:dyDescent="0.25">
      <c r="A246" s="17">
        <v>103</v>
      </c>
      <c r="B246" s="31">
        <v>46614</v>
      </c>
      <c r="C246" s="32">
        <f>INDEX('Input Data'!$B:$B,A246)/2+IF(A246&lt;&gt;A247,100,0)</f>
        <v>1.4375</v>
      </c>
      <c r="D246" s="33">
        <f>INDEX('ZCB Curve - Payment Dates'!$D$2:$D$246,MATCH(B246,'ZCB Curve - Payment Dates'!$A$2:$A$246,0))</f>
        <v>0.96187948164765535</v>
      </c>
      <c r="E246" s="32">
        <f t="shared" si="3"/>
        <v>1.3827017548685046</v>
      </c>
    </row>
    <row r="247" spans="1:5" x14ac:dyDescent="0.25">
      <c r="A247" s="17">
        <v>103</v>
      </c>
      <c r="B247" s="31">
        <v>46798</v>
      </c>
      <c r="C247" s="32">
        <f>INDEX('Input Data'!$B:$B,A247)/2+IF(A247&lt;&gt;A248,100,0)</f>
        <v>1.4375</v>
      </c>
      <c r="D247" s="33">
        <f>INDEX('ZCB Curve - Payment Dates'!$D$2:$D$246,MATCH(B247,'ZCB Curve - Payment Dates'!$A$2:$A$246,0))</f>
        <v>0.94049096132648802</v>
      </c>
      <c r="E247" s="32">
        <f t="shared" si="3"/>
        <v>1.3519557569068266</v>
      </c>
    </row>
    <row r="248" spans="1:5" x14ac:dyDescent="0.25">
      <c r="A248" s="17">
        <v>103</v>
      </c>
      <c r="B248" s="31">
        <v>46980</v>
      </c>
      <c r="C248" s="32">
        <f>INDEX('Input Data'!$B:$B,A248)/2+IF(A248&lt;&gt;A249,100,0)</f>
        <v>101.4375</v>
      </c>
      <c r="D248" s="33">
        <f>INDEX('ZCB Curve - Payment Dates'!$D$2:$D$246,MATCH(B248,'ZCB Curve - Payment Dates'!$A$2:$A$246,0))</f>
        <v>0.91931844130238327</v>
      </c>
      <c r="E248" s="32">
        <f t="shared" si="3"/>
        <v>93.253364389610496</v>
      </c>
    </row>
    <row r="249" spans="1:5" x14ac:dyDescent="0.25">
      <c r="A249" s="17">
        <v>104</v>
      </c>
      <c r="B249" s="31">
        <v>46433</v>
      </c>
      <c r="C249" s="32">
        <f>INDEX('Input Data'!$B:$B,A249)/2+IF(A249&lt;&gt;A250,100,0)</f>
        <v>1.8125</v>
      </c>
      <c r="D249" s="33">
        <f>INDEX('ZCB Curve - Payment Dates'!$D$2:$D$246,MATCH(B249,'ZCB Curve - Payment Dates'!$A$2:$A$246,0))</f>
        <v>0.98242671792446301</v>
      </c>
      <c r="E249" s="32">
        <f t="shared" si="3"/>
        <v>1.7806484262380893</v>
      </c>
    </row>
    <row r="250" spans="1:5" x14ac:dyDescent="0.25">
      <c r="A250" s="17">
        <v>104</v>
      </c>
      <c r="B250" s="31">
        <v>46614</v>
      </c>
      <c r="C250" s="32">
        <f>INDEX('Input Data'!$B:$B,A250)/2+IF(A250&lt;&gt;A251,100,0)</f>
        <v>1.8125</v>
      </c>
      <c r="D250" s="33">
        <f>INDEX('ZCB Curve - Payment Dates'!$D$2:$D$246,MATCH(B250,'ZCB Curve - Payment Dates'!$A$2:$A$246,0))</f>
        <v>0.96187948164765535</v>
      </c>
      <c r="E250" s="32">
        <f t="shared" si="3"/>
        <v>1.7434065604863753</v>
      </c>
    </row>
    <row r="251" spans="1:5" x14ac:dyDescent="0.25">
      <c r="A251" s="17">
        <v>104</v>
      </c>
      <c r="B251" s="31">
        <v>46798</v>
      </c>
      <c r="C251" s="32">
        <f>INDEX('Input Data'!$B:$B,A251)/2+IF(A251&lt;&gt;A252,100,0)</f>
        <v>1.8125</v>
      </c>
      <c r="D251" s="33">
        <f>INDEX('ZCB Curve - Payment Dates'!$D$2:$D$246,MATCH(B251,'ZCB Curve - Payment Dates'!$A$2:$A$246,0))</f>
        <v>0.94049096132648802</v>
      </c>
      <c r="E251" s="32">
        <f t="shared" si="3"/>
        <v>1.7046398674042595</v>
      </c>
    </row>
    <row r="252" spans="1:5" x14ac:dyDescent="0.25">
      <c r="A252" s="17">
        <v>104</v>
      </c>
      <c r="B252" s="31">
        <v>46980</v>
      </c>
      <c r="C252" s="32">
        <f>INDEX('Input Data'!$B:$B,A252)/2+IF(A252&lt;&gt;A253,100,0)</f>
        <v>101.8125</v>
      </c>
      <c r="D252" s="33">
        <f>INDEX('ZCB Curve - Payment Dates'!$D$2:$D$246,MATCH(B252,'ZCB Curve - Payment Dates'!$A$2:$A$246,0))</f>
        <v>0.91931844130238327</v>
      </c>
      <c r="E252" s="32">
        <f t="shared" si="3"/>
        <v>93.598108805098903</v>
      </c>
    </row>
    <row r="253" spans="1:5" x14ac:dyDescent="0.25">
      <c r="A253" s="17">
        <v>105</v>
      </c>
      <c r="B253" s="31">
        <v>46433</v>
      </c>
      <c r="C253" s="32">
        <f>INDEX('Input Data'!$B:$B,A253)/2+IF(A253&lt;&gt;A254,100,0)</f>
        <v>2.75</v>
      </c>
      <c r="D253" s="33">
        <f>INDEX('ZCB Curve - Payment Dates'!$D$2:$D$246,MATCH(B253,'ZCB Curve - Payment Dates'!$A$2:$A$246,0))</f>
        <v>0.98242671792446301</v>
      </c>
      <c r="E253" s="32">
        <f t="shared" si="3"/>
        <v>2.7016734742922734</v>
      </c>
    </row>
    <row r="254" spans="1:5" x14ac:dyDescent="0.25">
      <c r="A254" s="17">
        <v>105</v>
      </c>
      <c r="B254" s="31">
        <v>46614</v>
      </c>
      <c r="C254" s="32">
        <f>INDEX('Input Data'!$B:$B,A254)/2+IF(A254&lt;&gt;A255,100,0)</f>
        <v>2.75</v>
      </c>
      <c r="D254" s="33">
        <f>INDEX('ZCB Curve - Payment Dates'!$D$2:$D$246,MATCH(B254,'ZCB Curve - Payment Dates'!$A$2:$A$246,0))</f>
        <v>0.96187948164765535</v>
      </c>
      <c r="E254" s="32">
        <f t="shared" si="3"/>
        <v>2.645168574531052</v>
      </c>
    </row>
    <row r="255" spans="1:5" x14ac:dyDescent="0.25">
      <c r="A255" s="17">
        <v>105</v>
      </c>
      <c r="B255" s="31">
        <v>46798</v>
      </c>
      <c r="C255" s="32">
        <f>INDEX('Input Data'!$B:$B,A255)/2+IF(A255&lt;&gt;A256,100,0)</f>
        <v>2.75</v>
      </c>
      <c r="D255" s="33">
        <f>INDEX('ZCB Curve - Payment Dates'!$D$2:$D$246,MATCH(B255,'ZCB Curve - Payment Dates'!$A$2:$A$246,0))</f>
        <v>0.94049096132648802</v>
      </c>
      <c r="E255" s="32">
        <f t="shared" si="3"/>
        <v>2.586350143647842</v>
      </c>
    </row>
    <row r="256" spans="1:5" x14ac:dyDescent="0.25">
      <c r="A256" s="17">
        <v>105</v>
      </c>
      <c r="B256" s="31">
        <v>46980</v>
      </c>
      <c r="C256" s="32">
        <f>INDEX('Input Data'!$B:$B,A256)/2+IF(A256&lt;&gt;A257,100,0)</f>
        <v>102.75</v>
      </c>
      <c r="D256" s="33">
        <f>INDEX('ZCB Curve - Payment Dates'!$D$2:$D$246,MATCH(B256,'ZCB Curve - Payment Dates'!$A$2:$A$246,0))</f>
        <v>0.91931844130238327</v>
      </c>
      <c r="E256" s="32">
        <f t="shared" si="3"/>
        <v>94.459969843819877</v>
      </c>
    </row>
    <row r="257" spans="1:5" x14ac:dyDescent="0.25">
      <c r="A257" s="17">
        <v>106</v>
      </c>
      <c r="B257" s="31">
        <v>46446</v>
      </c>
      <c r="C257" s="32">
        <f>INDEX('Input Data'!$B:$B,A257)/2+IF(A257&lt;&gt;A258,100,0)</f>
        <v>0.5625</v>
      </c>
      <c r="D257" s="33">
        <f>INDEX('ZCB Curve - Payment Dates'!$D$2:$D$246,MATCH(B257,'ZCB Curve - Payment Dates'!$A$2:$A$246,0))</f>
        <v>0.98098215746395478</v>
      </c>
      <c r="E257" s="32">
        <f t="shared" si="3"/>
        <v>0.55180246357347462</v>
      </c>
    </row>
    <row r="258" spans="1:5" x14ac:dyDescent="0.25">
      <c r="A258" s="17">
        <v>106</v>
      </c>
      <c r="B258" s="31">
        <v>46630</v>
      </c>
      <c r="C258" s="32">
        <f>INDEX('Input Data'!$B:$B,A258)/2+IF(A258&lt;&gt;A259,100,0)</f>
        <v>0.5625</v>
      </c>
      <c r="D258" s="33">
        <f>INDEX('ZCB Curve - Payment Dates'!$D$2:$D$246,MATCH(B258,'ZCB Curve - Payment Dates'!$A$2:$A$246,0))</f>
        <v>0.96003246313192503</v>
      </c>
      <c r="E258" s="32">
        <f t="shared" ref="E258:E321" si="4">C258*D258</f>
        <v>0.54001826051170787</v>
      </c>
    </row>
    <row r="259" spans="1:5" x14ac:dyDescent="0.25">
      <c r="A259" s="17">
        <v>106</v>
      </c>
      <c r="B259" s="31">
        <v>46812</v>
      </c>
      <c r="C259" s="32">
        <f>INDEX('Input Data'!$B:$B,A259)/2+IF(A259&lt;&gt;A260,100,0)</f>
        <v>0.5625</v>
      </c>
      <c r="D259" s="33">
        <f>INDEX('ZCB Curve - Payment Dates'!$D$2:$D$246,MATCH(B259,'ZCB Curve - Payment Dates'!$A$2:$A$246,0))</f>
        <v>0.938856338180596</v>
      </c>
      <c r="E259" s="32">
        <f t="shared" si="4"/>
        <v>0.5281066902265853</v>
      </c>
    </row>
    <row r="260" spans="1:5" x14ac:dyDescent="0.25">
      <c r="A260" s="17">
        <v>106</v>
      </c>
      <c r="B260" s="31">
        <v>46996</v>
      </c>
      <c r="C260" s="32">
        <f>INDEX('Input Data'!$B:$B,A260)/2+IF(A260&lt;&gt;A261,100,0)</f>
        <v>100.5625</v>
      </c>
      <c r="D260" s="33">
        <f>INDEX('ZCB Curve - Payment Dates'!$D$2:$D$246,MATCH(B260,'ZCB Curve - Payment Dates'!$A$2:$A$246,0))</f>
        <v>0.91746393725908559</v>
      </c>
      <c r="E260" s="32">
        <f t="shared" si="4"/>
        <v>92.262467190616789</v>
      </c>
    </row>
    <row r="261" spans="1:5" x14ac:dyDescent="0.25">
      <c r="A261" s="17">
        <v>107</v>
      </c>
      <c r="B261" s="31">
        <v>46446</v>
      </c>
      <c r="C261" s="32">
        <f>INDEX('Input Data'!$B:$B,A261)/2+IF(A261&lt;&gt;A262,100,0)</f>
        <v>2.0625</v>
      </c>
      <c r="D261" s="33">
        <f>INDEX('ZCB Curve - Payment Dates'!$D$2:$D$246,MATCH(B261,'ZCB Curve - Payment Dates'!$A$2:$A$246,0))</f>
        <v>0.98098215746395478</v>
      </c>
      <c r="E261" s="32">
        <f t="shared" si="4"/>
        <v>2.0232756997694068</v>
      </c>
    </row>
    <row r="262" spans="1:5" x14ac:dyDescent="0.25">
      <c r="A262" s="17">
        <v>107</v>
      </c>
      <c r="B262" s="31">
        <v>46630</v>
      </c>
      <c r="C262" s="32">
        <f>INDEX('Input Data'!$B:$B,A262)/2+IF(A262&lt;&gt;A263,100,0)</f>
        <v>2.0625</v>
      </c>
      <c r="D262" s="33">
        <f>INDEX('ZCB Curve - Payment Dates'!$D$2:$D$246,MATCH(B262,'ZCB Curve - Payment Dates'!$A$2:$A$246,0))</f>
        <v>0.96003246313192503</v>
      </c>
      <c r="E262" s="32">
        <f t="shared" si="4"/>
        <v>1.9800669552095953</v>
      </c>
    </row>
    <row r="263" spans="1:5" x14ac:dyDescent="0.25">
      <c r="A263" s="17">
        <v>107</v>
      </c>
      <c r="B263" s="31">
        <v>46812</v>
      </c>
      <c r="C263" s="32">
        <f>INDEX('Input Data'!$B:$B,A263)/2+IF(A263&lt;&gt;A264,100,0)</f>
        <v>2.0625</v>
      </c>
      <c r="D263" s="33">
        <f>INDEX('ZCB Curve - Payment Dates'!$D$2:$D$246,MATCH(B263,'ZCB Curve - Payment Dates'!$A$2:$A$246,0))</f>
        <v>0.938856338180596</v>
      </c>
      <c r="E263" s="32">
        <f t="shared" si="4"/>
        <v>1.9363911974974792</v>
      </c>
    </row>
    <row r="264" spans="1:5" x14ac:dyDescent="0.25">
      <c r="A264" s="17">
        <v>107</v>
      </c>
      <c r="B264" s="31">
        <v>46996</v>
      </c>
      <c r="C264" s="32">
        <f>INDEX('Input Data'!$B:$B,A264)/2+IF(A264&lt;&gt;A265,100,0)</f>
        <v>102.0625</v>
      </c>
      <c r="D264" s="33">
        <f>INDEX('ZCB Curve - Payment Dates'!$D$2:$D$246,MATCH(B264,'ZCB Curve - Payment Dates'!$A$2:$A$246,0))</f>
        <v>0.91746393725908559</v>
      </c>
      <c r="E264" s="32">
        <f t="shared" si="4"/>
        <v>93.638663096505425</v>
      </c>
    </row>
    <row r="265" spans="1:5" x14ac:dyDescent="0.25">
      <c r="A265" s="17">
        <v>108</v>
      </c>
      <c r="B265" s="31">
        <v>46446</v>
      </c>
      <c r="C265" s="32">
        <f>INDEX('Input Data'!$B:$B,A265)/2+IF(A265&lt;&gt;A266,100,0)</f>
        <v>2.1875</v>
      </c>
      <c r="D265" s="33">
        <f>INDEX('ZCB Curve - Payment Dates'!$D$2:$D$246,MATCH(B265,'ZCB Curve - Payment Dates'!$A$2:$A$246,0))</f>
        <v>0.98098215746395478</v>
      </c>
      <c r="E265" s="32">
        <f t="shared" si="4"/>
        <v>2.1458984694524013</v>
      </c>
    </row>
    <row r="266" spans="1:5" x14ac:dyDescent="0.25">
      <c r="A266" s="17">
        <v>108</v>
      </c>
      <c r="B266" s="31">
        <v>46630</v>
      </c>
      <c r="C266" s="32">
        <f>INDEX('Input Data'!$B:$B,A266)/2+IF(A266&lt;&gt;A267,100,0)</f>
        <v>2.1875</v>
      </c>
      <c r="D266" s="33">
        <f>INDEX('ZCB Curve - Payment Dates'!$D$2:$D$246,MATCH(B266,'ZCB Curve - Payment Dates'!$A$2:$A$246,0))</f>
        <v>0.96003246313192503</v>
      </c>
      <c r="E266" s="32">
        <f t="shared" si="4"/>
        <v>2.1000710131010858</v>
      </c>
    </row>
    <row r="267" spans="1:5" x14ac:dyDescent="0.25">
      <c r="A267" s="17">
        <v>108</v>
      </c>
      <c r="B267" s="31">
        <v>46812</v>
      </c>
      <c r="C267" s="32">
        <f>INDEX('Input Data'!$B:$B,A267)/2+IF(A267&lt;&gt;A268,100,0)</f>
        <v>2.1875</v>
      </c>
      <c r="D267" s="33">
        <f>INDEX('ZCB Curve - Payment Dates'!$D$2:$D$246,MATCH(B267,'ZCB Curve - Payment Dates'!$A$2:$A$246,0))</f>
        <v>0.938856338180596</v>
      </c>
      <c r="E267" s="32">
        <f t="shared" si="4"/>
        <v>2.0537482397700537</v>
      </c>
    </row>
    <row r="268" spans="1:5" x14ac:dyDescent="0.25">
      <c r="A268" s="17">
        <v>108</v>
      </c>
      <c r="B268" s="31">
        <v>46996</v>
      </c>
      <c r="C268" s="32">
        <f>INDEX('Input Data'!$B:$B,A268)/2+IF(A268&lt;&gt;A269,100,0)</f>
        <v>102.1875</v>
      </c>
      <c r="D268" s="33">
        <f>INDEX('ZCB Curve - Payment Dates'!$D$2:$D$246,MATCH(B268,'ZCB Curve - Payment Dates'!$A$2:$A$246,0))</f>
        <v>0.91746393725908559</v>
      </c>
      <c r="E268" s="32">
        <f t="shared" si="4"/>
        <v>93.753346088662809</v>
      </c>
    </row>
    <row r="269" spans="1:5" x14ac:dyDescent="0.25">
      <c r="A269" s="17">
        <v>109</v>
      </c>
      <c r="B269" s="31">
        <v>46280</v>
      </c>
      <c r="C269" s="32">
        <f>INDEX('Input Data'!$B:$B,A269)/2+IF(A269&lt;&gt;A270,100,0)</f>
        <v>1.6875</v>
      </c>
      <c r="D269" s="33">
        <f>INDEX('ZCB Curve - Payment Dates'!$D$2:$D$246,MATCH(B269,'ZCB Curve - Payment Dates'!$A$2:$A$246,0))</f>
        <v>0.99886929050437945</v>
      </c>
      <c r="E269" s="32">
        <f t="shared" si="4"/>
        <v>1.6855919277261404</v>
      </c>
    </row>
    <row r="270" spans="1:5" x14ac:dyDescent="0.25">
      <c r="A270" s="17">
        <v>109</v>
      </c>
      <c r="B270" s="31">
        <v>46461</v>
      </c>
      <c r="C270" s="32">
        <f>INDEX('Input Data'!$B:$B,A270)/2+IF(A270&lt;&gt;A271,100,0)</f>
        <v>1.6875</v>
      </c>
      <c r="D270" s="33">
        <f>INDEX('ZCB Curve - Payment Dates'!$D$2:$D$246,MATCH(B270,'ZCB Curve - Payment Dates'!$A$2:$A$246,0))</f>
        <v>0.97930710809714472</v>
      </c>
      <c r="E270" s="32">
        <f t="shared" si="4"/>
        <v>1.6525807449139318</v>
      </c>
    </row>
    <row r="271" spans="1:5" x14ac:dyDescent="0.25">
      <c r="A271" s="17">
        <v>109</v>
      </c>
      <c r="B271" s="31">
        <v>46645</v>
      </c>
      <c r="C271" s="32">
        <f>INDEX('Input Data'!$B:$B,A271)/2+IF(A271&lt;&gt;A272,100,0)</f>
        <v>1.6875</v>
      </c>
      <c r="D271" s="33">
        <f>INDEX('ZCB Curve - Payment Dates'!$D$2:$D$246,MATCH(B271,'ZCB Curve - Payment Dates'!$A$2:$A$246,0))</f>
        <v>0.95829632303364787</v>
      </c>
      <c r="E271" s="32">
        <f t="shared" si="4"/>
        <v>1.6171250451192807</v>
      </c>
    </row>
    <row r="272" spans="1:5" x14ac:dyDescent="0.25">
      <c r="A272" s="17">
        <v>109</v>
      </c>
      <c r="B272" s="31">
        <v>46827</v>
      </c>
      <c r="C272" s="32">
        <f>INDEX('Input Data'!$B:$B,A272)/2+IF(A272&lt;&gt;A273,100,0)</f>
        <v>1.6875</v>
      </c>
      <c r="D272" s="33">
        <f>INDEX('ZCB Curve - Payment Dates'!$D$2:$D$246,MATCH(B272,'ZCB Curve - Payment Dates'!$A$2:$A$246,0))</f>
        <v>0.9371069653423626</v>
      </c>
      <c r="E272" s="32">
        <f t="shared" si="4"/>
        <v>1.5813680040152369</v>
      </c>
    </row>
    <row r="273" spans="1:5" x14ac:dyDescent="0.25">
      <c r="A273" s="17">
        <v>109</v>
      </c>
      <c r="B273" s="31">
        <v>47011</v>
      </c>
      <c r="C273" s="32">
        <f>INDEX('Input Data'!$B:$B,A273)/2+IF(A273&lt;&gt;A274,100,0)</f>
        <v>101.6875</v>
      </c>
      <c r="D273" s="33">
        <f>INDEX('ZCB Curve - Payment Dates'!$D$2:$D$246,MATCH(B273,'ZCB Curve - Payment Dates'!$A$2:$A$246,0))</f>
        <v>0.91572974320350053</v>
      </c>
      <c r="E273" s="32">
        <f t="shared" si="4"/>
        <v>93.118268262005955</v>
      </c>
    </row>
    <row r="274" spans="1:5" x14ac:dyDescent="0.25">
      <c r="A274" s="17">
        <v>110</v>
      </c>
      <c r="B274" s="31">
        <v>46295</v>
      </c>
      <c r="C274" s="32">
        <f>INDEX('Input Data'!$B:$B,A274)/2+IF(A274&lt;&gt;A275,100,0)</f>
        <v>0.625</v>
      </c>
      <c r="D274" s="33">
        <f>INDEX('ZCB Curve - Payment Dates'!$D$2:$D$246,MATCH(B274,'ZCB Curve - Payment Dates'!$A$2:$A$246,0))</f>
        <v>0.9973127951237063</v>
      </c>
      <c r="E274" s="32">
        <f t="shared" si="4"/>
        <v>0.62332049695231639</v>
      </c>
    </row>
    <row r="275" spans="1:5" x14ac:dyDescent="0.25">
      <c r="A275" s="17">
        <v>110</v>
      </c>
      <c r="B275" s="31">
        <v>46477</v>
      </c>
      <c r="C275" s="32">
        <f>INDEX('Input Data'!$B:$B,A275)/2+IF(A275&lt;&gt;A276,100,0)</f>
        <v>0.625</v>
      </c>
      <c r="D275" s="33">
        <f>INDEX('ZCB Curve - Payment Dates'!$D$2:$D$246,MATCH(B275,'ZCB Curve - Payment Dates'!$A$2:$A$246,0))</f>
        <v>0.97750981974188245</v>
      </c>
      <c r="E275" s="32">
        <f t="shared" si="4"/>
        <v>0.61094363733867652</v>
      </c>
    </row>
    <row r="276" spans="1:5" x14ac:dyDescent="0.25">
      <c r="A276" s="17">
        <v>110</v>
      </c>
      <c r="B276" s="31">
        <v>46660</v>
      </c>
      <c r="C276" s="32">
        <f>INDEX('Input Data'!$B:$B,A276)/2+IF(A276&lt;&gt;A277,100,0)</f>
        <v>0.625</v>
      </c>
      <c r="D276" s="33">
        <f>INDEX('ZCB Curve - Payment Dates'!$D$2:$D$246,MATCH(B276,'ZCB Curve - Payment Dates'!$A$2:$A$246,0))</f>
        <v>0.95655761994841249</v>
      </c>
      <c r="E276" s="32">
        <f t="shared" si="4"/>
        <v>0.59784851246775783</v>
      </c>
    </row>
    <row r="277" spans="1:5" x14ac:dyDescent="0.25">
      <c r="A277" s="17">
        <v>110</v>
      </c>
      <c r="B277" s="31">
        <v>46843</v>
      </c>
      <c r="C277" s="32">
        <f>INDEX('Input Data'!$B:$B,A277)/2+IF(A277&lt;&gt;A278,100,0)</f>
        <v>0.625</v>
      </c>
      <c r="D277" s="33">
        <f>INDEX('ZCB Curve - Payment Dates'!$D$2:$D$246,MATCH(B277,'ZCB Curve - Payment Dates'!$A$2:$A$246,0))</f>
        <v>0.93524308702159842</v>
      </c>
      <c r="E277" s="32">
        <f t="shared" si="4"/>
        <v>0.58452692938849904</v>
      </c>
    </row>
    <row r="278" spans="1:5" x14ac:dyDescent="0.25">
      <c r="A278" s="17">
        <v>110</v>
      </c>
      <c r="B278" s="31">
        <v>47026</v>
      </c>
      <c r="C278" s="32">
        <f>INDEX('Input Data'!$B:$B,A278)/2+IF(A278&lt;&gt;A279,100,0)</f>
        <v>100.625</v>
      </c>
      <c r="D278" s="33">
        <f>INDEX('ZCB Curve - Payment Dates'!$D$2:$D$246,MATCH(B278,'ZCB Curve - Payment Dates'!$A$2:$A$246,0))</f>
        <v>0.91399761223542642</v>
      </c>
      <c r="E278" s="32">
        <f t="shared" si="4"/>
        <v>91.971009731189781</v>
      </c>
    </row>
    <row r="279" spans="1:5" x14ac:dyDescent="0.25">
      <c r="A279" s="17">
        <v>111</v>
      </c>
      <c r="B279" s="31">
        <v>46295</v>
      </c>
      <c r="C279" s="32">
        <f>INDEX('Input Data'!$B:$B,A279)/2+IF(A279&lt;&gt;A280,100,0)</f>
        <v>2.3125</v>
      </c>
      <c r="D279" s="33">
        <f>INDEX('ZCB Curve - Payment Dates'!$D$2:$D$246,MATCH(B279,'ZCB Curve - Payment Dates'!$A$2:$A$246,0))</f>
        <v>0.9973127951237063</v>
      </c>
      <c r="E279" s="32">
        <f t="shared" si="4"/>
        <v>2.306285838723571</v>
      </c>
    </row>
    <row r="280" spans="1:5" x14ac:dyDescent="0.25">
      <c r="A280" s="17">
        <v>111</v>
      </c>
      <c r="B280" s="31">
        <v>46477</v>
      </c>
      <c r="C280" s="32">
        <f>INDEX('Input Data'!$B:$B,A280)/2+IF(A280&lt;&gt;A281,100,0)</f>
        <v>2.3125</v>
      </c>
      <c r="D280" s="33">
        <f>INDEX('ZCB Curve - Payment Dates'!$D$2:$D$246,MATCH(B280,'ZCB Curve - Payment Dates'!$A$2:$A$246,0))</f>
        <v>0.97750981974188245</v>
      </c>
      <c r="E280" s="32">
        <f t="shared" si="4"/>
        <v>2.260491458153103</v>
      </c>
    </row>
    <row r="281" spans="1:5" x14ac:dyDescent="0.25">
      <c r="A281" s="17">
        <v>111</v>
      </c>
      <c r="B281" s="31">
        <v>46660</v>
      </c>
      <c r="C281" s="32">
        <f>INDEX('Input Data'!$B:$B,A281)/2+IF(A281&lt;&gt;A282,100,0)</f>
        <v>2.3125</v>
      </c>
      <c r="D281" s="33">
        <f>INDEX('ZCB Curve - Payment Dates'!$D$2:$D$246,MATCH(B281,'ZCB Curve - Payment Dates'!$A$2:$A$246,0))</f>
        <v>0.95655761994841249</v>
      </c>
      <c r="E281" s="32">
        <f t="shared" si="4"/>
        <v>2.2120394961307039</v>
      </c>
    </row>
    <row r="282" spans="1:5" x14ac:dyDescent="0.25">
      <c r="A282" s="17">
        <v>111</v>
      </c>
      <c r="B282" s="31">
        <v>46843</v>
      </c>
      <c r="C282" s="32">
        <f>INDEX('Input Data'!$B:$B,A282)/2+IF(A282&lt;&gt;A283,100,0)</f>
        <v>2.3125</v>
      </c>
      <c r="D282" s="33">
        <f>INDEX('ZCB Curve - Payment Dates'!$D$2:$D$246,MATCH(B282,'ZCB Curve - Payment Dates'!$A$2:$A$246,0))</f>
        <v>0.93524308702159842</v>
      </c>
      <c r="E282" s="32">
        <f t="shared" si="4"/>
        <v>2.1627496387374463</v>
      </c>
    </row>
    <row r="283" spans="1:5" x14ac:dyDescent="0.25">
      <c r="A283" s="17">
        <v>111</v>
      </c>
      <c r="B283" s="31">
        <v>47026</v>
      </c>
      <c r="C283" s="32">
        <f>INDEX('Input Data'!$B:$B,A283)/2+IF(A283&lt;&gt;A284,100,0)</f>
        <v>102.3125</v>
      </c>
      <c r="D283" s="33">
        <f>INDEX('ZCB Curve - Payment Dates'!$D$2:$D$246,MATCH(B283,'ZCB Curve - Payment Dates'!$A$2:$A$246,0))</f>
        <v>0.91399761223542642</v>
      </c>
      <c r="E283" s="32">
        <f t="shared" si="4"/>
        <v>93.513380701837065</v>
      </c>
    </row>
    <row r="284" spans="1:5" x14ac:dyDescent="0.25">
      <c r="A284" s="17">
        <v>112</v>
      </c>
      <c r="B284" s="31">
        <v>46310</v>
      </c>
      <c r="C284" s="32">
        <f>INDEX('Input Data'!$B:$B,A284)/2+IF(A284&lt;&gt;A285,100,0)</f>
        <v>1.75</v>
      </c>
      <c r="D284" s="33">
        <f>INDEX('ZCB Curve - Payment Dates'!$D$2:$D$246,MATCH(B284,'ZCB Curve - Payment Dates'!$A$2:$A$246,0))</f>
        <v>0.99574243370863547</v>
      </c>
      <c r="E284" s="32">
        <f t="shared" si="4"/>
        <v>1.7425492589901121</v>
      </c>
    </row>
    <row r="285" spans="1:5" x14ac:dyDescent="0.25">
      <c r="A285" s="17">
        <v>112</v>
      </c>
      <c r="B285" s="31">
        <v>46492</v>
      </c>
      <c r="C285" s="32">
        <f>INDEX('Input Data'!$B:$B,A285)/2+IF(A285&lt;&gt;A286,100,0)</f>
        <v>1.75</v>
      </c>
      <c r="D285" s="33">
        <f>INDEX('ZCB Curve - Payment Dates'!$D$2:$D$246,MATCH(B285,'ZCB Curve - Payment Dates'!$A$2:$A$246,0))</f>
        <v>0.97582006260857235</v>
      </c>
      <c r="E285" s="32">
        <f t="shared" si="4"/>
        <v>1.7076851095650016</v>
      </c>
    </row>
    <row r="286" spans="1:5" x14ac:dyDescent="0.25">
      <c r="A286" s="17">
        <v>112</v>
      </c>
      <c r="B286" s="31">
        <v>46675</v>
      </c>
      <c r="C286" s="32">
        <f>INDEX('Input Data'!$B:$B,A286)/2+IF(A286&lt;&gt;A287,100,0)</f>
        <v>1.75</v>
      </c>
      <c r="D286" s="33">
        <f>INDEX('ZCB Curve - Payment Dates'!$D$2:$D$246,MATCH(B286,'ZCB Curve - Payment Dates'!$A$2:$A$246,0))</f>
        <v>0.95481665580389952</v>
      </c>
      <c r="E286" s="32">
        <f t="shared" si="4"/>
        <v>1.6709291476568242</v>
      </c>
    </row>
    <row r="287" spans="1:5" x14ac:dyDescent="0.25">
      <c r="A287" s="17">
        <v>112</v>
      </c>
      <c r="B287" s="31">
        <v>46858</v>
      </c>
      <c r="C287" s="32">
        <f>INDEX('Input Data'!$B:$B,A287)/2+IF(A287&lt;&gt;A288,100,0)</f>
        <v>1.75</v>
      </c>
      <c r="D287" s="33">
        <f>INDEX('ZCB Curve - Payment Dates'!$D$2:$D$246,MATCH(B287,'ZCB Curve - Payment Dates'!$A$2:$A$246,0))</f>
        <v>0.93349468555170922</v>
      </c>
      <c r="E287" s="32">
        <f t="shared" si="4"/>
        <v>1.6336156997154911</v>
      </c>
    </row>
    <row r="288" spans="1:5" x14ac:dyDescent="0.25">
      <c r="A288" s="17">
        <v>112</v>
      </c>
      <c r="B288" s="31">
        <v>47041</v>
      </c>
      <c r="C288" s="32">
        <f>INDEX('Input Data'!$B:$B,A288)/2+IF(A288&lt;&gt;A289,100,0)</f>
        <v>101.75</v>
      </c>
      <c r="D288" s="33">
        <f>INDEX('ZCB Curve - Payment Dates'!$D$2:$D$246,MATCH(B288,'ZCB Curve - Payment Dates'!$A$2:$A$246,0))</f>
        <v>0.91226763885553941</v>
      </c>
      <c r="E288" s="32">
        <f t="shared" si="4"/>
        <v>92.82323225355114</v>
      </c>
    </row>
    <row r="289" spans="1:5" x14ac:dyDescent="0.25">
      <c r="A289" s="17">
        <v>113</v>
      </c>
      <c r="B289" s="31">
        <v>46326</v>
      </c>
      <c r="C289" s="32">
        <f>INDEX('Input Data'!$B:$B,A289)/2+IF(A289&lt;&gt;A290,100,0)</f>
        <v>0.6875</v>
      </c>
      <c r="D289" s="33">
        <f>INDEX('ZCB Curve - Payment Dates'!$D$2:$D$246,MATCH(B289,'ZCB Curve - Payment Dates'!$A$2:$A$246,0))</f>
        <v>0.99405055111674689</v>
      </c>
      <c r="E289" s="32">
        <f t="shared" si="4"/>
        <v>0.68340975389276348</v>
      </c>
    </row>
    <row r="290" spans="1:5" x14ac:dyDescent="0.25">
      <c r="A290" s="17">
        <v>113</v>
      </c>
      <c r="B290" s="31">
        <v>46507</v>
      </c>
      <c r="C290" s="32">
        <f>INDEX('Input Data'!$B:$B,A290)/2+IF(A290&lt;&gt;A291,100,0)</f>
        <v>0.6875</v>
      </c>
      <c r="D290" s="33">
        <f>INDEX('ZCB Curve - Payment Dates'!$D$2:$D$246,MATCH(B290,'ZCB Curve - Payment Dates'!$A$2:$A$246,0))</f>
        <v>0.97412390690574091</v>
      </c>
      <c r="E290" s="32">
        <f t="shared" si="4"/>
        <v>0.66971018599769683</v>
      </c>
    </row>
    <row r="291" spans="1:5" x14ac:dyDescent="0.25">
      <c r="A291" s="17">
        <v>113</v>
      </c>
      <c r="B291" s="31">
        <v>46691</v>
      </c>
      <c r="C291" s="32">
        <f>INDEX('Input Data'!$B:$B,A291)/2+IF(A291&lt;&gt;A292,100,0)</f>
        <v>0.6875</v>
      </c>
      <c r="D291" s="33">
        <f>INDEX('ZCB Curve - Payment Dates'!$D$2:$D$246,MATCH(B291,'ZCB Curve - Payment Dates'!$A$2:$A$246,0))</f>
        <v>0.95295491595466364</v>
      </c>
      <c r="E291" s="32">
        <f t="shared" si="4"/>
        <v>0.65515650471883125</v>
      </c>
    </row>
    <row r="292" spans="1:5" x14ac:dyDescent="0.25">
      <c r="A292" s="17">
        <v>113</v>
      </c>
      <c r="B292" s="31">
        <v>46873</v>
      </c>
      <c r="C292" s="32">
        <f>INDEX('Input Data'!$B:$B,A292)/2+IF(A292&lt;&gt;A293,100,0)</f>
        <v>0.6875</v>
      </c>
      <c r="D292" s="33">
        <f>INDEX('ZCB Curve - Payment Dates'!$D$2:$D$246,MATCH(B292,'ZCB Curve - Payment Dates'!$A$2:$A$246,0))</f>
        <v>0.93174702042500246</v>
      </c>
      <c r="E292" s="32">
        <f t="shared" si="4"/>
        <v>0.64057607654218918</v>
      </c>
    </row>
    <row r="293" spans="1:5" x14ac:dyDescent="0.25">
      <c r="A293" s="17">
        <v>113</v>
      </c>
      <c r="B293" s="31">
        <v>47057</v>
      </c>
      <c r="C293" s="32">
        <f>INDEX('Input Data'!$B:$B,A293)/2+IF(A293&lt;&gt;A294,100,0)</f>
        <v>100.6875</v>
      </c>
      <c r="D293" s="33">
        <f>INDEX('ZCB Curve - Payment Dates'!$D$2:$D$246,MATCH(B293,'ZCB Curve - Payment Dates'!$A$2:$A$246,0))</f>
        <v>0.91042649241905782</v>
      </c>
      <c r="E293" s="32">
        <f t="shared" si="4"/>
        <v>91.668567455443878</v>
      </c>
    </row>
    <row r="294" spans="1:5" x14ac:dyDescent="0.25">
      <c r="A294" s="17">
        <v>114</v>
      </c>
      <c r="B294" s="31">
        <v>46326</v>
      </c>
      <c r="C294" s="32">
        <f>INDEX('Input Data'!$B:$B,A294)/2+IF(A294&lt;&gt;A295,100,0)</f>
        <v>2.4375</v>
      </c>
      <c r="D294" s="33">
        <f>INDEX('ZCB Curve - Payment Dates'!$D$2:$D$246,MATCH(B294,'ZCB Curve - Payment Dates'!$A$2:$A$246,0))</f>
        <v>0.99405055111674689</v>
      </c>
      <c r="E294" s="32">
        <f t="shared" si="4"/>
        <v>2.4229982183470704</v>
      </c>
    </row>
    <row r="295" spans="1:5" x14ac:dyDescent="0.25">
      <c r="A295" s="17">
        <v>114</v>
      </c>
      <c r="B295" s="31">
        <v>46507</v>
      </c>
      <c r="C295" s="32">
        <f>INDEX('Input Data'!$B:$B,A295)/2+IF(A295&lt;&gt;A296,100,0)</f>
        <v>2.4375</v>
      </c>
      <c r="D295" s="33">
        <f>INDEX('ZCB Curve - Payment Dates'!$D$2:$D$246,MATCH(B295,'ZCB Curve - Payment Dates'!$A$2:$A$246,0))</f>
        <v>0.97412390690574091</v>
      </c>
      <c r="E295" s="32">
        <f t="shared" si="4"/>
        <v>2.3744270230827436</v>
      </c>
    </row>
    <row r="296" spans="1:5" x14ac:dyDescent="0.25">
      <c r="A296" s="17">
        <v>114</v>
      </c>
      <c r="B296" s="31">
        <v>46691</v>
      </c>
      <c r="C296" s="32">
        <f>INDEX('Input Data'!$B:$B,A296)/2+IF(A296&lt;&gt;A297,100,0)</f>
        <v>2.4375</v>
      </c>
      <c r="D296" s="33">
        <f>INDEX('ZCB Curve - Payment Dates'!$D$2:$D$246,MATCH(B296,'ZCB Curve - Payment Dates'!$A$2:$A$246,0))</f>
        <v>0.95295491595466364</v>
      </c>
      <c r="E296" s="32">
        <f t="shared" si="4"/>
        <v>2.3228276076394927</v>
      </c>
    </row>
    <row r="297" spans="1:5" x14ac:dyDescent="0.25">
      <c r="A297" s="17">
        <v>114</v>
      </c>
      <c r="B297" s="31">
        <v>46873</v>
      </c>
      <c r="C297" s="32">
        <f>INDEX('Input Data'!$B:$B,A297)/2+IF(A297&lt;&gt;A298,100,0)</f>
        <v>2.4375</v>
      </c>
      <c r="D297" s="33">
        <f>INDEX('ZCB Curve - Payment Dates'!$D$2:$D$246,MATCH(B297,'ZCB Curve - Payment Dates'!$A$2:$A$246,0))</f>
        <v>0.93174702042500246</v>
      </c>
      <c r="E297" s="32">
        <f t="shared" si="4"/>
        <v>2.2711333622859433</v>
      </c>
    </row>
    <row r="298" spans="1:5" x14ac:dyDescent="0.25">
      <c r="A298" s="17">
        <v>114</v>
      </c>
      <c r="B298" s="31">
        <v>47057</v>
      </c>
      <c r="C298" s="32">
        <f>INDEX('Input Data'!$B:$B,A298)/2+IF(A298&lt;&gt;A299,100,0)</f>
        <v>102.4375</v>
      </c>
      <c r="D298" s="33">
        <f>INDEX('ZCB Curve - Payment Dates'!$D$2:$D$246,MATCH(B298,'ZCB Curve - Payment Dates'!$A$2:$A$246,0))</f>
        <v>0.91042649241905782</v>
      </c>
      <c r="E298" s="32">
        <f t="shared" si="4"/>
        <v>93.261813817177242</v>
      </c>
    </row>
    <row r="299" spans="1:5" x14ac:dyDescent="0.25">
      <c r="A299" s="17">
        <v>115</v>
      </c>
      <c r="B299" s="31">
        <v>46341</v>
      </c>
      <c r="C299" s="32">
        <f>INDEX('Input Data'!$B:$B,A299)/2+IF(A299&lt;&gt;A300,100,0)</f>
        <v>1.5625</v>
      </c>
      <c r="D299" s="33">
        <f>INDEX('ZCB Curve - Payment Dates'!$D$2:$D$246,MATCH(B299,'ZCB Curve - Payment Dates'!$A$2:$A$246,0))</f>
        <v>0.99245367292309439</v>
      </c>
      <c r="E299" s="32">
        <f t="shared" si="4"/>
        <v>1.550708863942335</v>
      </c>
    </row>
    <row r="300" spans="1:5" x14ac:dyDescent="0.25">
      <c r="A300" s="17">
        <v>115</v>
      </c>
      <c r="B300" s="31">
        <v>46522</v>
      </c>
      <c r="C300" s="32">
        <f>INDEX('Input Data'!$B:$B,A300)/2+IF(A300&lt;&gt;A301,100,0)</f>
        <v>1.5625</v>
      </c>
      <c r="D300" s="33">
        <f>INDEX('ZCB Curve - Payment Dates'!$D$2:$D$246,MATCH(B300,'ZCB Curve - Payment Dates'!$A$2:$A$246,0))</f>
        <v>0.97242179559611874</v>
      </c>
      <c r="E300" s="32">
        <f t="shared" si="4"/>
        <v>1.5194090556189355</v>
      </c>
    </row>
    <row r="301" spans="1:5" x14ac:dyDescent="0.25">
      <c r="A301" s="17">
        <v>115</v>
      </c>
      <c r="B301" s="31">
        <v>46706</v>
      </c>
      <c r="C301" s="32">
        <f>INDEX('Input Data'!$B:$B,A301)/2+IF(A301&lt;&gt;A302,100,0)</f>
        <v>1.5625</v>
      </c>
      <c r="D301" s="33">
        <f>INDEX('ZCB Curve - Payment Dates'!$D$2:$D$246,MATCH(B301,'ZCB Curve - Payment Dates'!$A$2:$A$246,0))</f>
        <v>0.95121018311627348</v>
      </c>
      <c r="E301" s="32">
        <f t="shared" si="4"/>
        <v>1.4862659111191774</v>
      </c>
    </row>
    <row r="302" spans="1:5" x14ac:dyDescent="0.25">
      <c r="A302" s="17">
        <v>115</v>
      </c>
      <c r="B302" s="31">
        <v>46888</v>
      </c>
      <c r="C302" s="32">
        <f>INDEX('Input Data'!$B:$B,A302)/2+IF(A302&lt;&gt;A303,100,0)</f>
        <v>1.5625</v>
      </c>
      <c r="D302" s="33">
        <f>INDEX('ZCB Curve - Payment Dates'!$D$2:$D$246,MATCH(B302,'ZCB Curve - Payment Dates'!$A$2:$A$246,0))</f>
        <v>0.93000025435083566</v>
      </c>
      <c r="E302" s="32">
        <f t="shared" si="4"/>
        <v>1.4531253974231808</v>
      </c>
    </row>
    <row r="303" spans="1:5" x14ac:dyDescent="0.25">
      <c r="A303" s="17">
        <v>115</v>
      </c>
      <c r="B303" s="31">
        <v>47072</v>
      </c>
      <c r="C303" s="32">
        <f>INDEX('Input Data'!$B:$B,A303)/2+IF(A303&lt;&gt;A304,100,0)</f>
        <v>101.5625</v>
      </c>
      <c r="D303" s="33">
        <f>INDEX('ZCB Curve - Payment Dates'!$D$2:$D$246,MATCH(B303,'ZCB Curve - Payment Dates'!$A$2:$A$246,0))</f>
        <v>0.90870125167038918</v>
      </c>
      <c r="E303" s="32">
        <f t="shared" si="4"/>
        <v>92.289970872773907</v>
      </c>
    </row>
    <row r="304" spans="1:5" x14ac:dyDescent="0.25">
      <c r="A304" s="17">
        <v>116</v>
      </c>
      <c r="B304" s="31">
        <v>46341</v>
      </c>
      <c r="C304" s="32">
        <f>INDEX('Input Data'!$B:$B,A304)/2+IF(A304&lt;&gt;A305,100,0)</f>
        <v>1.75</v>
      </c>
      <c r="D304" s="33">
        <f>INDEX('ZCB Curve - Payment Dates'!$D$2:$D$246,MATCH(B304,'ZCB Curve - Payment Dates'!$A$2:$A$246,0))</f>
        <v>0.99245367292309439</v>
      </c>
      <c r="E304" s="32">
        <f t="shared" si="4"/>
        <v>1.7367939276154152</v>
      </c>
    </row>
    <row r="305" spans="1:5" x14ac:dyDescent="0.25">
      <c r="A305" s="17">
        <v>116</v>
      </c>
      <c r="B305" s="31">
        <v>46522</v>
      </c>
      <c r="C305" s="32">
        <f>INDEX('Input Data'!$B:$B,A305)/2+IF(A305&lt;&gt;A306,100,0)</f>
        <v>1.75</v>
      </c>
      <c r="D305" s="33">
        <f>INDEX('ZCB Curve - Payment Dates'!$D$2:$D$246,MATCH(B305,'ZCB Curve - Payment Dates'!$A$2:$A$246,0))</f>
        <v>0.97242179559611874</v>
      </c>
      <c r="E305" s="32">
        <f t="shared" si="4"/>
        <v>1.7017381422932079</v>
      </c>
    </row>
    <row r="306" spans="1:5" x14ac:dyDescent="0.25">
      <c r="A306" s="17">
        <v>116</v>
      </c>
      <c r="B306" s="31">
        <v>46706</v>
      </c>
      <c r="C306" s="32">
        <f>INDEX('Input Data'!$B:$B,A306)/2+IF(A306&lt;&gt;A307,100,0)</f>
        <v>1.75</v>
      </c>
      <c r="D306" s="33">
        <f>INDEX('ZCB Curve - Payment Dates'!$D$2:$D$246,MATCH(B306,'ZCB Curve - Payment Dates'!$A$2:$A$246,0))</f>
        <v>0.95121018311627348</v>
      </c>
      <c r="E306" s="32">
        <f t="shared" si="4"/>
        <v>1.6646178204534785</v>
      </c>
    </row>
    <row r="307" spans="1:5" x14ac:dyDescent="0.25">
      <c r="A307" s="17">
        <v>116</v>
      </c>
      <c r="B307" s="31">
        <v>46888</v>
      </c>
      <c r="C307" s="32">
        <f>INDEX('Input Data'!$B:$B,A307)/2+IF(A307&lt;&gt;A308,100,0)</f>
        <v>1.75</v>
      </c>
      <c r="D307" s="33">
        <f>INDEX('ZCB Curve - Payment Dates'!$D$2:$D$246,MATCH(B307,'ZCB Curve - Payment Dates'!$A$2:$A$246,0))</f>
        <v>0.93000025435083566</v>
      </c>
      <c r="E307" s="32">
        <f t="shared" si="4"/>
        <v>1.6275004451139625</v>
      </c>
    </row>
    <row r="308" spans="1:5" x14ac:dyDescent="0.25">
      <c r="A308" s="17">
        <v>116</v>
      </c>
      <c r="B308" s="31">
        <v>47072</v>
      </c>
      <c r="C308" s="32">
        <f>INDEX('Input Data'!$B:$B,A308)/2+IF(A308&lt;&gt;A309,100,0)</f>
        <v>101.75</v>
      </c>
      <c r="D308" s="33">
        <f>INDEX('ZCB Curve - Payment Dates'!$D$2:$D$246,MATCH(B308,'ZCB Curve - Payment Dates'!$A$2:$A$246,0))</f>
        <v>0.90870125167038918</v>
      </c>
      <c r="E308" s="32">
        <f t="shared" si="4"/>
        <v>92.460352357462099</v>
      </c>
    </row>
    <row r="309" spans="1:5" x14ac:dyDescent="0.25">
      <c r="A309" s="17">
        <v>117</v>
      </c>
      <c r="B309" s="31">
        <v>46341</v>
      </c>
      <c r="C309" s="32">
        <f>INDEX('Input Data'!$B:$B,A309)/2+IF(A309&lt;&gt;A310,100,0)</f>
        <v>2.625</v>
      </c>
      <c r="D309" s="33">
        <f>INDEX('ZCB Curve - Payment Dates'!$D$2:$D$246,MATCH(B309,'ZCB Curve - Payment Dates'!$A$2:$A$246,0))</f>
        <v>0.99245367292309439</v>
      </c>
      <c r="E309" s="32">
        <f t="shared" si="4"/>
        <v>2.6051908914231228</v>
      </c>
    </row>
    <row r="310" spans="1:5" x14ac:dyDescent="0.25">
      <c r="A310" s="17">
        <v>117</v>
      </c>
      <c r="B310" s="31">
        <v>46522</v>
      </c>
      <c r="C310" s="32">
        <f>INDEX('Input Data'!$B:$B,A310)/2+IF(A310&lt;&gt;A311,100,0)</f>
        <v>2.625</v>
      </c>
      <c r="D310" s="33">
        <f>INDEX('ZCB Curve - Payment Dates'!$D$2:$D$246,MATCH(B310,'ZCB Curve - Payment Dates'!$A$2:$A$246,0))</f>
        <v>0.97242179559611874</v>
      </c>
      <c r="E310" s="32">
        <f t="shared" si="4"/>
        <v>2.5526072134398117</v>
      </c>
    </row>
    <row r="311" spans="1:5" x14ac:dyDescent="0.25">
      <c r="A311" s="17">
        <v>117</v>
      </c>
      <c r="B311" s="31">
        <v>46706</v>
      </c>
      <c r="C311" s="32">
        <f>INDEX('Input Data'!$B:$B,A311)/2+IF(A311&lt;&gt;A312,100,0)</f>
        <v>2.625</v>
      </c>
      <c r="D311" s="33">
        <f>INDEX('ZCB Curve - Payment Dates'!$D$2:$D$246,MATCH(B311,'ZCB Curve - Payment Dates'!$A$2:$A$246,0))</f>
        <v>0.95121018311627348</v>
      </c>
      <c r="E311" s="32">
        <f t="shared" si="4"/>
        <v>2.4969267306802179</v>
      </c>
    </row>
    <row r="312" spans="1:5" x14ac:dyDescent="0.25">
      <c r="A312" s="17">
        <v>117</v>
      </c>
      <c r="B312" s="31">
        <v>46888</v>
      </c>
      <c r="C312" s="32">
        <f>INDEX('Input Data'!$B:$B,A312)/2+IF(A312&lt;&gt;A313,100,0)</f>
        <v>2.625</v>
      </c>
      <c r="D312" s="33">
        <f>INDEX('ZCB Curve - Payment Dates'!$D$2:$D$246,MATCH(B312,'ZCB Curve - Payment Dates'!$A$2:$A$246,0))</f>
        <v>0.93000025435083566</v>
      </c>
      <c r="E312" s="32">
        <f t="shared" si="4"/>
        <v>2.4412506676709436</v>
      </c>
    </row>
    <row r="313" spans="1:5" x14ac:dyDescent="0.25">
      <c r="A313" s="17">
        <v>117</v>
      </c>
      <c r="B313" s="31">
        <v>47072</v>
      </c>
      <c r="C313" s="32">
        <f>INDEX('Input Data'!$B:$B,A313)/2+IF(A313&lt;&gt;A314,100,0)</f>
        <v>102.625</v>
      </c>
      <c r="D313" s="33">
        <f>INDEX('ZCB Curve - Payment Dates'!$D$2:$D$246,MATCH(B313,'ZCB Curve - Payment Dates'!$A$2:$A$246,0))</f>
        <v>0.90870125167038918</v>
      </c>
      <c r="E313" s="32">
        <f t="shared" si="4"/>
        <v>93.255465952673688</v>
      </c>
    </row>
    <row r="314" spans="1:5" x14ac:dyDescent="0.25">
      <c r="A314" s="17">
        <v>118</v>
      </c>
      <c r="B314" s="31">
        <v>46356</v>
      </c>
      <c r="C314" s="32">
        <f>INDEX('Input Data'!$B:$B,A314)/2+IF(A314&lt;&gt;A315,100,0)</f>
        <v>0.75</v>
      </c>
      <c r="D314" s="33">
        <f>INDEX('ZCB Curve - Payment Dates'!$D$2:$D$246,MATCH(B314,'ZCB Curve - Payment Dates'!$A$2:$A$246,0))</f>
        <v>0.99084497326382592</v>
      </c>
      <c r="E314" s="32">
        <f t="shared" si="4"/>
        <v>0.74313372994786941</v>
      </c>
    </row>
    <row r="315" spans="1:5" x14ac:dyDescent="0.25">
      <c r="A315" s="17">
        <v>118</v>
      </c>
      <c r="B315" s="31">
        <v>46538</v>
      </c>
      <c r="C315" s="32">
        <f>INDEX('Input Data'!$B:$B,A315)/2+IF(A315&lt;&gt;A316,100,0)</f>
        <v>0.75</v>
      </c>
      <c r="D315" s="33">
        <f>INDEX('ZCB Curve - Payment Dates'!$D$2:$D$246,MATCH(B315,'ZCB Curve - Payment Dates'!$A$2:$A$246,0))</f>
        <v>0.97060179184855555</v>
      </c>
      <c r="E315" s="32">
        <f t="shared" si="4"/>
        <v>0.72795134388641669</v>
      </c>
    </row>
    <row r="316" spans="1:5" x14ac:dyDescent="0.25">
      <c r="A316" s="17">
        <v>118</v>
      </c>
      <c r="B316" s="31">
        <v>46721</v>
      </c>
      <c r="C316" s="32">
        <f>INDEX('Input Data'!$B:$B,A316)/2+IF(A316&lt;&gt;A317,100,0)</f>
        <v>0.75</v>
      </c>
      <c r="D316" s="33">
        <f>INDEX('ZCB Curve - Payment Dates'!$D$2:$D$246,MATCH(B316,'ZCB Curve - Payment Dates'!$A$2:$A$246,0))</f>
        <v>0.94946404326393219</v>
      </c>
      <c r="E316" s="32">
        <f t="shared" si="4"/>
        <v>0.71209803244794911</v>
      </c>
    </row>
    <row r="317" spans="1:5" x14ac:dyDescent="0.25">
      <c r="A317" s="17">
        <v>118</v>
      </c>
      <c r="B317" s="31">
        <v>46904</v>
      </c>
      <c r="C317" s="32">
        <f>INDEX('Input Data'!$B:$B,A317)/2+IF(A317&lt;&gt;A318,100,0)</f>
        <v>0.75</v>
      </c>
      <c r="D317" s="33">
        <f>INDEX('ZCB Curve - Payment Dates'!$D$2:$D$246,MATCH(B317,'ZCB Curve - Payment Dates'!$A$2:$A$246,0))</f>
        <v>0.92813990099508414</v>
      </c>
      <c r="E317" s="32">
        <f t="shared" si="4"/>
        <v>0.69610492574631311</v>
      </c>
    </row>
    <row r="318" spans="1:5" x14ac:dyDescent="0.25">
      <c r="A318" s="17">
        <v>118</v>
      </c>
      <c r="B318" s="31">
        <v>47087</v>
      </c>
      <c r="C318" s="32">
        <f>INDEX('Input Data'!$B:$B,A318)/2+IF(A318&lt;&gt;A319,100,0)</f>
        <v>100.75</v>
      </c>
      <c r="D318" s="33">
        <f>INDEX('ZCB Curve - Payment Dates'!$D$2:$D$246,MATCH(B318,'ZCB Curve - Payment Dates'!$A$2:$A$246,0))</f>
        <v>0.90697842456009181</v>
      </c>
      <c r="E318" s="32">
        <f t="shared" si="4"/>
        <v>91.378076274429247</v>
      </c>
    </row>
    <row r="319" spans="1:5" x14ac:dyDescent="0.25">
      <c r="A319" s="17">
        <v>119</v>
      </c>
      <c r="B319" s="31">
        <v>46356</v>
      </c>
      <c r="C319" s="32">
        <f>INDEX('Input Data'!$B:$B,A319)/2+IF(A319&lt;&gt;A320,100,0)</f>
        <v>2.1875</v>
      </c>
      <c r="D319" s="33">
        <f>INDEX('ZCB Curve - Payment Dates'!$D$2:$D$246,MATCH(B319,'ZCB Curve - Payment Dates'!$A$2:$A$246,0))</f>
        <v>0.99084497326382592</v>
      </c>
      <c r="E319" s="32">
        <f t="shared" si="4"/>
        <v>2.167473379014619</v>
      </c>
    </row>
    <row r="320" spans="1:5" x14ac:dyDescent="0.25">
      <c r="A320" s="17">
        <v>119</v>
      </c>
      <c r="B320" s="31">
        <v>46538</v>
      </c>
      <c r="C320" s="32">
        <f>INDEX('Input Data'!$B:$B,A320)/2+IF(A320&lt;&gt;A321,100,0)</f>
        <v>2.1875</v>
      </c>
      <c r="D320" s="33">
        <f>INDEX('ZCB Curve - Payment Dates'!$D$2:$D$246,MATCH(B320,'ZCB Curve - Payment Dates'!$A$2:$A$246,0))</f>
        <v>0.97060179184855555</v>
      </c>
      <c r="E320" s="32">
        <f t="shared" si="4"/>
        <v>2.1231914196687152</v>
      </c>
    </row>
    <row r="321" spans="1:5" x14ac:dyDescent="0.25">
      <c r="A321" s="17">
        <v>119</v>
      </c>
      <c r="B321" s="31">
        <v>46721</v>
      </c>
      <c r="C321" s="32">
        <f>INDEX('Input Data'!$B:$B,A321)/2+IF(A321&lt;&gt;A322,100,0)</f>
        <v>2.1875</v>
      </c>
      <c r="D321" s="33">
        <f>INDEX('ZCB Curve - Payment Dates'!$D$2:$D$246,MATCH(B321,'ZCB Curve - Payment Dates'!$A$2:$A$246,0))</f>
        <v>0.94946404326393219</v>
      </c>
      <c r="E321" s="32">
        <f t="shared" si="4"/>
        <v>2.0769525946398515</v>
      </c>
    </row>
    <row r="322" spans="1:5" x14ac:dyDescent="0.25">
      <c r="A322" s="17">
        <v>119</v>
      </c>
      <c r="B322" s="31">
        <v>46904</v>
      </c>
      <c r="C322" s="32">
        <f>INDEX('Input Data'!$B:$B,A322)/2+IF(A322&lt;&gt;A323,100,0)</f>
        <v>2.1875</v>
      </c>
      <c r="D322" s="33">
        <f>INDEX('ZCB Curve - Payment Dates'!$D$2:$D$246,MATCH(B322,'ZCB Curve - Payment Dates'!$A$2:$A$246,0))</f>
        <v>0.92813990099508414</v>
      </c>
      <c r="E322" s="32">
        <f t="shared" ref="E322:E385" si="5">C322*D322</f>
        <v>2.0303060334267466</v>
      </c>
    </row>
    <row r="323" spans="1:5" x14ac:dyDescent="0.25">
      <c r="A323" s="17">
        <v>119</v>
      </c>
      <c r="B323" s="31">
        <v>47087</v>
      </c>
      <c r="C323" s="32">
        <f>INDEX('Input Data'!$B:$B,A323)/2+IF(A323&lt;&gt;A324,100,0)</f>
        <v>102.1875</v>
      </c>
      <c r="D323" s="33">
        <f>INDEX('ZCB Curve - Payment Dates'!$D$2:$D$246,MATCH(B323,'ZCB Curve - Payment Dates'!$A$2:$A$246,0))</f>
        <v>0.90697842456009181</v>
      </c>
      <c r="E323" s="32">
        <f t="shared" si="5"/>
        <v>92.681857759734385</v>
      </c>
    </row>
    <row r="324" spans="1:5" x14ac:dyDescent="0.25">
      <c r="A324" s="17">
        <v>120</v>
      </c>
      <c r="B324" s="31">
        <v>46371</v>
      </c>
      <c r="C324" s="32">
        <f>INDEX('Input Data'!$B:$B,A324)/2+IF(A324&lt;&gt;A325,100,0)</f>
        <v>1.75</v>
      </c>
      <c r="D324" s="33">
        <f>INDEX('ZCB Curve - Payment Dates'!$D$2:$D$246,MATCH(B324,'ZCB Curve - Payment Dates'!$A$2:$A$246,0))</f>
        <v>0.98922507612573607</v>
      </c>
      <c r="E324" s="32">
        <f t="shared" si="5"/>
        <v>1.7311438832200381</v>
      </c>
    </row>
    <row r="325" spans="1:5" x14ac:dyDescent="0.25">
      <c r="A325" s="17">
        <v>120</v>
      </c>
      <c r="B325" s="31">
        <v>46553</v>
      </c>
      <c r="C325" s="32">
        <f>INDEX('Input Data'!$B:$B,A325)/2+IF(A325&lt;&gt;A326,100,0)</f>
        <v>1.75</v>
      </c>
      <c r="D325" s="33">
        <f>INDEX('ZCB Curve - Payment Dates'!$D$2:$D$246,MATCH(B325,'ZCB Curve - Payment Dates'!$A$2:$A$246,0))</f>
        <v>0.96888871419984679</v>
      </c>
      <c r="E325" s="32">
        <f t="shared" si="5"/>
        <v>1.6955552498497319</v>
      </c>
    </row>
    <row r="326" spans="1:5" x14ac:dyDescent="0.25">
      <c r="A326" s="17">
        <v>120</v>
      </c>
      <c r="B326" s="31">
        <v>46736</v>
      </c>
      <c r="C326" s="32">
        <f>INDEX('Input Data'!$B:$B,A326)/2+IF(A326&lt;&gt;A327,100,0)</f>
        <v>1.75</v>
      </c>
      <c r="D326" s="33">
        <f>INDEX('ZCB Curve - Payment Dates'!$D$2:$D$246,MATCH(B326,'ZCB Curve - Payment Dates'!$A$2:$A$246,0))</f>
        <v>0.94771675230658103</v>
      </c>
      <c r="E326" s="32">
        <f t="shared" si="5"/>
        <v>1.6585043165365168</v>
      </c>
    </row>
    <row r="327" spans="1:5" x14ac:dyDescent="0.25">
      <c r="A327" s="17">
        <v>120</v>
      </c>
      <c r="B327" s="31">
        <v>46919</v>
      </c>
      <c r="C327" s="32">
        <f>INDEX('Input Data'!$B:$B,A327)/2+IF(A327&lt;&gt;A328,100,0)</f>
        <v>1.75</v>
      </c>
      <c r="D327" s="33">
        <f>INDEX('ZCB Curve - Payment Dates'!$D$2:$D$246,MATCH(B327,'ZCB Curve - Payment Dates'!$A$2:$A$246,0))</f>
        <v>0.92639547442094117</v>
      </c>
      <c r="E327" s="32">
        <f t="shared" si="5"/>
        <v>1.6211920802366471</v>
      </c>
    </row>
    <row r="328" spans="1:5" x14ac:dyDescent="0.25">
      <c r="A328" s="17">
        <v>120</v>
      </c>
      <c r="B328" s="31">
        <v>47102</v>
      </c>
      <c r="C328" s="32">
        <f>INDEX('Input Data'!$B:$B,A328)/2+IF(A328&lt;&gt;A329,100,0)</f>
        <v>101.75</v>
      </c>
      <c r="D328" s="33">
        <f>INDEX('ZCB Curve - Payment Dates'!$D$2:$D$246,MATCH(B328,'ZCB Curve - Payment Dates'!$A$2:$A$246,0))</f>
        <v>0.90525808425208809</v>
      </c>
      <c r="E328" s="32">
        <f t="shared" si="5"/>
        <v>92.110010072649956</v>
      </c>
    </row>
    <row r="329" spans="1:5" x14ac:dyDescent="0.25">
      <c r="A329" s="17">
        <v>121</v>
      </c>
      <c r="B329" s="31">
        <v>46387</v>
      </c>
      <c r="C329" s="32">
        <f>INDEX('Input Data'!$B:$B,A329)/2+IF(A329&lt;&gt;A330,100,0)</f>
        <v>0.6875</v>
      </c>
      <c r="D329" s="33">
        <f>INDEX('ZCB Curve - Payment Dates'!$D$2:$D$246,MATCH(B329,'ZCB Curve - Payment Dates'!$A$2:$A$246,0))</f>
        <v>0.987487116303851</v>
      </c>
      <c r="E329" s="32">
        <f t="shared" si="5"/>
        <v>0.67889739245889758</v>
      </c>
    </row>
    <row r="330" spans="1:5" x14ac:dyDescent="0.25">
      <c r="A330" s="17">
        <v>121</v>
      </c>
      <c r="B330" s="31">
        <v>46568</v>
      </c>
      <c r="C330" s="32">
        <f>INDEX('Input Data'!$B:$B,A330)/2+IF(A330&lt;&gt;A331,100,0)</f>
        <v>0.6875</v>
      </c>
      <c r="D330" s="33">
        <f>INDEX('ZCB Curve - Payment Dates'!$D$2:$D$246,MATCH(B330,'ZCB Curve - Payment Dates'!$A$2:$A$246,0))</f>
        <v>0.96717094344557664</v>
      </c>
      <c r="E330" s="32">
        <f t="shared" si="5"/>
        <v>0.66493002361883391</v>
      </c>
    </row>
    <row r="331" spans="1:5" x14ac:dyDescent="0.25">
      <c r="A331" s="17">
        <v>121</v>
      </c>
      <c r="B331" s="31">
        <v>46752</v>
      </c>
      <c r="C331" s="32">
        <f>INDEX('Input Data'!$B:$B,A331)/2+IF(A331&lt;&gt;A332,100,0)</f>
        <v>0.6875</v>
      </c>
      <c r="D331" s="33">
        <f>INDEX('ZCB Curve - Payment Dates'!$D$2:$D$246,MATCH(B331,'ZCB Curve - Payment Dates'!$A$2:$A$246,0))</f>
        <v>0.94585368463190456</v>
      </c>
      <c r="E331" s="32">
        <f t="shared" si="5"/>
        <v>0.65027440818443438</v>
      </c>
    </row>
    <row r="332" spans="1:5" x14ac:dyDescent="0.25">
      <c r="A332" s="17">
        <v>121</v>
      </c>
      <c r="B332" s="31">
        <v>46934</v>
      </c>
      <c r="C332" s="32">
        <f>INDEX('Input Data'!$B:$B,A332)/2+IF(A332&lt;&gt;A333,100,0)</f>
        <v>0.6875</v>
      </c>
      <c r="D332" s="33">
        <f>INDEX('ZCB Curve - Payment Dates'!$D$2:$D$246,MATCH(B332,'ZCB Curve - Payment Dates'!$A$2:$A$246,0))</f>
        <v>0.92465239860805604</v>
      </c>
      <c r="E332" s="32">
        <f t="shared" si="5"/>
        <v>0.6356985240430385</v>
      </c>
    </row>
    <row r="333" spans="1:5" x14ac:dyDescent="0.25">
      <c r="A333" s="17">
        <v>121</v>
      </c>
      <c r="B333" s="31">
        <v>47118</v>
      </c>
      <c r="C333" s="32">
        <f>INDEX('Input Data'!$B:$B,A333)/2+IF(A333&lt;&gt;A334,100,0)</f>
        <v>100.6875</v>
      </c>
      <c r="D333" s="33">
        <f>INDEX('ZCB Curve - Payment Dates'!$D$2:$D$246,MATCH(B333,'ZCB Curve - Payment Dates'!$A$2:$A$246,0))</f>
        <v>0.90342754291436123</v>
      </c>
      <c r="E333" s="32">
        <f t="shared" si="5"/>
        <v>90.96386072718974</v>
      </c>
    </row>
    <row r="334" spans="1:5" x14ac:dyDescent="0.25">
      <c r="A334" s="17">
        <v>122</v>
      </c>
      <c r="B334" s="31">
        <v>46387</v>
      </c>
      <c r="C334" s="32">
        <f>INDEX('Input Data'!$B:$B,A334)/2+IF(A334&lt;&gt;A335,100,0)</f>
        <v>1.875</v>
      </c>
      <c r="D334" s="33">
        <f>INDEX('ZCB Curve - Payment Dates'!$D$2:$D$246,MATCH(B334,'ZCB Curve - Payment Dates'!$A$2:$A$246,0))</f>
        <v>0.987487116303851</v>
      </c>
      <c r="E334" s="32">
        <f t="shared" si="5"/>
        <v>1.8515383430697205</v>
      </c>
    </row>
    <row r="335" spans="1:5" x14ac:dyDescent="0.25">
      <c r="A335" s="17">
        <v>122</v>
      </c>
      <c r="B335" s="31">
        <v>46568</v>
      </c>
      <c r="C335" s="32">
        <f>INDEX('Input Data'!$B:$B,A335)/2+IF(A335&lt;&gt;A336,100,0)</f>
        <v>1.875</v>
      </c>
      <c r="D335" s="33">
        <f>INDEX('ZCB Curve - Payment Dates'!$D$2:$D$246,MATCH(B335,'ZCB Curve - Payment Dates'!$A$2:$A$246,0))</f>
        <v>0.96717094344557664</v>
      </c>
      <c r="E335" s="32">
        <f t="shared" si="5"/>
        <v>1.8134455189604561</v>
      </c>
    </row>
    <row r="336" spans="1:5" x14ac:dyDescent="0.25">
      <c r="A336" s="17">
        <v>122</v>
      </c>
      <c r="B336" s="31">
        <v>46752</v>
      </c>
      <c r="C336" s="32">
        <f>INDEX('Input Data'!$B:$B,A336)/2+IF(A336&lt;&gt;A337,100,0)</f>
        <v>1.875</v>
      </c>
      <c r="D336" s="33">
        <f>INDEX('ZCB Curve - Payment Dates'!$D$2:$D$246,MATCH(B336,'ZCB Curve - Payment Dates'!$A$2:$A$246,0))</f>
        <v>0.94585368463190456</v>
      </c>
      <c r="E336" s="32">
        <f t="shared" si="5"/>
        <v>1.773475658684821</v>
      </c>
    </row>
    <row r="337" spans="1:5" x14ac:dyDescent="0.25">
      <c r="A337" s="17">
        <v>122</v>
      </c>
      <c r="B337" s="31">
        <v>46934</v>
      </c>
      <c r="C337" s="32">
        <f>INDEX('Input Data'!$B:$B,A337)/2+IF(A337&lt;&gt;A338,100,0)</f>
        <v>1.875</v>
      </c>
      <c r="D337" s="33">
        <f>INDEX('ZCB Curve - Payment Dates'!$D$2:$D$246,MATCH(B337,'ZCB Curve - Payment Dates'!$A$2:$A$246,0))</f>
        <v>0.92465239860805604</v>
      </c>
      <c r="E337" s="32">
        <f t="shared" si="5"/>
        <v>1.733723247390105</v>
      </c>
    </row>
    <row r="338" spans="1:5" x14ac:dyDescent="0.25">
      <c r="A338" s="17">
        <v>122</v>
      </c>
      <c r="B338" s="31">
        <v>47118</v>
      </c>
      <c r="C338" s="32">
        <f>INDEX('Input Data'!$B:$B,A338)/2+IF(A338&lt;&gt;A339,100,0)</f>
        <v>101.875</v>
      </c>
      <c r="D338" s="33">
        <f>INDEX('ZCB Curve - Payment Dates'!$D$2:$D$246,MATCH(B338,'ZCB Curve - Payment Dates'!$A$2:$A$246,0))</f>
        <v>0.90342754291436123</v>
      </c>
      <c r="E338" s="32">
        <f t="shared" si="5"/>
        <v>92.03668093440055</v>
      </c>
    </row>
    <row r="339" spans="1:5" x14ac:dyDescent="0.25">
      <c r="A339" s="17">
        <v>123</v>
      </c>
      <c r="B339" s="31">
        <v>46402</v>
      </c>
      <c r="C339" s="32">
        <f>INDEX('Input Data'!$B:$B,A339)/2+IF(A339&lt;&gt;A340,100,0)</f>
        <v>1.75</v>
      </c>
      <c r="D339" s="33">
        <f>INDEX('ZCB Curve - Payment Dates'!$D$2:$D$246,MATCH(B339,'ZCB Curve - Payment Dates'!$A$2:$A$246,0))</f>
        <v>0.98584597894241466</v>
      </c>
      <c r="E339" s="32">
        <f t="shared" si="5"/>
        <v>1.7252304631492257</v>
      </c>
    </row>
    <row r="340" spans="1:5" x14ac:dyDescent="0.25">
      <c r="A340" s="17">
        <v>123</v>
      </c>
      <c r="B340" s="31">
        <v>46583</v>
      </c>
      <c r="C340" s="32">
        <f>INDEX('Input Data'!$B:$B,A340)/2+IF(A340&lt;&gt;A341,100,0)</f>
        <v>1.75</v>
      </c>
      <c r="D340" s="33">
        <f>INDEX('ZCB Curve - Payment Dates'!$D$2:$D$246,MATCH(B340,'ZCB Curve - Payment Dates'!$A$2:$A$246,0))</f>
        <v>0.96544886161553756</v>
      </c>
      <c r="E340" s="32">
        <f t="shared" si="5"/>
        <v>1.6895355078271908</v>
      </c>
    </row>
    <row r="341" spans="1:5" x14ac:dyDescent="0.25">
      <c r="A341" s="17">
        <v>123</v>
      </c>
      <c r="B341" s="31">
        <v>46767</v>
      </c>
      <c r="C341" s="32">
        <f>INDEX('Input Data'!$B:$B,A341)/2+IF(A341&lt;&gt;A342,100,0)</f>
        <v>1.75</v>
      </c>
      <c r="D341" s="33">
        <f>INDEX('ZCB Curve - Payment Dates'!$D$2:$D$246,MATCH(B341,'ZCB Curve - Payment Dates'!$A$2:$A$246,0))</f>
        <v>0.94410478141292531</v>
      </c>
      <c r="E341" s="32">
        <f t="shared" si="5"/>
        <v>1.6521833674726194</v>
      </c>
    </row>
    <row r="342" spans="1:5" x14ac:dyDescent="0.25">
      <c r="A342" s="17">
        <v>123</v>
      </c>
      <c r="B342" s="31">
        <v>46949</v>
      </c>
      <c r="C342" s="32">
        <f>INDEX('Input Data'!$B:$B,A342)/2+IF(A342&lt;&gt;A343,100,0)</f>
        <v>1.75</v>
      </c>
      <c r="D342" s="33">
        <f>INDEX('ZCB Curve - Payment Dates'!$D$2:$D$246,MATCH(B342,'ZCB Curve - Payment Dates'!$A$2:$A$246,0))</f>
        <v>0.92291080633862488</v>
      </c>
      <c r="E342" s="32">
        <f t="shared" si="5"/>
        <v>1.6150939110925935</v>
      </c>
    </row>
    <row r="343" spans="1:5" x14ac:dyDescent="0.25">
      <c r="A343" s="17">
        <v>123</v>
      </c>
      <c r="B343" s="31">
        <v>47133</v>
      </c>
      <c r="C343" s="32">
        <f>INDEX('Input Data'!$B:$B,A343)/2+IF(A343&lt;&gt;A344,100,0)</f>
        <v>101.75</v>
      </c>
      <c r="D343" s="33">
        <f>INDEX('ZCB Curve - Payment Dates'!$D$2:$D$246,MATCH(B343,'ZCB Curve - Payment Dates'!$A$2:$A$246,0))</f>
        <v>0.90171255083345714</v>
      </c>
      <c r="E343" s="32">
        <f t="shared" si="5"/>
        <v>91.749252047304267</v>
      </c>
    </row>
    <row r="344" spans="1:5" x14ac:dyDescent="0.25">
      <c r="A344" s="17">
        <v>124</v>
      </c>
      <c r="B344" s="31">
        <v>46418</v>
      </c>
      <c r="C344" s="32">
        <f>INDEX('Input Data'!$B:$B,A344)/2+IF(A344&lt;&gt;A345,100,0)</f>
        <v>0.875</v>
      </c>
      <c r="D344" s="33">
        <f>INDEX('ZCB Curve - Payment Dates'!$D$2:$D$246,MATCH(B344,'ZCB Curve - Payment Dates'!$A$2:$A$246,0))</f>
        <v>0.98408668818349121</v>
      </c>
      <c r="E344" s="32">
        <f t="shared" si="5"/>
        <v>0.86107585216055482</v>
      </c>
    </row>
    <row r="345" spans="1:5" x14ac:dyDescent="0.25">
      <c r="A345" s="17">
        <v>124</v>
      </c>
      <c r="B345" s="31">
        <v>46599</v>
      </c>
      <c r="C345" s="32">
        <f>INDEX('Input Data'!$B:$B,A345)/2+IF(A345&lt;&gt;A346,100,0)</f>
        <v>0.875</v>
      </c>
      <c r="D345" s="33">
        <f>INDEX('ZCB Curve - Payment Dates'!$D$2:$D$246,MATCH(B345,'ZCB Curve - Payment Dates'!$A$2:$A$246,0))</f>
        <v>0.96360931883583933</v>
      </c>
      <c r="E345" s="32">
        <f t="shared" si="5"/>
        <v>0.8431581539813594</v>
      </c>
    </row>
    <row r="346" spans="1:5" x14ac:dyDescent="0.25">
      <c r="A346" s="17">
        <v>124</v>
      </c>
      <c r="B346" s="31">
        <v>46783</v>
      </c>
      <c r="C346" s="32">
        <f>INDEX('Input Data'!$B:$B,A346)/2+IF(A346&lt;&gt;A347,100,0)</f>
        <v>0.875</v>
      </c>
      <c r="D346" s="33">
        <f>INDEX('ZCB Curve - Payment Dates'!$D$2:$D$246,MATCH(B346,'ZCB Curve - Payment Dates'!$A$2:$A$246,0))</f>
        <v>0.94224051785347052</v>
      </c>
      <c r="E346" s="32">
        <f t="shared" si="5"/>
        <v>0.82446045312178673</v>
      </c>
    </row>
    <row r="347" spans="1:5" x14ac:dyDescent="0.25">
      <c r="A347" s="17">
        <v>124</v>
      </c>
      <c r="B347" s="31">
        <v>46965</v>
      </c>
      <c r="C347" s="32">
        <f>INDEX('Input Data'!$B:$B,A347)/2+IF(A347&lt;&gt;A348,100,0)</f>
        <v>0.875</v>
      </c>
      <c r="D347" s="33">
        <f>INDEX('ZCB Curve - Payment Dates'!$D$2:$D$246,MATCH(B347,'ZCB Curve - Payment Dates'!$A$2:$A$246,0))</f>
        <v>0.92105657743562108</v>
      </c>
      <c r="E347" s="32">
        <f t="shared" si="5"/>
        <v>0.80592450525616843</v>
      </c>
    </row>
    <row r="348" spans="1:5" x14ac:dyDescent="0.25">
      <c r="A348" s="17">
        <v>124</v>
      </c>
      <c r="B348" s="31">
        <v>47149</v>
      </c>
      <c r="C348" s="32">
        <f>INDEX('Input Data'!$B:$B,A348)/2+IF(A348&lt;&gt;A349,100,0)</f>
        <v>100.875</v>
      </c>
      <c r="D348" s="33">
        <f>INDEX('ZCB Curve - Payment Dates'!$D$2:$D$246,MATCH(B348,'ZCB Curve - Payment Dates'!$A$2:$A$246,0))</f>
        <v>0.89988368588562773</v>
      </c>
      <c r="E348" s="32">
        <f t="shared" si="5"/>
        <v>90.775766813712693</v>
      </c>
    </row>
    <row r="349" spans="1:5" x14ac:dyDescent="0.25">
      <c r="A349" s="17">
        <v>125</v>
      </c>
      <c r="B349" s="31">
        <v>46418</v>
      </c>
      <c r="C349" s="32">
        <f>INDEX('Input Data'!$B:$B,A349)/2+IF(A349&lt;&gt;A350,100,0)</f>
        <v>2</v>
      </c>
      <c r="D349" s="33">
        <f>INDEX('ZCB Curve - Payment Dates'!$D$2:$D$246,MATCH(B349,'ZCB Curve - Payment Dates'!$A$2:$A$246,0))</f>
        <v>0.98408668818349121</v>
      </c>
      <c r="E349" s="32">
        <f t="shared" si="5"/>
        <v>1.9681733763669824</v>
      </c>
    </row>
    <row r="350" spans="1:5" x14ac:dyDescent="0.25">
      <c r="A350" s="17">
        <v>125</v>
      </c>
      <c r="B350" s="31">
        <v>46599</v>
      </c>
      <c r="C350" s="32">
        <f>INDEX('Input Data'!$B:$B,A350)/2+IF(A350&lt;&gt;A351,100,0)</f>
        <v>2</v>
      </c>
      <c r="D350" s="33">
        <f>INDEX('ZCB Curve - Payment Dates'!$D$2:$D$246,MATCH(B350,'ZCB Curve - Payment Dates'!$A$2:$A$246,0))</f>
        <v>0.96360931883583933</v>
      </c>
      <c r="E350" s="32">
        <f t="shared" si="5"/>
        <v>1.9272186376716787</v>
      </c>
    </row>
    <row r="351" spans="1:5" x14ac:dyDescent="0.25">
      <c r="A351" s="17">
        <v>125</v>
      </c>
      <c r="B351" s="31">
        <v>46783</v>
      </c>
      <c r="C351" s="32">
        <f>INDEX('Input Data'!$B:$B,A351)/2+IF(A351&lt;&gt;A352,100,0)</f>
        <v>2</v>
      </c>
      <c r="D351" s="33">
        <f>INDEX('ZCB Curve - Payment Dates'!$D$2:$D$246,MATCH(B351,'ZCB Curve - Payment Dates'!$A$2:$A$246,0))</f>
        <v>0.94224051785347052</v>
      </c>
      <c r="E351" s="32">
        <f t="shared" si="5"/>
        <v>1.884481035706941</v>
      </c>
    </row>
    <row r="352" spans="1:5" x14ac:dyDescent="0.25">
      <c r="A352" s="17">
        <v>125</v>
      </c>
      <c r="B352" s="31">
        <v>46965</v>
      </c>
      <c r="C352" s="32">
        <f>INDEX('Input Data'!$B:$B,A352)/2+IF(A352&lt;&gt;A353,100,0)</f>
        <v>2</v>
      </c>
      <c r="D352" s="33">
        <f>INDEX('ZCB Curve - Payment Dates'!$D$2:$D$246,MATCH(B352,'ZCB Curve - Payment Dates'!$A$2:$A$246,0))</f>
        <v>0.92105657743562108</v>
      </c>
      <c r="E352" s="32">
        <f t="shared" si="5"/>
        <v>1.8421131548712422</v>
      </c>
    </row>
    <row r="353" spans="1:5" x14ac:dyDescent="0.25">
      <c r="A353" s="17">
        <v>125</v>
      </c>
      <c r="B353" s="31">
        <v>47149</v>
      </c>
      <c r="C353" s="32">
        <f>INDEX('Input Data'!$B:$B,A353)/2+IF(A353&lt;&gt;A354,100,0)</f>
        <v>102</v>
      </c>
      <c r="D353" s="33">
        <f>INDEX('ZCB Curve - Payment Dates'!$D$2:$D$246,MATCH(B353,'ZCB Curve - Payment Dates'!$A$2:$A$246,0))</f>
        <v>0.89988368588562773</v>
      </c>
      <c r="E353" s="32">
        <f t="shared" si="5"/>
        <v>91.788135960334031</v>
      </c>
    </row>
    <row r="354" spans="1:5" x14ac:dyDescent="0.25">
      <c r="A354" s="17">
        <v>126</v>
      </c>
      <c r="B354" s="31">
        <v>46433</v>
      </c>
      <c r="C354" s="32">
        <f>INDEX('Input Data'!$B:$B,A354)/2+IF(A354&lt;&gt;A355,100,0)</f>
        <v>1.3125</v>
      </c>
      <c r="D354" s="33">
        <f>INDEX('ZCB Curve - Payment Dates'!$D$2:$D$246,MATCH(B354,'ZCB Curve - Payment Dates'!$A$2:$A$246,0))</f>
        <v>0.98242671792446301</v>
      </c>
      <c r="E354" s="32">
        <f t="shared" si="5"/>
        <v>1.2894350672758577</v>
      </c>
    </row>
    <row r="355" spans="1:5" x14ac:dyDescent="0.25">
      <c r="A355" s="17">
        <v>126</v>
      </c>
      <c r="B355" s="31">
        <v>46614</v>
      </c>
      <c r="C355" s="32">
        <f>INDEX('Input Data'!$B:$B,A355)/2+IF(A355&lt;&gt;A356,100,0)</f>
        <v>1.3125</v>
      </c>
      <c r="D355" s="33">
        <f>INDEX('ZCB Curve - Payment Dates'!$D$2:$D$246,MATCH(B355,'ZCB Curve - Payment Dates'!$A$2:$A$246,0))</f>
        <v>0.96187948164765535</v>
      </c>
      <c r="E355" s="32">
        <f t="shared" si="5"/>
        <v>1.2624668196625477</v>
      </c>
    </row>
    <row r="356" spans="1:5" x14ac:dyDescent="0.25">
      <c r="A356" s="17">
        <v>126</v>
      </c>
      <c r="B356" s="31">
        <v>46798</v>
      </c>
      <c r="C356" s="32">
        <f>INDEX('Input Data'!$B:$B,A356)/2+IF(A356&lt;&gt;A357,100,0)</f>
        <v>1.3125</v>
      </c>
      <c r="D356" s="33">
        <f>INDEX('ZCB Curve - Payment Dates'!$D$2:$D$246,MATCH(B356,'ZCB Curve - Payment Dates'!$A$2:$A$246,0))</f>
        <v>0.94049096132648802</v>
      </c>
      <c r="E356" s="32">
        <f t="shared" si="5"/>
        <v>1.2343943867410154</v>
      </c>
    </row>
    <row r="357" spans="1:5" x14ac:dyDescent="0.25">
      <c r="A357" s="17">
        <v>126</v>
      </c>
      <c r="B357" s="31">
        <v>46980</v>
      </c>
      <c r="C357" s="32">
        <f>INDEX('Input Data'!$B:$B,A357)/2+IF(A357&lt;&gt;A358,100,0)</f>
        <v>1.3125</v>
      </c>
      <c r="D357" s="33">
        <f>INDEX('ZCB Curve - Payment Dates'!$D$2:$D$246,MATCH(B357,'ZCB Curve - Payment Dates'!$A$2:$A$246,0))</f>
        <v>0.91931844130238327</v>
      </c>
      <c r="E357" s="32">
        <f t="shared" si="5"/>
        <v>1.206605454209378</v>
      </c>
    </row>
    <row r="358" spans="1:5" x14ac:dyDescent="0.25">
      <c r="A358" s="17">
        <v>126</v>
      </c>
      <c r="B358" s="31">
        <v>47164</v>
      </c>
      <c r="C358" s="32">
        <f>INDEX('Input Data'!$B:$B,A358)/2+IF(A358&lt;&gt;A359,100,0)</f>
        <v>101.3125</v>
      </c>
      <c r="D358" s="33">
        <f>INDEX('ZCB Curve - Payment Dates'!$D$2:$D$246,MATCH(B358,'ZCB Curve - Payment Dates'!$A$2:$A$246,0))</f>
        <v>0.89817430058086534</v>
      </c>
      <c r="E358" s="32">
        <f t="shared" si="5"/>
        <v>90.996283827598916</v>
      </c>
    </row>
    <row r="359" spans="1:5" x14ac:dyDescent="0.25">
      <c r="A359" s="17">
        <v>127</v>
      </c>
      <c r="B359" s="31">
        <v>46433</v>
      </c>
      <c r="C359" s="32">
        <f>INDEX('Input Data'!$B:$B,A359)/2+IF(A359&lt;&gt;A360,100,0)</f>
        <v>1.75</v>
      </c>
      <c r="D359" s="33">
        <f>INDEX('ZCB Curve - Payment Dates'!$D$2:$D$246,MATCH(B359,'ZCB Curve - Payment Dates'!$A$2:$A$246,0))</f>
        <v>0.98242671792446301</v>
      </c>
      <c r="E359" s="32">
        <f t="shared" si="5"/>
        <v>1.7192467563678102</v>
      </c>
    </row>
    <row r="360" spans="1:5" x14ac:dyDescent="0.25">
      <c r="A360" s="17">
        <v>127</v>
      </c>
      <c r="B360" s="31">
        <v>46614</v>
      </c>
      <c r="C360" s="32">
        <f>INDEX('Input Data'!$B:$B,A360)/2+IF(A360&lt;&gt;A361,100,0)</f>
        <v>1.75</v>
      </c>
      <c r="D360" s="33">
        <f>INDEX('ZCB Curve - Payment Dates'!$D$2:$D$246,MATCH(B360,'ZCB Curve - Payment Dates'!$A$2:$A$246,0))</f>
        <v>0.96187948164765535</v>
      </c>
      <c r="E360" s="32">
        <f t="shared" si="5"/>
        <v>1.6832890928833968</v>
      </c>
    </row>
    <row r="361" spans="1:5" x14ac:dyDescent="0.25">
      <c r="A361" s="17">
        <v>127</v>
      </c>
      <c r="B361" s="31">
        <v>46798</v>
      </c>
      <c r="C361" s="32">
        <f>INDEX('Input Data'!$B:$B,A361)/2+IF(A361&lt;&gt;A362,100,0)</f>
        <v>1.75</v>
      </c>
      <c r="D361" s="33">
        <f>INDEX('ZCB Curve - Payment Dates'!$D$2:$D$246,MATCH(B361,'ZCB Curve - Payment Dates'!$A$2:$A$246,0))</f>
        <v>0.94049096132648802</v>
      </c>
      <c r="E361" s="32">
        <f t="shared" si="5"/>
        <v>1.645859182321354</v>
      </c>
    </row>
    <row r="362" spans="1:5" x14ac:dyDescent="0.25">
      <c r="A362" s="17">
        <v>127</v>
      </c>
      <c r="B362" s="31">
        <v>46980</v>
      </c>
      <c r="C362" s="32">
        <f>INDEX('Input Data'!$B:$B,A362)/2+IF(A362&lt;&gt;A363,100,0)</f>
        <v>1.75</v>
      </c>
      <c r="D362" s="33">
        <f>INDEX('ZCB Curve - Payment Dates'!$D$2:$D$246,MATCH(B362,'ZCB Curve - Payment Dates'!$A$2:$A$246,0))</f>
        <v>0.91931844130238327</v>
      </c>
      <c r="E362" s="32">
        <f t="shared" si="5"/>
        <v>1.6088072722791706</v>
      </c>
    </row>
    <row r="363" spans="1:5" x14ac:dyDescent="0.25">
      <c r="A363" s="17">
        <v>127</v>
      </c>
      <c r="B363" s="31">
        <v>47164</v>
      </c>
      <c r="C363" s="32">
        <f>INDEX('Input Data'!$B:$B,A363)/2+IF(A363&lt;&gt;A364,100,0)</f>
        <v>101.75</v>
      </c>
      <c r="D363" s="33">
        <f>INDEX('ZCB Curve - Payment Dates'!$D$2:$D$246,MATCH(B363,'ZCB Curve - Payment Dates'!$A$2:$A$246,0))</f>
        <v>0.89817430058086534</v>
      </c>
      <c r="E363" s="32">
        <f t="shared" si="5"/>
        <v>91.389235084103049</v>
      </c>
    </row>
    <row r="364" spans="1:5" x14ac:dyDescent="0.25">
      <c r="A364" s="17">
        <v>128</v>
      </c>
      <c r="B364" s="31">
        <v>46433</v>
      </c>
      <c r="C364" s="32">
        <f>INDEX('Input Data'!$B:$B,A364)/2+IF(A364&lt;&gt;A365,100,0)</f>
        <v>2.625</v>
      </c>
      <c r="D364" s="33">
        <f>INDEX('ZCB Curve - Payment Dates'!$D$2:$D$246,MATCH(B364,'ZCB Curve - Payment Dates'!$A$2:$A$246,0))</f>
        <v>0.98242671792446301</v>
      </c>
      <c r="E364" s="32">
        <f t="shared" si="5"/>
        <v>2.5788701345517153</v>
      </c>
    </row>
    <row r="365" spans="1:5" x14ac:dyDescent="0.25">
      <c r="A365" s="17">
        <v>128</v>
      </c>
      <c r="B365" s="31">
        <v>46614</v>
      </c>
      <c r="C365" s="32">
        <f>INDEX('Input Data'!$B:$B,A365)/2+IF(A365&lt;&gt;A366,100,0)</f>
        <v>2.625</v>
      </c>
      <c r="D365" s="33">
        <f>INDEX('ZCB Curve - Payment Dates'!$D$2:$D$246,MATCH(B365,'ZCB Curve - Payment Dates'!$A$2:$A$246,0))</f>
        <v>0.96187948164765535</v>
      </c>
      <c r="E365" s="32">
        <f t="shared" si="5"/>
        <v>2.5249336393250954</v>
      </c>
    </row>
    <row r="366" spans="1:5" x14ac:dyDescent="0.25">
      <c r="A366" s="17">
        <v>128</v>
      </c>
      <c r="B366" s="31">
        <v>46798</v>
      </c>
      <c r="C366" s="32">
        <f>INDEX('Input Data'!$B:$B,A366)/2+IF(A366&lt;&gt;A367,100,0)</f>
        <v>2.625</v>
      </c>
      <c r="D366" s="33">
        <f>INDEX('ZCB Curve - Payment Dates'!$D$2:$D$246,MATCH(B366,'ZCB Curve - Payment Dates'!$A$2:$A$246,0))</f>
        <v>0.94049096132648802</v>
      </c>
      <c r="E366" s="32">
        <f t="shared" si="5"/>
        <v>2.4687887734820309</v>
      </c>
    </row>
    <row r="367" spans="1:5" x14ac:dyDescent="0.25">
      <c r="A367" s="17">
        <v>128</v>
      </c>
      <c r="B367" s="31">
        <v>46980</v>
      </c>
      <c r="C367" s="32">
        <f>INDEX('Input Data'!$B:$B,A367)/2+IF(A367&lt;&gt;A368,100,0)</f>
        <v>2.625</v>
      </c>
      <c r="D367" s="33">
        <f>INDEX('ZCB Curve - Payment Dates'!$D$2:$D$246,MATCH(B367,'ZCB Curve - Payment Dates'!$A$2:$A$246,0))</f>
        <v>0.91931844130238327</v>
      </c>
      <c r="E367" s="32">
        <f t="shared" si="5"/>
        <v>2.4132109084187561</v>
      </c>
    </row>
    <row r="368" spans="1:5" x14ac:dyDescent="0.25">
      <c r="A368" s="17">
        <v>128</v>
      </c>
      <c r="B368" s="31">
        <v>47164</v>
      </c>
      <c r="C368" s="32">
        <f>INDEX('Input Data'!$B:$B,A368)/2+IF(A368&lt;&gt;A369,100,0)</f>
        <v>102.625</v>
      </c>
      <c r="D368" s="33">
        <f>INDEX('ZCB Curve - Payment Dates'!$D$2:$D$246,MATCH(B368,'ZCB Curve - Payment Dates'!$A$2:$A$246,0))</f>
        <v>0.89817430058086534</v>
      </c>
      <c r="E368" s="32">
        <f t="shared" si="5"/>
        <v>92.175137597111302</v>
      </c>
    </row>
    <row r="369" spans="1:5" x14ac:dyDescent="0.25">
      <c r="A369" s="17">
        <v>129</v>
      </c>
      <c r="B369" s="31">
        <v>46446</v>
      </c>
      <c r="C369" s="32">
        <f>INDEX('Input Data'!$B:$B,A369)/2+IF(A369&lt;&gt;A370,100,0)</f>
        <v>0.9375</v>
      </c>
      <c r="D369" s="33">
        <f>INDEX('ZCB Curve - Payment Dates'!$D$2:$D$246,MATCH(B369,'ZCB Curve - Payment Dates'!$A$2:$A$246,0))</f>
        <v>0.98098215746395478</v>
      </c>
      <c r="E369" s="32">
        <f t="shared" si="5"/>
        <v>0.91967077262245756</v>
      </c>
    </row>
    <row r="370" spans="1:5" x14ac:dyDescent="0.25">
      <c r="A370" s="17">
        <v>129</v>
      </c>
      <c r="B370" s="31">
        <v>46630</v>
      </c>
      <c r="C370" s="32">
        <f>INDEX('Input Data'!$B:$B,A370)/2+IF(A370&lt;&gt;A371,100,0)</f>
        <v>0.9375</v>
      </c>
      <c r="D370" s="33">
        <f>INDEX('ZCB Curve - Payment Dates'!$D$2:$D$246,MATCH(B370,'ZCB Curve - Payment Dates'!$A$2:$A$246,0))</f>
        <v>0.96003246313192503</v>
      </c>
      <c r="E370" s="32">
        <f t="shared" si="5"/>
        <v>0.90003043418617967</v>
      </c>
    </row>
    <row r="371" spans="1:5" x14ac:dyDescent="0.25">
      <c r="A371" s="17">
        <v>129</v>
      </c>
      <c r="B371" s="31">
        <v>46812</v>
      </c>
      <c r="C371" s="32">
        <f>INDEX('Input Data'!$B:$B,A371)/2+IF(A371&lt;&gt;A372,100,0)</f>
        <v>0.9375</v>
      </c>
      <c r="D371" s="33">
        <f>INDEX('ZCB Curve - Payment Dates'!$D$2:$D$246,MATCH(B371,'ZCB Curve - Payment Dates'!$A$2:$A$246,0))</f>
        <v>0.938856338180596</v>
      </c>
      <c r="E371" s="32">
        <f t="shared" si="5"/>
        <v>0.88017781704430875</v>
      </c>
    </row>
    <row r="372" spans="1:5" x14ac:dyDescent="0.25">
      <c r="A372" s="17">
        <v>129</v>
      </c>
      <c r="B372" s="31">
        <v>46996</v>
      </c>
      <c r="C372" s="32">
        <f>INDEX('Input Data'!$B:$B,A372)/2+IF(A372&lt;&gt;A373,100,0)</f>
        <v>0.9375</v>
      </c>
      <c r="D372" s="33">
        <f>INDEX('ZCB Curve - Payment Dates'!$D$2:$D$246,MATCH(B372,'ZCB Curve - Payment Dates'!$A$2:$A$246,0))</f>
        <v>0.91746393725908559</v>
      </c>
      <c r="E372" s="32">
        <f t="shared" si="5"/>
        <v>0.86012244118039272</v>
      </c>
    </row>
    <row r="373" spans="1:5" x14ac:dyDescent="0.25">
      <c r="A373" s="17">
        <v>129</v>
      </c>
      <c r="B373" s="31">
        <v>47177</v>
      </c>
      <c r="C373" s="32">
        <f>INDEX('Input Data'!$B:$B,A373)/2+IF(A373&lt;&gt;A374,100,0)</f>
        <v>100.9375</v>
      </c>
      <c r="D373" s="33">
        <f>INDEX('ZCB Curve - Payment Dates'!$D$2:$D$246,MATCH(B373,'ZCB Curve - Payment Dates'!$A$2:$A$246,0))</f>
        <v>0.89669591867999909</v>
      </c>
      <c r="E373" s="32">
        <f t="shared" si="5"/>
        <v>90.510244291762405</v>
      </c>
    </row>
    <row r="374" spans="1:5" x14ac:dyDescent="0.25">
      <c r="A374" s="17">
        <v>130</v>
      </c>
      <c r="B374" s="31">
        <v>46446</v>
      </c>
      <c r="C374" s="32">
        <f>INDEX('Input Data'!$B:$B,A374)/2+IF(A374&lt;&gt;A375,100,0)</f>
        <v>2.125</v>
      </c>
      <c r="D374" s="33">
        <f>INDEX('ZCB Curve - Payment Dates'!$D$2:$D$246,MATCH(B374,'ZCB Curve - Payment Dates'!$A$2:$A$246,0))</f>
        <v>0.98098215746395478</v>
      </c>
      <c r="E374" s="32">
        <f t="shared" si="5"/>
        <v>2.084587084610904</v>
      </c>
    </row>
    <row r="375" spans="1:5" x14ac:dyDescent="0.25">
      <c r="A375" s="17">
        <v>130</v>
      </c>
      <c r="B375" s="31">
        <v>46630</v>
      </c>
      <c r="C375" s="32">
        <f>INDEX('Input Data'!$B:$B,A375)/2+IF(A375&lt;&gt;A376,100,0)</f>
        <v>2.125</v>
      </c>
      <c r="D375" s="33">
        <f>INDEX('ZCB Curve - Payment Dates'!$D$2:$D$246,MATCH(B375,'ZCB Curve - Payment Dates'!$A$2:$A$246,0))</f>
        <v>0.96003246313192503</v>
      </c>
      <c r="E375" s="32">
        <f t="shared" si="5"/>
        <v>2.0400689841553405</v>
      </c>
    </row>
    <row r="376" spans="1:5" x14ac:dyDescent="0.25">
      <c r="A376" s="17">
        <v>130</v>
      </c>
      <c r="B376" s="31">
        <v>46812</v>
      </c>
      <c r="C376" s="32">
        <f>INDEX('Input Data'!$B:$B,A376)/2+IF(A376&lt;&gt;A377,100,0)</f>
        <v>2.125</v>
      </c>
      <c r="D376" s="33">
        <f>INDEX('ZCB Curve - Payment Dates'!$D$2:$D$246,MATCH(B376,'ZCB Curve - Payment Dates'!$A$2:$A$246,0))</f>
        <v>0.938856338180596</v>
      </c>
      <c r="E376" s="32">
        <f t="shared" si="5"/>
        <v>1.9950697186337665</v>
      </c>
    </row>
    <row r="377" spans="1:5" x14ac:dyDescent="0.25">
      <c r="A377" s="17">
        <v>130</v>
      </c>
      <c r="B377" s="31">
        <v>46996</v>
      </c>
      <c r="C377" s="32">
        <f>INDEX('Input Data'!$B:$B,A377)/2+IF(A377&lt;&gt;A378,100,0)</f>
        <v>2.125</v>
      </c>
      <c r="D377" s="33">
        <f>INDEX('ZCB Curve - Payment Dates'!$D$2:$D$246,MATCH(B377,'ZCB Curve - Payment Dates'!$A$2:$A$246,0))</f>
        <v>0.91746393725908559</v>
      </c>
      <c r="E377" s="32">
        <f t="shared" si="5"/>
        <v>1.9496108666755569</v>
      </c>
    </row>
    <row r="378" spans="1:5" x14ac:dyDescent="0.25">
      <c r="A378" s="17">
        <v>130</v>
      </c>
      <c r="B378" s="31">
        <v>47177</v>
      </c>
      <c r="C378" s="32">
        <f>INDEX('Input Data'!$B:$B,A378)/2+IF(A378&lt;&gt;A379,100,0)</f>
        <v>102.125</v>
      </c>
      <c r="D378" s="33">
        <f>INDEX('ZCB Curve - Payment Dates'!$D$2:$D$246,MATCH(B378,'ZCB Curve - Payment Dates'!$A$2:$A$246,0))</f>
        <v>0.89669591867999909</v>
      </c>
      <c r="E378" s="32">
        <f t="shared" si="5"/>
        <v>91.57507069519491</v>
      </c>
    </row>
    <row r="379" spans="1:5" x14ac:dyDescent="0.25">
      <c r="A379" s="17">
        <v>131</v>
      </c>
      <c r="B379" s="31">
        <v>46280</v>
      </c>
      <c r="C379" s="32">
        <f>INDEX('Input Data'!$B:$B,A379)/2+IF(A379&lt;&gt;A380,100,0)</f>
        <v>1.75</v>
      </c>
      <c r="D379" s="33">
        <f>INDEX('ZCB Curve - Payment Dates'!$D$2:$D$246,MATCH(B379,'ZCB Curve - Payment Dates'!$A$2:$A$246,0))</f>
        <v>0.99886929050437945</v>
      </c>
      <c r="E379" s="32">
        <f t="shared" si="5"/>
        <v>1.748021258382664</v>
      </c>
    </row>
    <row r="380" spans="1:5" x14ac:dyDescent="0.25">
      <c r="A380" s="17">
        <v>131</v>
      </c>
      <c r="B380" s="31">
        <v>46461</v>
      </c>
      <c r="C380" s="32">
        <f>INDEX('Input Data'!$B:$B,A380)/2+IF(A380&lt;&gt;A381,100,0)</f>
        <v>1.75</v>
      </c>
      <c r="D380" s="33">
        <f>INDEX('ZCB Curve - Payment Dates'!$D$2:$D$246,MATCH(B380,'ZCB Curve - Payment Dates'!$A$2:$A$246,0))</f>
        <v>0.97930710809714472</v>
      </c>
      <c r="E380" s="32">
        <f t="shared" si="5"/>
        <v>1.7137874391700032</v>
      </c>
    </row>
    <row r="381" spans="1:5" x14ac:dyDescent="0.25">
      <c r="A381" s="17">
        <v>131</v>
      </c>
      <c r="B381" s="31">
        <v>46645</v>
      </c>
      <c r="C381" s="32">
        <f>INDEX('Input Data'!$B:$B,A381)/2+IF(A381&lt;&gt;A382,100,0)</f>
        <v>1.75</v>
      </c>
      <c r="D381" s="33">
        <f>INDEX('ZCB Curve - Payment Dates'!$D$2:$D$246,MATCH(B381,'ZCB Curve - Payment Dates'!$A$2:$A$246,0))</f>
        <v>0.95829632303364787</v>
      </c>
      <c r="E381" s="32">
        <f t="shared" si="5"/>
        <v>1.6770185653088838</v>
      </c>
    </row>
    <row r="382" spans="1:5" x14ac:dyDescent="0.25">
      <c r="A382" s="17">
        <v>131</v>
      </c>
      <c r="B382" s="31">
        <v>46827</v>
      </c>
      <c r="C382" s="32">
        <f>INDEX('Input Data'!$B:$B,A382)/2+IF(A382&lt;&gt;A383,100,0)</f>
        <v>1.75</v>
      </c>
      <c r="D382" s="33">
        <f>INDEX('ZCB Curve - Payment Dates'!$D$2:$D$246,MATCH(B382,'ZCB Curve - Payment Dates'!$A$2:$A$246,0))</f>
        <v>0.9371069653423626</v>
      </c>
      <c r="E382" s="32">
        <f t="shared" si="5"/>
        <v>1.6399371893491346</v>
      </c>
    </row>
    <row r="383" spans="1:5" x14ac:dyDescent="0.25">
      <c r="A383" s="17">
        <v>131</v>
      </c>
      <c r="B383" s="31">
        <v>47011</v>
      </c>
      <c r="C383" s="32">
        <f>INDEX('Input Data'!$B:$B,A383)/2+IF(A383&lt;&gt;A384,100,0)</f>
        <v>1.75</v>
      </c>
      <c r="D383" s="33">
        <f>INDEX('ZCB Curve - Payment Dates'!$D$2:$D$246,MATCH(B383,'ZCB Curve - Payment Dates'!$A$2:$A$246,0))</f>
        <v>0.91572974320350053</v>
      </c>
      <c r="E383" s="32">
        <f t="shared" si="5"/>
        <v>1.602527050606126</v>
      </c>
    </row>
    <row r="384" spans="1:5" x14ac:dyDescent="0.25">
      <c r="A384" s="17">
        <v>131</v>
      </c>
      <c r="B384" s="31">
        <v>47192</v>
      </c>
      <c r="C384" s="32">
        <f>INDEX('Input Data'!$B:$B,A384)/2+IF(A384&lt;&gt;A385,100,0)</f>
        <v>101.75</v>
      </c>
      <c r="D384" s="33">
        <f>INDEX('ZCB Curve - Payment Dates'!$D$2:$D$246,MATCH(B384,'ZCB Curve - Payment Dates'!$A$2:$A$246,0))</f>
        <v>0.89499177825607856</v>
      </c>
      <c r="E384" s="32">
        <f t="shared" si="5"/>
        <v>91.065413437555989</v>
      </c>
    </row>
    <row r="385" spans="1:5" x14ac:dyDescent="0.25">
      <c r="A385" s="17">
        <v>132</v>
      </c>
      <c r="B385" s="31">
        <v>46295</v>
      </c>
      <c r="C385" s="32">
        <f>INDEX('Input Data'!$B:$B,A385)/2+IF(A385&lt;&gt;A386,100,0)</f>
        <v>1.1875</v>
      </c>
      <c r="D385" s="33">
        <f>INDEX('ZCB Curve - Payment Dates'!$D$2:$D$246,MATCH(B385,'ZCB Curve - Payment Dates'!$A$2:$A$246,0))</f>
        <v>0.9973127951237063</v>
      </c>
      <c r="E385" s="32">
        <f t="shared" si="5"/>
        <v>1.1843089442094012</v>
      </c>
    </row>
    <row r="386" spans="1:5" x14ac:dyDescent="0.25">
      <c r="A386" s="17">
        <v>132</v>
      </c>
      <c r="B386" s="31">
        <v>46477</v>
      </c>
      <c r="C386" s="32">
        <f>INDEX('Input Data'!$B:$B,A386)/2+IF(A386&lt;&gt;A387,100,0)</f>
        <v>1.1875</v>
      </c>
      <c r="D386" s="33">
        <f>INDEX('ZCB Curve - Payment Dates'!$D$2:$D$246,MATCH(B386,'ZCB Curve - Payment Dates'!$A$2:$A$246,0))</f>
        <v>0.97750981974188245</v>
      </c>
      <c r="E386" s="32">
        <f t="shared" ref="E386:E449" si="6">C386*D386</f>
        <v>1.1607929109434854</v>
      </c>
    </row>
    <row r="387" spans="1:5" x14ac:dyDescent="0.25">
      <c r="A387" s="17">
        <v>132</v>
      </c>
      <c r="B387" s="31">
        <v>46660</v>
      </c>
      <c r="C387" s="32">
        <f>INDEX('Input Data'!$B:$B,A387)/2+IF(A387&lt;&gt;A388,100,0)</f>
        <v>1.1875</v>
      </c>
      <c r="D387" s="33">
        <f>INDEX('ZCB Curve - Payment Dates'!$D$2:$D$246,MATCH(B387,'ZCB Curve - Payment Dates'!$A$2:$A$246,0))</f>
        <v>0.95655761994841249</v>
      </c>
      <c r="E387" s="32">
        <f t="shared" si="6"/>
        <v>1.1359121736887399</v>
      </c>
    </row>
    <row r="388" spans="1:5" x14ac:dyDescent="0.25">
      <c r="A388" s="17">
        <v>132</v>
      </c>
      <c r="B388" s="31">
        <v>46843</v>
      </c>
      <c r="C388" s="32">
        <f>INDEX('Input Data'!$B:$B,A388)/2+IF(A388&lt;&gt;A389,100,0)</f>
        <v>1.1875</v>
      </c>
      <c r="D388" s="33">
        <f>INDEX('ZCB Curve - Payment Dates'!$D$2:$D$246,MATCH(B388,'ZCB Curve - Payment Dates'!$A$2:$A$246,0))</f>
        <v>0.93524308702159842</v>
      </c>
      <c r="E388" s="32">
        <f t="shared" si="6"/>
        <v>1.1106011658381481</v>
      </c>
    </row>
    <row r="389" spans="1:5" x14ac:dyDescent="0.25">
      <c r="A389" s="17">
        <v>132</v>
      </c>
      <c r="B389" s="31">
        <v>47026</v>
      </c>
      <c r="C389" s="32">
        <f>INDEX('Input Data'!$B:$B,A389)/2+IF(A389&lt;&gt;A390,100,0)</f>
        <v>1.1875</v>
      </c>
      <c r="D389" s="33">
        <f>INDEX('ZCB Curve - Payment Dates'!$D$2:$D$246,MATCH(B389,'ZCB Curve - Payment Dates'!$A$2:$A$246,0))</f>
        <v>0.91399761223542642</v>
      </c>
      <c r="E389" s="32">
        <f t="shared" si="6"/>
        <v>1.0853721645295689</v>
      </c>
    </row>
    <row r="390" spans="1:5" x14ac:dyDescent="0.25">
      <c r="A390" s="17">
        <v>132</v>
      </c>
      <c r="B390" s="31">
        <v>47208</v>
      </c>
      <c r="C390" s="32">
        <f>INDEX('Input Data'!$B:$B,A390)/2+IF(A390&lt;&gt;A391,100,0)</f>
        <v>101.1875</v>
      </c>
      <c r="D390" s="33">
        <f>INDEX('ZCB Curve - Payment Dates'!$D$2:$D$246,MATCH(B390,'ZCB Curve - Payment Dates'!$A$2:$A$246,0))</f>
        <v>0.89317885092878757</v>
      </c>
      <c r="E390" s="32">
        <f t="shared" si="6"/>
        <v>90.378534978356697</v>
      </c>
    </row>
    <row r="391" spans="1:5" x14ac:dyDescent="0.25">
      <c r="A391" s="17">
        <v>133</v>
      </c>
      <c r="B391" s="31">
        <v>46295</v>
      </c>
      <c r="C391" s="32">
        <f>INDEX('Input Data'!$B:$B,A391)/2+IF(A391&lt;&gt;A392,100,0)</f>
        <v>2.0625</v>
      </c>
      <c r="D391" s="33">
        <f>INDEX('ZCB Curve - Payment Dates'!$D$2:$D$246,MATCH(B391,'ZCB Curve - Payment Dates'!$A$2:$A$246,0))</f>
        <v>0.9973127951237063</v>
      </c>
      <c r="E391" s="32">
        <f t="shared" si="6"/>
        <v>2.0569576399426444</v>
      </c>
    </row>
    <row r="392" spans="1:5" x14ac:dyDescent="0.25">
      <c r="A392" s="17">
        <v>133</v>
      </c>
      <c r="B392" s="31">
        <v>46477</v>
      </c>
      <c r="C392" s="32">
        <f>INDEX('Input Data'!$B:$B,A392)/2+IF(A392&lt;&gt;A393,100,0)</f>
        <v>2.0625</v>
      </c>
      <c r="D392" s="33">
        <f>INDEX('ZCB Curve - Payment Dates'!$D$2:$D$246,MATCH(B392,'ZCB Curve - Payment Dates'!$A$2:$A$246,0))</f>
        <v>0.97750981974188245</v>
      </c>
      <c r="E392" s="32">
        <f t="shared" si="6"/>
        <v>2.0161140032176323</v>
      </c>
    </row>
    <row r="393" spans="1:5" x14ac:dyDescent="0.25">
      <c r="A393" s="17">
        <v>133</v>
      </c>
      <c r="B393" s="31">
        <v>46660</v>
      </c>
      <c r="C393" s="32">
        <f>INDEX('Input Data'!$B:$B,A393)/2+IF(A393&lt;&gt;A394,100,0)</f>
        <v>2.0625</v>
      </c>
      <c r="D393" s="33">
        <f>INDEX('ZCB Curve - Payment Dates'!$D$2:$D$246,MATCH(B393,'ZCB Curve - Payment Dates'!$A$2:$A$246,0))</f>
        <v>0.95655761994841249</v>
      </c>
      <c r="E393" s="32">
        <f t="shared" si="6"/>
        <v>1.9729000911436008</v>
      </c>
    </row>
    <row r="394" spans="1:5" x14ac:dyDescent="0.25">
      <c r="A394" s="17">
        <v>133</v>
      </c>
      <c r="B394" s="31">
        <v>46843</v>
      </c>
      <c r="C394" s="32">
        <f>INDEX('Input Data'!$B:$B,A394)/2+IF(A394&lt;&gt;A395,100,0)</f>
        <v>2.0625</v>
      </c>
      <c r="D394" s="33">
        <f>INDEX('ZCB Curve - Payment Dates'!$D$2:$D$246,MATCH(B394,'ZCB Curve - Payment Dates'!$A$2:$A$246,0))</f>
        <v>0.93524308702159842</v>
      </c>
      <c r="E394" s="32">
        <f t="shared" si="6"/>
        <v>1.9289388669820466</v>
      </c>
    </row>
    <row r="395" spans="1:5" x14ac:dyDescent="0.25">
      <c r="A395" s="17">
        <v>133</v>
      </c>
      <c r="B395" s="31">
        <v>47026</v>
      </c>
      <c r="C395" s="32">
        <f>INDEX('Input Data'!$B:$B,A395)/2+IF(A395&lt;&gt;A396,100,0)</f>
        <v>2.0625</v>
      </c>
      <c r="D395" s="33">
        <f>INDEX('ZCB Curve - Payment Dates'!$D$2:$D$246,MATCH(B395,'ZCB Curve - Payment Dates'!$A$2:$A$246,0))</f>
        <v>0.91399761223542642</v>
      </c>
      <c r="E395" s="32">
        <f t="shared" si="6"/>
        <v>1.885120075235567</v>
      </c>
    </row>
    <row r="396" spans="1:5" x14ac:dyDescent="0.25">
      <c r="A396" s="17">
        <v>133</v>
      </c>
      <c r="B396" s="31">
        <v>47208</v>
      </c>
      <c r="C396" s="32">
        <f>INDEX('Input Data'!$B:$B,A396)/2+IF(A396&lt;&gt;A397,100,0)</f>
        <v>102.0625</v>
      </c>
      <c r="D396" s="33">
        <f>INDEX('ZCB Curve - Payment Dates'!$D$2:$D$246,MATCH(B396,'ZCB Curve - Payment Dates'!$A$2:$A$246,0))</f>
        <v>0.89317885092878757</v>
      </c>
      <c r="E396" s="32">
        <f t="shared" si="6"/>
        <v>91.160066472919382</v>
      </c>
    </row>
    <row r="397" spans="1:5" x14ac:dyDescent="0.25">
      <c r="A397" s="17">
        <v>134</v>
      </c>
      <c r="B397" s="31">
        <v>46310</v>
      </c>
      <c r="C397" s="32">
        <f>INDEX('Input Data'!$B:$B,A397)/2+IF(A397&lt;&gt;A398,100,0)</f>
        <v>1.9375</v>
      </c>
      <c r="D397" s="33">
        <f>INDEX('ZCB Curve - Payment Dates'!$D$2:$D$246,MATCH(B397,'ZCB Curve - Payment Dates'!$A$2:$A$246,0))</f>
        <v>0.99574243370863547</v>
      </c>
      <c r="E397" s="32">
        <f t="shared" si="6"/>
        <v>1.9292509653104812</v>
      </c>
    </row>
    <row r="398" spans="1:5" x14ac:dyDescent="0.25">
      <c r="A398" s="17">
        <v>134</v>
      </c>
      <c r="B398" s="31">
        <v>46492</v>
      </c>
      <c r="C398" s="32">
        <f>INDEX('Input Data'!$B:$B,A398)/2+IF(A398&lt;&gt;A399,100,0)</f>
        <v>1.9375</v>
      </c>
      <c r="D398" s="33">
        <f>INDEX('ZCB Curve - Payment Dates'!$D$2:$D$246,MATCH(B398,'ZCB Curve - Payment Dates'!$A$2:$A$246,0))</f>
        <v>0.97582006260857235</v>
      </c>
      <c r="E398" s="32">
        <f t="shared" si="6"/>
        <v>1.8906513713041089</v>
      </c>
    </row>
    <row r="399" spans="1:5" x14ac:dyDescent="0.25">
      <c r="A399" s="17">
        <v>134</v>
      </c>
      <c r="B399" s="31">
        <v>46675</v>
      </c>
      <c r="C399" s="32">
        <f>INDEX('Input Data'!$B:$B,A399)/2+IF(A399&lt;&gt;A400,100,0)</f>
        <v>1.9375</v>
      </c>
      <c r="D399" s="33">
        <f>INDEX('ZCB Curve - Payment Dates'!$D$2:$D$246,MATCH(B399,'ZCB Curve - Payment Dates'!$A$2:$A$246,0))</f>
        <v>0.95481665580389952</v>
      </c>
      <c r="E399" s="32">
        <f t="shared" si="6"/>
        <v>1.8499572706200553</v>
      </c>
    </row>
    <row r="400" spans="1:5" x14ac:dyDescent="0.25">
      <c r="A400" s="17">
        <v>134</v>
      </c>
      <c r="B400" s="31">
        <v>46858</v>
      </c>
      <c r="C400" s="32">
        <f>INDEX('Input Data'!$B:$B,A400)/2+IF(A400&lt;&gt;A401,100,0)</f>
        <v>1.9375</v>
      </c>
      <c r="D400" s="33">
        <f>INDEX('ZCB Curve - Payment Dates'!$D$2:$D$246,MATCH(B400,'ZCB Curve - Payment Dates'!$A$2:$A$246,0))</f>
        <v>0.93349468555170922</v>
      </c>
      <c r="E400" s="32">
        <f t="shared" si="6"/>
        <v>1.8086459532564367</v>
      </c>
    </row>
    <row r="401" spans="1:5" x14ac:dyDescent="0.25">
      <c r="A401" s="17">
        <v>134</v>
      </c>
      <c r="B401" s="31">
        <v>47041</v>
      </c>
      <c r="C401" s="32">
        <f>INDEX('Input Data'!$B:$B,A401)/2+IF(A401&lt;&gt;A402,100,0)</f>
        <v>1.9375</v>
      </c>
      <c r="D401" s="33">
        <f>INDEX('ZCB Curve - Payment Dates'!$D$2:$D$246,MATCH(B401,'ZCB Curve - Payment Dates'!$A$2:$A$246,0))</f>
        <v>0.91226763885553941</v>
      </c>
      <c r="E401" s="32">
        <f t="shared" si="6"/>
        <v>1.7675185502826076</v>
      </c>
    </row>
    <row r="402" spans="1:5" x14ac:dyDescent="0.25">
      <c r="A402" s="17">
        <v>134</v>
      </c>
      <c r="B402" s="31">
        <v>47223</v>
      </c>
      <c r="C402" s="32">
        <f>INDEX('Input Data'!$B:$B,A402)/2+IF(A402&lt;&gt;A403,100,0)</f>
        <v>101.9375</v>
      </c>
      <c r="D402" s="33">
        <f>INDEX('ZCB Curve - Payment Dates'!$D$2:$D$246,MATCH(B402,'ZCB Curve - Payment Dates'!$A$2:$A$246,0))</f>
        <v>0.89148068953852821</v>
      </c>
      <c r="E402" s="32">
        <f t="shared" si="6"/>
        <v>90.875312789833714</v>
      </c>
    </row>
    <row r="403" spans="1:5" x14ac:dyDescent="0.25">
      <c r="A403" s="17">
        <v>135</v>
      </c>
      <c r="B403" s="31">
        <v>46326</v>
      </c>
      <c r="C403" s="32">
        <f>INDEX('Input Data'!$B:$B,A403)/2+IF(A403&lt;&gt;A404,100,0)</f>
        <v>1.4375</v>
      </c>
      <c r="D403" s="33">
        <f>INDEX('ZCB Curve - Payment Dates'!$D$2:$D$246,MATCH(B403,'ZCB Curve - Payment Dates'!$A$2:$A$246,0))</f>
        <v>0.99405055111674689</v>
      </c>
      <c r="E403" s="32">
        <f t="shared" si="6"/>
        <v>1.4289476672303236</v>
      </c>
    </row>
    <row r="404" spans="1:5" x14ac:dyDescent="0.25">
      <c r="A404" s="17">
        <v>135</v>
      </c>
      <c r="B404" s="31">
        <v>46507</v>
      </c>
      <c r="C404" s="32">
        <f>INDEX('Input Data'!$B:$B,A404)/2+IF(A404&lt;&gt;A405,100,0)</f>
        <v>1.4375</v>
      </c>
      <c r="D404" s="33">
        <f>INDEX('ZCB Curve - Payment Dates'!$D$2:$D$246,MATCH(B404,'ZCB Curve - Payment Dates'!$A$2:$A$246,0))</f>
        <v>0.97412390690574091</v>
      </c>
      <c r="E404" s="32">
        <f t="shared" si="6"/>
        <v>1.4003031161770025</v>
      </c>
    </row>
    <row r="405" spans="1:5" x14ac:dyDescent="0.25">
      <c r="A405" s="17">
        <v>135</v>
      </c>
      <c r="B405" s="31">
        <v>46691</v>
      </c>
      <c r="C405" s="32">
        <f>INDEX('Input Data'!$B:$B,A405)/2+IF(A405&lt;&gt;A406,100,0)</f>
        <v>1.4375</v>
      </c>
      <c r="D405" s="33">
        <f>INDEX('ZCB Curve - Payment Dates'!$D$2:$D$246,MATCH(B405,'ZCB Curve - Payment Dates'!$A$2:$A$246,0))</f>
        <v>0.95295491595466364</v>
      </c>
      <c r="E405" s="32">
        <f t="shared" si="6"/>
        <v>1.3698726916848289</v>
      </c>
    </row>
    <row r="406" spans="1:5" x14ac:dyDescent="0.25">
      <c r="A406" s="17">
        <v>135</v>
      </c>
      <c r="B406" s="31">
        <v>46873</v>
      </c>
      <c r="C406" s="32">
        <f>INDEX('Input Data'!$B:$B,A406)/2+IF(A406&lt;&gt;A407,100,0)</f>
        <v>1.4375</v>
      </c>
      <c r="D406" s="33">
        <f>INDEX('ZCB Curve - Payment Dates'!$D$2:$D$246,MATCH(B406,'ZCB Curve - Payment Dates'!$A$2:$A$246,0))</f>
        <v>0.93174702042500246</v>
      </c>
      <c r="E406" s="32">
        <f t="shared" si="6"/>
        <v>1.3393863418609411</v>
      </c>
    </row>
    <row r="407" spans="1:5" x14ac:dyDescent="0.25">
      <c r="A407" s="17">
        <v>135</v>
      </c>
      <c r="B407" s="31">
        <v>47057</v>
      </c>
      <c r="C407" s="32">
        <f>INDEX('Input Data'!$B:$B,A407)/2+IF(A407&lt;&gt;A408,100,0)</f>
        <v>1.4375</v>
      </c>
      <c r="D407" s="33">
        <f>INDEX('ZCB Curve - Payment Dates'!$D$2:$D$246,MATCH(B407,'ZCB Curve - Payment Dates'!$A$2:$A$246,0))</f>
        <v>0.91042649241905782</v>
      </c>
      <c r="E407" s="32">
        <f t="shared" si="6"/>
        <v>1.3087380828523956</v>
      </c>
    </row>
    <row r="408" spans="1:5" x14ac:dyDescent="0.25">
      <c r="A408" s="17">
        <v>135</v>
      </c>
      <c r="B408" s="31">
        <v>47238</v>
      </c>
      <c r="C408" s="32">
        <f>INDEX('Input Data'!$B:$B,A408)/2+IF(A408&lt;&gt;A409,100,0)</f>
        <v>101.4375</v>
      </c>
      <c r="D408" s="33">
        <f>INDEX('ZCB Curve - Payment Dates'!$D$2:$D$246,MATCH(B408,'ZCB Curve - Payment Dates'!$A$2:$A$246,0))</f>
        <v>0.88978547878922043</v>
      </c>
      <c r="E408" s="32">
        <f t="shared" si="6"/>
        <v>90.257614504681541</v>
      </c>
    </row>
    <row r="409" spans="1:5" x14ac:dyDescent="0.25">
      <c r="A409" s="17">
        <v>136</v>
      </c>
      <c r="B409" s="31">
        <v>46326</v>
      </c>
      <c r="C409" s="32">
        <f>INDEX('Input Data'!$B:$B,A409)/2+IF(A409&lt;&gt;A410,100,0)</f>
        <v>2.3125</v>
      </c>
      <c r="D409" s="33">
        <f>INDEX('ZCB Curve - Payment Dates'!$D$2:$D$246,MATCH(B409,'ZCB Curve - Payment Dates'!$A$2:$A$246,0))</f>
        <v>0.99405055111674689</v>
      </c>
      <c r="E409" s="32">
        <f t="shared" si="6"/>
        <v>2.2987418994574771</v>
      </c>
    </row>
    <row r="410" spans="1:5" x14ac:dyDescent="0.25">
      <c r="A410" s="17">
        <v>136</v>
      </c>
      <c r="B410" s="31">
        <v>46507</v>
      </c>
      <c r="C410" s="32">
        <f>INDEX('Input Data'!$B:$B,A410)/2+IF(A410&lt;&gt;A411,100,0)</f>
        <v>2.3125</v>
      </c>
      <c r="D410" s="33">
        <f>INDEX('ZCB Curve - Payment Dates'!$D$2:$D$246,MATCH(B410,'ZCB Curve - Payment Dates'!$A$2:$A$246,0))</f>
        <v>0.97412390690574091</v>
      </c>
      <c r="E410" s="32">
        <f t="shared" si="6"/>
        <v>2.2526615347195258</v>
      </c>
    </row>
    <row r="411" spans="1:5" x14ac:dyDescent="0.25">
      <c r="A411" s="17">
        <v>136</v>
      </c>
      <c r="B411" s="31">
        <v>46691</v>
      </c>
      <c r="C411" s="32">
        <f>INDEX('Input Data'!$B:$B,A411)/2+IF(A411&lt;&gt;A412,100,0)</f>
        <v>2.3125</v>
      </c>
      <c r="D411" s="33">
        <f>INDEX('ZCB Curve - Payment Dates'!$D$2:$D$246,MATCH(B411,'ZCB Curve - Payment Dates'!$A$2:$A$246,0))</f>
        <v>0.95295491595466364</v>
      </c>
      <c r="E411" s="32">
        <f t="shared" si="6"/>
        <v>2.2037082431451598</v>
      </c>
    </row>
    <row r="412" spans="1:5" x14ac:dyDescent="0.25">
      <c r="A412" s="17">
        <v>136</v>
      </c>
      <c r="B412" s="31">
        <v>46873</v>
      </c>
      <c r="C412" s="32">
        <f>INDEX('Input Data'!$B:$B,A412)/2+IF(A412&lt;&gt;A413,100,0)</f>
        <v>2.3125</v>
      </c>
      <c r="D412" s="33">
        <f>INDEX('ZCB Curve - Payment Dates'!$D$2:$D$246,MATCH(B412,'ZCB Curve - Payment Dates'!$A$2:$A$246,0))</f>
        <v>0.93174702042500246</v>
      </c>
      <c r="E412" s="32">
        <f t="shared" si="6"/>
        <v>2.1546649847328183</v>
      </c>
    </row>
    <row r="413" spans="1:5" x14ac:dyDescent="0.25">
      <c r="A413" s="17">
        <v>136</v>
      </c>
      <c r="B413" s="31">
        <v>47057</v>
      </c>
      <c r="C413" s="32">
        <f>INDEX('Input Data'!$B:$B,A413)/2+IF(A413&lt;&gt;A414,100,0)</f>
        <v>2.3125</v>
      </c>
      <c r="D413" s="33">
        <f>INDEX('ZCB Curve - Payment Dates'!$D$2:$D$246,MATCH(B413,'ZCB Curve - Payment Dates'!$A$2:$A$246,0))</f>
        <v>0.91042649241905782</v>
      </c>
      <c r="E413" s="32">
        <f t="shared" si="6"/>
        <v>2.1053612637190713</v>
      </c>
    </row>
    <row r="414" spans="1:5" x14ac:dyDescent="0.25">
      <c r="A414" s="17">
        <v>136</v>
      </c>
      <c r="B414" s="31">
        <v>47238</v>
      </c>
      <c r="C414" s="32">
        <f>INDEX('Input Data'!$B:$B,A414)/2+IF(A414&lt;&gt;A415,100,0)</f>
        <v>102.3125</v>
      </c>
      <c r="D414" s="33">
        <f>INDEX('ZCB Curve - Payment Dates'!$D$2:$D$246,MATCH(B414,'ZCB Curve - Payment Dates'!$A$2:$A$246,0))</f>
        <v>0.88978547878922043</v>
      </c>
      <c r="E414" s="32">
        <f t="shared" si="6"/>
        <v>91.036176798622108</v>
      </c>
    </row>
    <row r="415" spans="1:5" x14ac:dyDescent="0.25">
      <c r="A415" s="17">
        <v>137</v>
      </c>
      <c r="B415" s="31">
        <v>46341</v>
      </c>
      <c r="C415" s="32">
        <f>INDEX('Input Data'!$B:$B,A415)/2+IF(A415&lt;&gt;A416,100,0)</f>
        <v>1.1875</v>
      </c>
      <c r="D415" s="33">
        <f>INDEX('ZCB Curve - Payment Dates'!$D$2:$D$246,MATCH(B415,'ZCB Curve - Payment Dates'!$A$2:$A$246,0))</f>
        <v>0.99245367292309439</v>
      </c>
      <c r="E415" s="32">
        <f t="shared" si="6"/>
        <v>1.1785387365961746</v>
      </c>
    </row>
    <row r="416" spans="1:5" x14ac:dyDescent="0.25">
      <c r="A416" s="17">
        <v>137</v>
      </c>
      <c r="B416" s="31">
        <v>46522</v>
      </c>
      <c r="C416" s="32">
        <f>INDEX('Input Data'!$B:$B,A416)/2+IF(A416&lt;&gt;A417,100,0)</f>
        <v>1.1875</v>
      </c>
      <c r="D416" s="33">
        <f>INDEX('ZCB Curve - Payment Dates'!$D$2:$D$246,MATCH(B416,'ZCB Curve - Payment Dates'!$A$2:$A$246,0))</f>
        <v>0.97242179559611874</v>
      </c>
      <c r="E416" s="32">
        <f t="shared" si="6"/>
        <v>1.1547508822703909</v>
      </c>
    </row>
    <row r="417" spans="1:5" x14ac:dyDescent="0.25">
      <c r="A417" s="17">
        <v>137</v>
      </c>
      <c r="B417" s="31">
        <v>46706</v>
      </c>
      <c r="C417" s="32">
        <f>INDEX('Input Data'!$B:$B,A417)/2+IF(A417&lt;&gt;A418,100,0)</f>
        <v>1.1875</v>
      </c>
      <c r="D417" s="33">
        <f>INDEX('ZCB Curve - Payment Dates'!$D$2:$D$246,MATCH(B417,'ZCB Curve - Payment Dates'!$A$2:$A$246,0))</f>
        <v>0.95121018311627348</v>
      </c>
      <c r="E417" s="32">
        <f t="shared" si="6"/>
        <v>1.1295620924505747</v>
      </c>
    </row>
    <row r="418" spans="1:5" x14ac:dyDescent="0.25">
      <c r="A418" s="17">
        <v>137</v>
      </c>
      <c r="B418" s="31">
        <v>46888</v>
      </c>
      <c r="C418" s="32">
        <f>INDEX('Input Data'!$B:$B,A418)/2+IF(A418&lt;&gt;A419,100,0)</f>
        <v>1.1875</v>
      </c>
      <c r="D418" s="33">
        <f>INDEX('ZCB Curve - Payment Dates'!$D$2:$D$246,MATCH(B418,'ZCB Curve - Payment Dates'!$A$2:$A$246,0))</f>
        <v>0.93000025435083566</v>
      </c>
      <c r="E418" s="32">
        <f t="shared" si="6"/>
        <v>1.1043753020416174</v>
      </c>
    </row>
    <row r="419" spans="1:5" x14ac:dyDescent="0.25">
      <c r="A419" s="17">
        <v>137</v>
      </c>
      <c r="B419" s="31">
        <v>47072</v>
      </c>
      <c r="C419" s="32">
        <f>INDEX('Input Data'!$B:$B,A419)/2+IF(A419&lt;&gt;A420,100,0)</f>
        <v>1.1875</v>
      </c>
      <c r="D419" s="33">
        <f>INDEX('ZCB Curve - Payment Dates'!$D$2:$D$246,MATCH(B419,'ZCB Curve - Payment Dates'!$A$2:$A$246,0))</f>
        <v>0.90870125167038918</v>
      </c>
      <c r="E419" s="32">
        <f t="shared" si="6"/>
        <v>1.0790827363585871</v>
      </c>
    </row>
    <row r="420" spans="1:5" x14ac:dyDescent="0.25">
      <c r="A420" s="17">
        <v>137</v>
      </c>
      <c r="B420" s="31">
        <v>47253</v>
      </c>
      <c r="C420" s="32">
        <f>INDEX('Input Data'!$B:$B,A420)/2+IF(A420&lt;&gt;A421,100,0)</f>
        <v>101.1875</v>
      </c>
      <c r="D420" s="33">
        <f>INDEX('ZCB Curve - Payment Dates'!$D$2:$D$246,MATCH(B420,'ZCB Curve - Payment Dates'!$A$2:$A$246,0))</f>
        <v>0.88809325063638844</v>
      </c>
      <c r="E420" s="32">
        <f t="shared" si="6"/>
        <v>89.86393579876956</v>
      </c>
    </row>
    <row r="421" spans="1:5" x14ac:dyDescent="0.25">
      <c r="A421" s="17">
        <v>138</v>
      </c>
      <c r="B421" s="31">
        <v>46341</v>
      </c>
      <c r="C421" s="32">
        <f>INDEX('Input Data'!$B:$B,A421)/2+IF(A421&lt;&gt;A422,100,0)</f>
        <v>1.9375</v>
      </c>
      <c r="D421" s="33">
        <f>INDEX('ZCB Curve - Payment Dates'!$D$2:$D$246,MATCH(B421,'ZCB Curve - Payment Dates'!$A$2:$A$246,0))</f>
        <v>0.99245367292309439</v>
      </c>
      <c r="E421" s="32">
        <f t="shared" si="6"/>
        <v>1.9228789912884954</v>
      </c>
    </row>
    <row r="422" spans="1:5" x14ac:dyDescent="0.25">
      <c r="A422" s="17">
        <v>138</v>
      </c>
      <c r="B422" s="31">
        <v>46522</v>
      </c>
      <c r="C422" s="32">
        <f>INDEX('Input Data'!$B:$B,A422)/2+IF(A422&lt;&gt;A423,100,0)</f>
        <v>1.9375</v>
      </c>
      <c r="D422" s="33">
        <f>INDEX('ZCB Curve - Payment Dates'!$D$2:$D$246,MATCH(B422,'ZCB Curve - Payment Dates'!$A$2:$A$246,0))</f>
        <v>0.97242179559611874</v>
      </c>
      <c r="E422" s="32">
        <f t="shared" si="6"/>
        <v>1.88406722896748</v>
      </c>
    </row>
    <row r="423" spans="1:5" x14ac:dyDescent="0.25">
      <c r="A423" s="17">
        <v>138</v>
      </c>
      <c r="B423" s="31">
        <v>46706</v>
      </c>
      <c r="C423" s="32">
        <f>INDEX('Input Data'!$B:$B,A423)/2+IF(A423&lt;&gt;A424,100,0)</f>
        <v>1.9375</v>
      </c>
      <c r="D423" s="33">
        <f>INDEX('ZCB Curve - Payment Dates'!$D$2:$D$246,MATCH(B423,'ZCB Curve - Payment Dates'!$A$2:$A$246,0))</f>
        <v>0.95121018311627348</v>
      </c>
      <c r="E423" s="32">
        <f t="shared" si="6"/>
        <v>1.8429697297877798</v>
      </c>
    </row>
    <row r="424" spans="1:5" x14ac:dyDescent="0.25">
      <c r="A424" s="17">
        <v>138</v>
      </c>
      <c r="B424" s="31">
        <v>46888</v>
      </c>
      <c r="C424" s="32">
        <f>INDEX('Input Data'!$B:$B,A424)/2+IF(A424&lt;&gt;A425,100,0)</f>
        <v>1.9375</v>
      </c>
      <c r="D424" s="33">
        <f>INDEX('ZCB Curve - Payment Dates'!$D$2:$D$246,MATCH(B424,'ZCB Curve - Payment Dates'!$A$2:$A$246,0))</f>
        <v>0.93000025435083566</v>
      </c>
      <c r="E424" s="32">
        <f t="shared" si="6"/>
        <v>1.801875492804744</v>
      </c>
    </row>
    <row r="425" spans="1:5" x14ac:dyDescent="0.25">
      <c r="A425" s="17">
        <v>138</v>
      </c>
      <c r="B425" s="31">
        <v>47072</v>
      </c>
      <c r="C425" s="32">
        <f>INDEX('Input Data'!$B:$B,A425)/2+IF(A425&lt;&gt;A426,100,0)</f>
        <v>1.9375</v>
      </c>
      <c r="D425" s="33">
        <f>INDEX('ZCB Curve - Payment Dates'!$D$2:$D$246,MATCH(B425,'ZCB Curve - Payment Dates'!$A$2:$A$246,0))</f>
        <v>0.90870125167038918</v>
      </c>
      <c r="E425" s="32">
        <f t="shared" si="6"/>
        <v>1.760608675111379</v>
      </c>
    </row>
    <row r="426" spans="1:5" x14ac:dyDescent="0.25">
      <c r="A426" s="17">
        <v>138</v>
      </c>
      <c r="B426" s="31">
        <v>47253</v>
      </c>
      <c r="C426" s="32">
        <f>INDEX('Input Data'!$B:$B,A426)/2+IF(A426&lt;&gt;A427,100,0)</f>
        <v>101.9375</v>
      </c>
      <c r="D426" s="33">
        <f>INDEX('ZCB Curve - Payment Dates'!$D$2:$D$246,MATCH(B426,'ZCB Curve - Payment Dates'!$A$2:$A$246,0))</f>
        <v>0.88809325063638844</v>
      </c>
      <c r="E426" s="32">
        <f t="shared" si="6"/>
        <v>90.530005736746844</v>
      </c>
    </row>
    <row r="427" spans="1:5" x14ac:dyDescent="0.25">
      <c r="A427" s="17">
        <v>139</v>
      </c>
      <c r="B427" s="31">
        <v>46356</v>
      </c>
      <c r="C427" s="32">
        <f>INDEX('Input Data'!$B:$B,A427)/2+IF(A427&lt;&gt;A428,100,0)</f>
        <v>1.375</v>
      </c>
      <c r="D427" s="33">
        <f>INDEX('ZCB Curve - Payment Dates'!$D$2:$D$246,MATCH(B427,'ZCB Curve - Payment Dates'!$A$2:$A$246,0))</f>
        <v>0.99084497326382592</v>
      </c>
      <c r="E427" s="32">
        <f t="shared" si="6"/>
        <v>1.3624118382377606</v>
      </c>
    </row>
    <row r="428" spans="1:5" x14ac:dyDescent="0.25">
      <c r="A428" s="17">
        <v>139</v>
      </c>
      <c r="B428" s="31">
        <v>46538</v>
      </c>
      <c r="C428" s="32">
        <f>INDEX('Input Data'!$B:$B,A428)/2+IF(A428&lt;&gt;A429,100,0)</f>
        <v>1.375</v>
      </c>
      <c r="D428" s="33">
        <f>INDEX('ZCB Curve - Payment Dates'!$D$2:$D$246,MATCH(B428,'ZCB Curve - Payment Dates'!$A$2:$A$246,0))</f>
        <v>0.97060179184855555</v>
      </c>
      <c r="E428" s="32">
        <f t="shared" si="6"/>
        <v>1.3345774637917638</v>
      </c>
    </row>
    <row r="429" spans="1:5" x14ac:dyDescent="0.25">
      <c r="A429" s="17">
        <v>139</v>
      </c>
      <c r="B429" s="31">
        <v>46721</v>
      </c>
      <c r="C429" s="32">
        <f>INDEX('Input Data'!$B:$B,A429)/2+IF(A429&lt;&gt;A430,100,0)</f>
        <v>1.375</v>
      </c>
      <c r="D429" s="33">
        <f>INDEX('ZCB Curve - Payment Dates'!$D$2:$D$246,MATCH(B429,'ZCB Curve - Payment Dates'!$A$2:$A$246,0))</f>
        <v>0.94946404326393219</v>
      </c>
      <c r="E429" s="32">
        <f t="shared" si="6"/>
        <v>1.3055130594879067</v>
      </c>
    </row>
    <row r="430" spans="1:5" x14ac:dyDescent="0.25">
      <c r="A430" s="17">
        <v>139</v>
      </c>
      <c r="B430" s="31">
        <v>46904</v>
      </c>
      <c r="C430" s="32">
        <f>INDEX('Input Data'!$B:$B,A430)/2+IF(A430&lt;&gt;A431,100,0)</f>
        <v>1.375</v>
      </c>
      <c r="D430" s="33">
        <f>INDEX('ZCB Curve - Payment Dates'!$D$2:$D$246,MATCH(B430,'ZCB Curve - Payment Dates'!$A$2:$A$246,0))</f>
        <v>0.92813990099508414</v>
      </c>
      <c r="E430" s="32">
        <f t="shared" si="6"/>
        <v>1.2761923638682406</v>
      </c>
    </row>
    <row r="431" spans="1:5" x14ac:dyDescent="0.25">
      <c r="A431" s="17">
        <v>139</v>
      </c>
      <c r="B431" s="31">
        <v>47087</v>
      </c>
      <c r="C431" s="32">
        <f>INDEX('Input Data'!$B:$B,A431)/2+IF(A431&lt;&gt;A432,100,0)</f>
        <v>1.375</v>
      </c>
      <c r="D431" s="33">
        <f>INDEX('ZCB Curve - Payment Dates'!$D$2:$D$246,MATCH(B431,'ZCB Curve - Payment Dates'!$A$2:$A$246,0))</f>
        <v>0.90697842456009181</v>
      </c>
      <c r="E431" s="32">
        <f t="shared" si="6"/>
        <v>1.2470953337701263</v>
      </c>
    </row>
    <row r="432" spans="1:5" x14ac:dyDescent="0.25">
      <c r="A432" s="17">
        <v>139</v>
      </c>
      <c r="B432" s="31">
        <v>47269</v>
      </c>
      <c r="C432" s="32">
        <f>INDEX('Input Data'!$B:$B,A432)/2+IF(A432&lt;&gt;A433,100,0)</f>
        <v>101.375</v>
      </c>
      <c r="D432" s="33">
        <f>INDEX('ZCB Curve - Payment Dates'!$D$2:$D$246,MATCH(B432,'ZCB Curve - Payment Dates'!$A$2:$A$246,0))</f>
        <v>0.88629316931415014</v>
      </c>
      <c r="E432" s="32">
        <f t="shared" si="6"/>
        <v>89.847970039221977</v>
      </c>
    </row>
    <row r="433" spans="1:5" x14ac:dyDescent="0.25">
      <c r="A433" s="17">
        <v>140</v>
      </c>
      <c r="B433" s="31">
        <v>46356</v>
      </c>
      <c r="C433" s="32">
        <f>INDEX('Input Data'!$B:$B,A433)/2+IF(A433&lt;&gt;A434,100,0)</f>
        <v>2.25</v>
      </c>
      <c r="D433" s="33">
        <f>INDEX('ZCB Curve - Payment Dates'!$D$2:$D$246,MATCH(B433,'ZCB Curve - Payment Dates'!$A$2:$A$246,0))</f>
        <v>0.99084497326382592</v>
      </c>
      <c r="E433" s="32">
        <f t="shared" si="6"/>
        <v>2.2294011898436081</v>
      </c>
    </row>
    <row r="434" spans="1:5" x14ac:dyDescent="0.25">
      <c r="A434" s="17">
        <v>140</v>
      </c>
      <c r="B434" s="31">
        <v>46538</v>
      </c>
      <c r="C434" s="32">
        <f>INDEX('Input Data'!$B:$B,A434)/2+IF(A434&lt;&gt;A435,100,0)</f>
        <v>2.25</v>
      </c>
      <c r="D434" s="33">
        <f>INDEX('ZCB Curve - Payment Dates'!$D$2:$D$246,MATCH(B434,'ZCB Curve - Payment Dates'!$A$2:$A$246,0))</f>
        <v>0.97060179184855555</v>
      </c>
      <c r="E434" s="32">
        <f t="shared" si="6"/>
        <v>2.1838540316592501</v>
      </c>
    </row>
    <row r="435" spans="1:5" x14ac:dyDescent="0.25">
      <c r="A435" s="17">
        <v>140</v>
      </c>
      <c r="B435" s="31">
        <v>46721</v>
      </c>
      <c r="C435" s="32">
        <f>INDEX('Input Data'!$B:$B,A435)/2+IF(A435&lt;&gt;A436,100,0)</f>
        <v>2.25</v>
      </c>
      <c r="D435" s="33">
        <f>INDEX('ZCB Curve - Payment Dates'!$D$2:$D$246,MATCH(B435,'ZCB Curve - Payment Dates'!$A$2:$A$246,0))</f>
        <v>0.94946404326393219</v>
      </c>
      <c r="E435" s="32">
        <f t="shared" si="6"/>
        <v>2.1362940973438476</v>
      </c>
    </row>
    <row r="436" spans="1:5" x14ac:dyDescent="0.25">
      <c r="A436" s="17">
        <v>140</v>
      </c>
      <c r="B436" s="31">
        <v>46904</v>
      </c>
      <c r="C436" s="32">
        <f>INDEX('Input Data'!$B:$B,A436)/2+IF(A436&lt;&gt;A437,100,0)</f>
        <v>2.25</v>
      </c>
      <c r="D436" s="33">
        <f>INDEX('ZCB Curve - Payment Dates'!$D$2:$D$246,MATCH(B436,'ZCB Curve - Payment Dates'!$A$2:$A$246,0))</f>
        <v>0.92813990099508414</v>
      </c>
      <c r="E436" s="32">
        <f t="shared" si="6"/>
        <v>2.0883147772389394</v>
      </c>
    </row>
    <row r="437" spans="1:5" x14ac:dyDescent="0.25">
      <c r="A437" s="17">
        <v>140</v>
      </c>
      <c r="B437" s="31">
        <v>47087</v>
      </c>
      <c r="C437" s="32">
        <f>INDEX('Input Data'!$B:$B,A437)/2+IF(A437&lt;&gt;A438,100,0)</f>
        <v>2.25</v>
      </c>
      <c r="D437" s="33">
        <f>INDEX('ZCB Curve - Payment Dates'!$D$2:$D$246,MATCH(B437,'ZCB Curve - Payment Dates'!$A$2:$A$246,0))</f>
        <v>0.90697842456009181</v>
      </c>
      <c r="E437" s="32">
        <f t="shared" si="6"/>
        <v>2.0407014552602067</v>
      </c>
    </row>
    <row r="438" spans="1:5" x14ac:dyDescent="0.25">
      <c r="A438" s="17">
        <v>140</v>
      </c>
      <c r="B438" s="31">
        <v>47269</v>
      </c>
      <c r="C438" s="32">
        <f>INDEX('Input Data'!$B:$B,A438)/2+IF(A438&lt;&gt;A439,100,0)</f>
        <v>102.25</v>
      </c>
      <c r="D438" s="33">
        <f>INDEX('ZCB Curve - Payment Dates'!$D$2:$D$246,MATCH(B438,'ZCB Curve - Payment Dates'!$A$2:$A$246,0))</f>
        <v>0.88629316931415014</v>
      </c>
      <c r="E438" s="32">
        <f t="shared" si="6"/>
        <v>90.623476562371849</v>
      </c>
    </row>
    <row r="439" spans="1:5" x14ac:dyDescent="0.25">
      <c r="A439" s="17">
        <v>141</v>
      </c>
      <c r="B439" s="31">
        <v>46371</v>
      </c>
      <c r="C439" s="32">
        <f>INDEX('Input Data'!$B:$B,A439)/2+IF(A439&lt;&gt;A440,100,0)</f>
        <v>2.0625</v>
      </c>
      <c r="D439" s="33">
        <f>INDEX('ZCB Curve - Payment Dates'!$D$2:$D$246,MATCH(B439,'ZCB Curve - Payment Dates'!$A$2:$A$246,0))</f>
        <v>0.98922507612573607</v>
      </c>
      <c r="E439" s="32">
        <f t="shared" si="6"/>
        <v>2.0402767195093308</v>
      </c>
    </row>
    <row r="440" spans="1:5" x14ac:dyDescent="0.25">
      <c r="A440" s="17">
        <v>141</v>
      </c>
      <c r="B440" s="31">
        <v>46553</v>
      </c>
      <c r="C440" s="32">
        <f>INDEX('Input Data'!$B:$B,A440)/2+IF(A440&lt;&gt;A441,100,0)</f>
        <v>2.0625</v>
      </c>
      <c r="D440" s="33">
        <f>INDEX('ZCB Curve - Payment Dates'!$D$2:$D$246,MATCH(B440,'ZCB Curve - Payment Dates'!$A$2:$A$246,0))</f>
        <v>0.96888871419984679</v>
      </c>
      <c r="E440" s="32">
        <f t="shared" si="6"/>
        <v>1.9983329730371839</v>
      </c>
    </row>
    <row r="441" spans="1:5" x14ac:dyDescent="0.25">
      <c r="A441" s="17">
        <v>141</v>
      </c>
      <c r="B441" s="31">
        <v>46736</v>
      </c>
      <c r="C441" s="32">
        <f>INDEX('Input Data'!$B:$B,A441)/2+IF(A441&lt;&gt;A442,100,0)</f>
        <v>2.0625</v>
      </c>
      <c r="D441" s="33">
        <f>INDEX('ZCB Curve - Payment Dates'!$D$2:$D$246,MATCH(B441,'ZCB Curve - Payment Dates'!$A$2:$A$246,0))</f>
        <v>0.94771675230658103</v>
      </c>
      <c r="E441" s="32">
        <f t="shared" si="6"/>
        <v>1.9546658016323233</v>
      </c>
    </row>
    <row r="442" spans="1:5" x14ac:dyDescent="0.25">
      <c r="A442" s="17">
        <v>141</v>
      </c>
      <c r="B442" s="31">
        <v>46919</v>
      </c>
      <c r="C442" s="32">
        <f>INDEX('Input Data'!$B:$B,A442)/2+IF(A442&lt;&gt;A443,100,0)</f>
        <v>2.0625</v>
      </c>
      <c r="D442" s="33">
        <f>INDEX('ZCB Curve - Payment Dates'!$D$2:$D$246,MATCH(B442,'ZCB Curve - Payment Dates'!$A$2:$A$246,0))</f>
        <v>0.92639547442094117</v>
      </c>
      <c r="E442" s="32">
        <f t="shared" si="6"/>
        <v>1.9106906659931913</v>
      </c>
    </row>
    <row r="443" spans="1:5" x14ac:dyDescent="0.25">
      <c r="A443" s="17">
        <v>141</v>
      </c>
      <c r="B443" s="31">
        <v>47102</v>
      </c>
      <c r="C443" s="32">
        <f>INDEX('Input Data'!$B:$B,A443)/2+IF(A443&lt;&gt;A444,100,0)</f>
        <v>2.0625</v>
      </c>
      <c r="D443" s="33">
        <f>INDEX('ZCB Curve - Payment Dates'!$D$2:$D$246,MATCH(B443,'ZCB Curve - Payment Dates'!$A$2:$A$246,0))</f>
        <v>0.90525808425208809</v>
      </c>
      <c r="E443" s="32">
        <f t="shared" si="6"/>
        <v>1.8670947987699318</v>
      </c>
    </row>
    <row r="444" spans="1:5" x14ac:dyDescent="0.25">
      <c r="A444" s="17">
        <v>141</v>
      </c>
      <c r="B444" s="31">
        <v>47284</v>
      </c>
      <c r="C444" s="32">
        <f>INDEX('Input Data'!$B:$B,A444)/2+IF(A444&lt;&gt;A445,100,0)</f>
        <v>102.0625</v>
      </c>
      <c r="D444" s="33">
        <f>INDEX('ZCB Curve - Payment Dates'!$D$2:$D$246,MATCH(B444,'ZCB Curve - Payment Dates'!$A$2:$A$246,0))</f>
        <v>0.88460718943237771</v>
      </c>
      <c r="E444" s="32">
        <f t="shared" si="6"/>
        <v>90.285221271442055</v>
      </c>
    </row>
    <row r="445" spans="1:5" x14ac:dyDescent="0.25">
      <c r="A445" s="17">
        <v>142</v>
      </c>
      <c r="B445" s="31">
        <v>46387</v>
      </c>
      <c r="C445" s="32">
        <f>INDEX('Input Data'!$B:$B,A445)/2+IF(A445&lt;&gt;A446,100,0)</f>
        <v>1.625</v>
      </c>
      <c r="D445" s="33">
        <f>INDEX('ZCB Curve - Payment Dates'!$D$2:$D$246,MATCH(B445,'ZCB Curve - Payment Dates'!$A$2:$A$246,0))</f>
        <v>0.987487116303851</v>
      </c>
      <c r="E445" s="32">
        <f t="shared" si="6"/>
        <v>1.6046665639937578</v>
      </c>
    </row>
    <row r="446" spans="1:5" x14ac:dyDescent="0.25">
      <c r="A446" s="17">
        <v>142</v>
      </c>
      <c r="B446" s="31">
        <v>46568</v>
      </c>
      <c r="C446" s="32">
        <f>INDEX('Input Data'!$B:$B,A446)/2+IF(A446&lt;&gt;A447,100,0)</f>
        <v>1.625</v>
      </c>
      <c r="D446" s="33">
        <f>INDEX('ZCB Curve - Payment Dates'!$D$2:$D$246,MATCH(B446,'ZCB Curve - Payment Dates'!$A$2:$A$246,0))</f>
        <v>0.96717094344557664</v>
      </c>
      <c r="E446" s="32">
        <f t="shared" si="6"/>
        <v>1.5716527830990621</v>
      </c>
    </row>
    <row r="447" spans="1:5" x14ac:dyDescent="0.25">
      <c r="A447" s="17">
        <v>142</v>
      </c>
      <c r="B447" s="31">
        <v>46752</v>
      </c>
      <c r="C447" s="32">
        <f>INDEX('Input Data'!$B:$B,A447)/2+IF(A447&lt;&gt;A448,100,0)</f>
        <v>1.625</v>
      </c>
      <c r="D447" s="33">
        <f>INDEX('ZCB Curve - Payment Dates'!$D$2:$D$246,MATCH(B447,'ZCB Curve - Payment Dates'!$A$2:$A$246,0))</f>
        <v>0.94585368463190456</v>
      </c>
      <c r="E447" s="32">
        <f t="shared" si="6"/>
        <v>1.5370122375268449</v>
      </c>
    </row>
    <row r="448" spans="1:5" x14ac:dyDescent="0.25">
      <c r="A448" s="17">
        <v>142</v>
      </c>
      <c r="B448" s="31">
        <v>46934</v>
      </c>
      <c r="C448" s="32">
        <f>INDEX('Input Data'!$B:$B,A448)/2+IF(A448&lt;&gt;A449,100,0)</f>
        <v>1.625</v>
      </c>
      <c r="D448" s="33">
        <f>INDEX('ZCB Curve - Payment Dates'!$D$2:$D$246,MATCH(B448,'ZCB Curve - Payment Dates'!$A$2:$A$246,0))</f>
        <v>0.92465239860805604</v>
      </c>
      <c r="E448" s="32">
        <f t="shared" si="6"/>
        <v>1.502560147738091</v>
      </c>
    </row>
    <row r="449" spans="1:5" x14ac:dyDescent="0.25">
      <c r="A449" s="17">
        <v>142</v>
      </c>
      <c r="B449" s="31">
        <v>47118</v>
      </c>
      <c r="C449" s="32">
        <f>INDEX('Input Data'!$B:$B,A449)/2+IF(A449&lt;&gt;A450,100,0)</f>
        <v>1.625</v>
      </c>
      <c r="D449" s="33">
        <f>INDEX('ZCB Curve - Payment Dates'!$D$2:$D$246,MATCH(B449,'ZCB Curve - Payment Dates'!$A$2:$A$246,0))</f>
        <v>0.90342754291436123</v>
      </c>
      <c r="E449" s="32">
        <f t="shared" si="6"/>
        <v>1.468069757235837</v>
      </c>
    </row>
    <row r="450" spans="1:5" x14ac:dyDescent="0.25">
      <c r="A450" s="17">
        <v>142</v>
      </c>
      <c r="B450" s="31">
        <v>47299</v>
      </c>
      <c r="C450" s="32">
        <f>INDEX('Input Data'!$B:$B,A450)/2+IF(A450&lt;&gt;A451,100,0)</f>
        <v>101.625</v>
      </c>
      <c r="D450" s="33">
        <f>INDEX('ZCB Curve - Payment Dates'!$D$2:$D$246,MATCH(B450,'ZCB Curve - Payment Dates'!$A$2:$A$246,0))</f>
        <v>0.88292427004927643</v>
      </c>
      <c r="E450" s="32">
        <f t="shared" ref="E450:E513" si="7">C450*D450</f>
        <v>89.727178943757721</v>
      </c>
    </row>
    <row r="451" spans="1:5" x14ac:dyDescent="0.25">
      <c r="A451" s="17">
        <v>143</v>
      </c>
      <c r="B451" s="31">
        <v>46387</v>
      </c>
      <c r="C451" s="32">
        <f>INDEX('Input Data'!$B:$B,A451)/2+IF(A451&lt;&gt;A452,100,0)</f>
        <v>2.125</v>
      </c>
      <c r="D451" s="33">
        <f>INDEX('ZCB Curve - Payment Dates'!$D$2:$D$246,MATCH(B451,'ZCB Curve - Payment Dates'!$A$2:$A$246,0))</f>
        <v>0.987487116303851</v>
      </c>
      <c r="E451" s="32">
        <f t="shared" si="7"/>
        <v>2.0984101221456832</v>
      </c>
    </row>
    <row r="452" spans="1:5" x14ac:dyDescent="0.25">
      <c r="A452" s="17">
        <v>143</v>
      </c>
      <c r="B452" s="31">
        <v>46568</v>
      </c>
      <c r="C452" s="32">
        <f>INDEX('Input Data'!$B:$B,A452)/2+IF(A452&lt;&gt;A453,100,0)</f>
        <v>2.125</v>
      </c>
      <c r="D452" s="33">
        <f>INDEX('ZCB Curve - Payment Dates'!$D$2:$D$246,MATCH(B452,'ZCB Curve - Payment Dates'!$A$2:$A$246,0))</f>
        <v>0.96717094344557664</v>
      </c>
      <c r="E452" s="32">
        <f t="shared" si="7"/>
        <v>2.0552382548218504</v>
      </c>
    </row>
    <row r="453" spans="1:5" x14ac:dyDescent="0.25">
      <c r="A453" s="17">
        <v>143</v>
      </c>
      <c r="B453" s="31">
        <v>46752</v>
      </c>
      <c r="C453" s="32">
        <f>INDEX('Input Data'!$B:$B,A453)/2+IF(A453&lt;&gt;A454,100,0)</f>
        <v>2.125</v>
      </c>
      <c r="D453" s="33">
        <f>INDEX('ZCB Curve - Payment Dates'!$D$2:$D$246,MATCH(B453,'ZCB Curve - Payment Dates'!$A$2:$A$246,0))</f>
        <v>0.94585368463190456</v>
      </c>
      <c r="E453" s="32">
        <f t="shared" si="7"/>
        <v>2.0099390798427974</v>
      </c>
    </row>
    <row r="454" spans="1:5" x14ac:dyDescent="0.25">
      <c r="A454" s="17">
        <v>143</v>
      </c>
      <c r="B454" s="31">
        <v>46934</v>
      </c>
      <c r="C454" s="32">
        <f>INDEX('Input Data'!$B:$B,A454)/2+IF(A454&lt;&gt;A455,100,0)</f>
        <v>2.125</v>
      </c>
      <c r="D454" s="33">
        <f>INDEX('ZCB Curve - Payment Dates'!$D$2:$D$246,MATCH(B454,'ZCB Curve - Payment Dates'!$A$2:$A$246,0))</f>
        <v>0.92465239860805604</v>
      </c>
      <c r="E454" s="32">
        <f t="shared" si="7"/>
        <v>1.9648863470421192</v>
      </c>
    </row>
    <row r="455" spans="1:5" x14ac:dyDescent="0.25">
      <c r="A455" s="17">
        <v>143</v>
      </c>
      <c r="B455" s="31">
        <v>47118</v>
      </c>
      <c r="C455" s="32">
        <f>INDEX('Input Data'!$B:$B,A455)/2+IF(A455&lt;&gt;A456,100,0)</f>
        <v>2.125</v>
      </c>
      <c r="D455" s="33">
        <f>INDEX('ZCB Curve - Payment Dates'!$D$2:$D$246,MATCH(B455,'ZCB Curve - Payment Dates'!$A$2:$A$246,0))</f>
        <v>0.90342754291436123</v>
      </c>
      <c r="E455" s="32">
        <f t="shared" si="7"/>
        <v>1.9197835286930176</v>
      </c>
    </row>
    <row r="456" spans="1:5" x14ac:dyDescent="0.25">
      <c r="A456" s="17">
        <v>143</v>
      </c>
      <c r="B456" s="31">
        <v>47299</v>
      </c>
      <c r="C456" s="32">
        <f>INDEX('Input Data'!$B:$B,A456)/2+IF(A456&lt;&gt;A457,100,0)</f>
        <v>102.125</v>
      </c>
      <c r="D456" s="33">
        <f>INDEX('ZCB Curve - Payment Dates'!$D$2:$D$246,MATCH(B456,'ZCB Curve - Payment Dates'!$A$2:$A$246,0))</f>
        <v>0.88292427004927643</v>
      </c>
      <c r="E456" s="32">
        <f t="shared" si="7"/>
        <v>90.168641078782358</v>
      </c>
    </row>
    <row r="457" spans="1:5" x14ac:dyDescent="0.25">
      <c r="A457" s="17">
        <v>144</v>
      </c>
      <c r="B457" s="31">
        <v>46402</v>
      </c>
      <c r="C457" s="32">
        <f>INDEX('Input Data'!$B:$B,A457)/2+IF(A457&lt;&gt;A458,100,0)</f>
        <v>2.0625</v>
      </c>
      <c r="D457" s="33">
        <f>INDEX('ZCB Curve - Payment Dates'!$D$2:$D$246,MATCH(B457,'ZCB Curve - Payment Dates'!$A$2:$A$246,0))</f>
        <v>0.98584597894241466</v>
      </c>
      <c r="E457" s="32">
        <f t="shared" si="7"/>
        <v>2.0333073315687304</v>
      </c>
    </row>
    <row r="458" spans="1:5" x14ac:dyDescent="0.25">
      <c r="A458" s="17">
        <v>144</v>
      </c>
      <c r="B458" s="31">
        <v>46583</v>
      </c>
      <c r="C458" s="32">
        <f>INDEX('Input Data'!$B:$B,A458)/2+IF(A458&lt;&gt;A459,100,0)</f>
        <v>2.0625</v>
      </c>
      <c r="D458" s="33">
        <f>INDEX('ZCB Curve - Payment Dates'!$D$2:$D$246,MATCH(B458,'ZCB Curve - Payment Dates'!$A$2:$A$246,0))</f>
        <v>0.96544886161553756</v>
      </c>
      <c r="E458" s="32">
        <f t="shared" si="7"/>
        <v>1.9912382770820463</v>
      </c>
    </row>
    <row r="459" spans="1:5" x14ac:dyDescent="0.25">
      <c r="A459" s="17">
        <v>144</v>
      </c>
      <c r="B459" s="31">
        <v>46767</v>
      </c>
      <c r="C459" s="32">
        <f>INDEX('Input Data'!$B:$B,A459)/2+IF(A459&lt;&gt;A460,100,0)</f>
        <v>2.0625</v>
      </c>
      <c r="D459" s="33">
        <f>INDEX('ZCB Curve - Payment Dates'!$D$2:$D$246,MATCH(B459,'ZCB Curve - Payment Dates'!$A$2:$A$246,0))</f>
        <v>0.94410478141292531</v>
      </c>
      <c r="E459" s="32">
        <f t="shared" si="7"/>
        <v>1.9472161116641584</v>
      </c>
    </row>
    <row r="460" spans="1:5" x14ac:dyDescent="0.25">
      <c r="A460" s="17">
        <v>144</v>
      </c>
      <c r="B460" s="31">
        <v>46949</v>
      </c>
      <c r="C460" s="32">
        <f>INDEX('Input Data'!$B:$B,A460)/2+IF(A460&lt;&gt;A461,100,0)</f>
        <v>2.0625</v>
      </c>
      <c r="D460" s="33">
        <f>INDEX('ZCB Curve - Payment Dates'!$D$2:$D$246,MATCH(B460,'ZCB Curve - Payment Dates'!$A$2:$A$246,0))</f>
        <v>0.92291080633862488</v>
      </c>
      <c r="E460" s="32">
        <f t="shared" si="7"/>
        <v>1.9035035380734138</v>
      </c>
    </row>
    <row r="461" spans="1:5" x14ac:dyDescent="0.25">
      <c r="A461" s="17">
        <v>144</v>
      </c>
      <c r="B461" s="31">
        <v>47133</v>
      </c>
      <c r="C461" s="32">
        <f>INDEX('Input Data'!$B:$B,A461)/2+IF(A461&lt;&gt;A462,100,0)</f>
        <v>2.0625</v>
      </c>
      <c r="D461" s="33">
        <f>INDEX('ZCB Curve - Payment Dates'!$D$2:$D$246,MATCH(B461,'ZCB Curve - Payment Dates'!$A$2:$A$246,0))</f>
        <v>0.90171255083345714</v>
      </c>
      <c r="E461" s="32">
        <f t="shared" si="7"/>
        <v>1.8597821360940054</v>
      </c>
    </row>
    <row r="462" spans="1:5" x14ac:dyDescent="0.25">
      <c r="A462" s="17">
        <v>144</v>
      </c>
      <c r="B462" s="31">
        <v>47314</v>
      </c>
      <c r="C462" s="32">
        <f>INDEX('Input Data'!$B:$B,A462)/2+IF(A462&lt;&gt;A463,100,0)</f>
        <v>102.0625</v>
      </c>
      <c r="D462" s="33">
        <f>INDEX('ZCB Curve - Payment Dates'!$D$2:$D$246,MATCH(B462,'ZCB Curve - Payment Dates'!$A$2:$A$246,0))</f>
        <v>0.88124443045500633</v>
      </c>
      <c r="E462" s="32">
        <f t="shared" si="7"/>
        <v>89.942009683314083</v>
      </c>
    </row>
    <row r="463" spans="1:5" x14ac:dyDescent="0.25">
      <c r="A463" s="17">
        <v>145</v>
      </c>
      <c r="B463" s="31">
        <v>46418</v>
      </c>
      <c r="C463" s="32">
        <f>INDEX('Input Data'!$B:$B,A463)/2+IF(A463&lt;&gt;A464,100,0)</f>
        <v>1.3125</v>
      </c>
      <c r="D463" s="33">
        <f>INDEX('ZCB Curve - Payment Dates'!$D$2:$D$246,MATCH(B463,'ZCB Curve - Payment Dates'!$A$2:$A$246,0))</f>
        <v>0.98408668818349121</v>
      </c>
      <c r="E463" s="32">
        <f t="shared" si="7"/>
        <v>1.2916137782408321</v>
      </c>
    </row>
    <row r="464" spans="1:5" x14ac:dyDescent="0.25">
      <c r="A464" s="17">
        <v>145</v>
      </c>
      <c r="B464" s="31">
        <v>46599</v>
      </c>
      <c r="C464" s="32">
        <f>INDEX('Input Data'!$B:$B,A464)/2+IF(A464&lt;&gt;A465,100,0)</f>
        <v>1.3125</v>
      </c>
      <c r="D464" s="33">
        <f>INDEX('ZCB Curve - Payment Dates'!$D$2:$D$246,MATCH(B464,'ZCB Curve - Payment Dates'!$A$2:$A$246,0))</f>
        <v>0.96360931883583933</v>
      </c>
      <c r="E464" s="32">
        <f t="shared" si="7"/>
        <v>1.2647372309720391</v>
      </c>
    </row>
    <row r="465" spans="1:5" x14ac:dyDescent="0.25">
      <c r="A465" s="17">
        <v>145</v>
      </c>
      <c r="B465" s="31">
        <v>46783</v>
      </c>
      <c r="C465" s="32">
        <f>INDEX('Input Data'!$B:$B,A465)/2+IF(A465&lt;&gt;A466,100,0)</f>
        <v>1.3125</v>
      </c>
      <c r="D465" s="33">
        <f>INDEX('ZCB Curve - Payment Dates'!$D$2:$D$246,MATCH(B465,'ZCB Curve - Payment Dates'!$A$2:$A$246,0))</f>
        <v>0.94224051785347052</v>
      </c>
      <c r="E465" s="32">
        <f t="shared" si="7"/>
        <v>1.23669067968268</v>
      </c>
    </row>
    <row r="466" spans="1:5" x14ac:dyDescent="0.25">
      <c r="A466" s="17">
        <v>145</v>
      </c>
      <c r="B466" s="31">
        <v>46965</v>
      </c>
      <c r="C466" s="32">
        <f>INDEX('Input Data'!$B:$B,A466)/2+IF(A466&lt;&gt;A467,100,0)</f>
        <v>1.3125</v>
      </c>
      <c r="D466" s="33">
        <f>INDEX('ZCB Curve - Payment Dates'!$D$2:$D$246,MATCH(B466,'ZCB Curve - Payment Dates'!$A$2:$A$246,0))</f>
        <v>0.92105657743562108</v>
      </c>
      <c r="E466" s="32">
        <f t="shared" si="7"/>
        <v>1.2088867578842526</v>
      </c>
    </row>
    <row r="467" spans="1:5" x14ac:dyDescent="0.25">
      <c r="A467" s="17">
        <v>145</v>
      </c>
      <c r="B467" s="31">
        <v>47149</v>
      </c>
      <c r="C467" s="32">
        <f>INDEX('Input Data'!$B:$B,A467)/2+IF(A467&lt;&gt;A468,100,0)</f>
        <v>1.3125</v>
      </c>
      <c r="D467" s="33">
        <f>INDEX('ZCB Curve - Payment Dates'!$D$2:$D$246,MATCH(B467,'ZCB Curve - Payment Dates'!$A$2:$A$246,0))</f>
        <v>0.89988368588562773</v>
      </c>
      <c r="E467" s="32">
        <f t="shared" si="7"/>
        <v>1.1810973377248863</v>
      </c>
    </row>
    <row r="468" spans="1:5" x14ac:dyDescent="0.25">
      <c r="A468" s="17">
        <v>145</v>
      </c>
      <c r="B468" s="31">
        <v>47330</v>
      </c>
      <c r="C468" s="32">
        <f>INDEX('Input Data'!$B:$B,A468)/2+IF(A468&lt;&gt;A469,100,0)</f>
        <v>101.3125</v>
      </c>
      <c r="D468" s="33">
        <f>INDEX('ZCB Curve - Payment Dates'!$D$2:$D$246,MATCH(B468,'ZCB Curve - Payment Dates'!$A$2:$A$246,0))</f>
        <v>0.87945764483737499</v>
      </c>
      <c r="E468" s="32">
        <f t="shared" si="7"/>
        <v>89.100052642586547</v>
      </c>
    </row>
    <row r="469" spans="1:5" x14ac:dyDescent="0.25">
      <c r="A469" s="17">
        <v>146</v>
      </c>
      <c r="B469" s="31">
        <v>46418</v>
      </c>
      <c r="C469" s="32">
        <f>INDEX('Input Data'!$B:$B,A469)/2+IF(A469&lt;&gt;A470,100,0)</f>
        <v>2</v>
      </c>
      <c r="D469" s="33">
        <f>INDEX('ZCB Curve - Payment Dates'!$D$2:$D$246,MATCH(B469,'ZCB Curve - Payment Dates'!$A$2:$A$246,0))</f>
        <v>0.98408668818349121</v>
      </c>
      <c r="E469" s="32">
        <f t="shared" si="7"/>
        <v>1.9681733763669824</v>
      </c>
    </row>
    <row r="470" spans="1:5" x14ac:dyDescent="0.25">
      <c r="A470" s="17">
        <v>146</v>
      </c>
      <c r="B470" s="31">
        <v>46599</v>
      </c>
      <c r="C470" s="32">
        <f>INDEX('Input Data'!$B:$B,A470)/2+IF(A470&lt;&gt;A471,100,0)</f>
        <v>2</v>
      </c>
      <c r="D470" s="33">
        <f>INDEX('ZCB Curve - Payment Dates'!$D$2:$D$246,MATCH(B470,'ZCB Curve - Payment Dates'!$A$2:$A$246,0))</f>
        <v>0.96360931883583933</v>
      </c>
      <c r="E470" s="32">
        <f t="shared" si="7"/>
        <v>1.9272186376716787</v>
      </c>
    </row>
    <row r="471" spans="1:5" x14ac:dyDescent="0.25">
      <c r="A471" s="17">
        <v>146</v>
      </c>
      <c r="B471" s="31">
        <v>46783</v>
      </c>
      <c r="C471" s="32">
        <f>INDEX('Input Data'!$B:$B,A471)/2+IF(A471&lt;&gt;A472,100,0)</f>
        <v>2</v>
      </c>
      <c r="D471" s="33">
        <f>INDEX('ZCB Curve - Payment Dates'!$D$2:$D$246,MATCH(B471,'ZCB Curve - Payment Dates'!$A$2:$A$246,0))</f>
        <v>0.94224051785347052</v>
      </c>
      <c r="E471" s="32">
        <f t="shared" si="7"/>
        <v>1.884481035706941</v>
      </c>
    </row>
    <row r="472" spans="1:5" x14ac:dyDescent="0.25">
      <c r="A472" s="17">
        <v>146</v>
      </c>
      <c r="B472" s="31">
        <v>46965</v>
      </c>
      <c r="C472" s="32">
        <f>INDEX('Input Data'!$B:$B,A472)/2+IF(A472&lt;&gt;A473,100,0)</f>
        <v>2</v>
      </c>
      <c r="D472" s="33">
        <f>INDEX('ZCB Curve - Payment Dates'!$D$2:$D$246,MATCH(B472,'ZCB Curve - Payment Dates'!$A$2:$A$246,0))</f>
        <v>0.92105657743562108</v>
      </c>
      <c r="E472" s="32">
        <f t="shared" si="7"/>
        <v>1.8421131548712422</v>
      </c>
    </row>
    <row r="473" spans="1:5" x14ac:dyDescent="0.25">
      <c r="A473" s="17">
        <v>146</v>
      </c>
      <c r="B473" s="31">
        <v>47149</v>
      </c>
      <c r="C473" s="32">
        <f>INDEX('Input Data'!$B:$B,A473)/2+IF(A473&lt;&gt;A474,100,0)</f>
        <v>2</v>
      </c>
      <c r="D473" s="33">
        <f>INDEX('ZCB Curve - Payment Dates'!$D$2:$D$246,MATCH(B473,'ZCB Curve - Payment Dates'!$A$2:$A$246,0))</f>
        <v>0.89988368588562773</v>
      </c>
      <c r="E473" s="32">
        <f t="shared" si="7"/>
        <v>1.7997673717712555</v>
      </c>
    </row>
    <row r="474" spans="1:5" x14ac:dyDescent="0.25">
      <c r="A474" s="17">
        <v>146</v>
      </c>
      <c r="B474" s="31">
        <v>47330</v>
      </c>
      <c r="C474" s="32">
        <f>INDEX('Input Data'!$B:$B,A474)/2+IF(A474&lt;&gt;A475,100,0)</f>
        <v>102</v>
      </c>
      <c r="D474" s="33">
        <f>INDEX('ZCB Curve - Payment Dates'!$D$2:$D$246,MATCH(B474,'ZCB Curve - Payment Dates'!$A$2:$A$246,0))</f>
        <v>0.87945764483737499</v>
      </c>
      <c r="E474" s="32">
        <f t="shared" si="7"/>
        <v>89.704679773412252</v>
      </c>
    </row>
    <row r="475" spans="1:5" x14ac:dyDescent="0.25">
      <c r="A475" s="17">
        <v>147</v>
      </c>
      <c r="B475" s="31">
        <v>46433</v>
      </c>
      <c r="C475" s="32">
        <f>INDEX('Input Data'!$B:$B,A475)/2+IF(A475&lt;&gt;A476,100,0)</f>
        <v>0.8125</v>
      </c>
      <c r="D475" s="33">
        <f>INDEX('ZCB Curve - Payment Dates'!$D$2:$D$246,MATCH(B475,'ZCB Curve - Payment Dates'!$A$2:$A$246,0))</f>
        <v>0.98242671792446301</v>
      </c>
      <c r="E475" s="32">
        <f t="shared" si="7"/>
        <v>0.79822170831362615</v>
      </c>
    </row>
    <row r="476" spans="1:5" x14ac:dyDescent="0.25">
      <c r="A476" s="17">
        <v>147</v>
      </c>
      <c r="B476" s="31">
        <v>46614</v>
      </c>
      <c r="C476" s="32">
        <f>INDEX('Input Data'!$B:$B,A476)/2+IF(A476&lt;&gt;A477,100,0)</f>
        <v>0.8125</v>
      </c>
      <c r="D476" s="33">
        <f>INDEX('ZCB Curve - Payment Dates'!$D$2:$D$246,MATCH(B476,'ZCB Curve - Payment Dates'!$A$2:$A$246,0))</f>
        <v>0.96187948164765535</v>
      </c>
      <c r="E476" s="32">
        <f t="shared" si="7"/>
        <v>0.78152707883871997</v>
      </c>
    </row>
    <row r="477" spans="1:5" x14ac:dyDescent="0.25">
      <c r="A477" s="17">
        <v>147</v>
      </c>
      <c r="B477" s="31">
        <v>46798</v>
      </c>
      <c r="C477" s="32">
        <f>INDEX('Input Data'!$B:$B,A477)/2+IF(A477&lt;&gt;A478,100,0)</f>
        <v>0.8125</v>
      </c>
      <c r="D477" s="33">
        <f>INDEX('ZCB Curve - Payment Dates'!$D$2:$D$246,MATCH(B477,'ZCB Curve - Payment Dates'!$A$2:$A$246,0))</f>
        <v>0.94049096132648802</v>
      </c>
      <c r="E477" s="32">
        <f t="shared" si="7"/>
        <v>0.76414890607777153</v>
      </c>
    </row>
    <row r="478" spans="1:5" x14ac:dyDescent="0.25">
      <c r="A478" s="17">
        <v>147</v>
      </c>
      <c r="B478" s="31">
        <v>46980</v>
      </c>
      <c r="C478" s="32">
        <f>INDEX('Input Data'!$B:$B,A478)/2+IF(A478&lt;&gt;A479,100,0)</f>
        <v>0.8125</v>
      </c>
      <c r="D478" s="33">
        <f>INDEX('ZCB Curve - Payment Dates'!$D$2:$D$246,MATCH(B478,'ZCB Curve - Payment Dates'!$A$2:$A$246,0))</f>
        <v>0.91931844130238327</v>
      </c>
      <c r="E478" s="32">
        <f t="shared" si="7"/>
        <v>0.74694623355818646</v>
      </c>
    </row>
    <row r="479" spans="1:5" x14ac:dyDescent="0.25">
      <c r="A479" s="17">
        <v>147</v>
      </c>
      <c r="B479" s="31">
        <v>47164</v>
      </c>
      <c r="C479" s="32">
        <f>INDEX('Input Data'!$B:$B,A479)/2+IF(A479&lt;&gt;A480,100,0)</f>
        <v>0.8125</v>
      </c>
      <c r="D479" s="33">
        <f>INDEX('ZCB Curve - Payment Dates'!$D$2:$D$246,MATCH(B479,'ZCB Curve - Payment Dates'!$A$2:$A$246,0))</f>
        <v>0.89817430058086534</v>
      </c>
      <c r="E479" s="32">
        <f t="shared" si="7"/>
        <v>0.72976661922195307</v>
      </c>
    </row>
    <row r="480" spans="1:5" x14ac:dyDescent="0.25">
      <c r="A480" s="17">
        <v>147</v>
      </c>
      <c r="B480" s="31">
        <v>47345</v>
      </c>
      <c r="C480" s="32">
        <f>INDEX('Input Data'!$B:$B,A480)/2+IF(A480&lt;&gt;A481,100,0)</f>
        <v>100.8125</v>
      </c>
      <c r="D480" s="33">
        <f>INDEX('ZCB Curve - Payment Dates'!$D$2:$D$246,MATCH(B480,'ZCB Curve - Payment Dates'!$A$2:$A$246,0))</f>
        <v>0.87778421628860481</v>
      </c>
      <c r="E480" s="32">
        <f t="shared" si="7"/>
        <v>88.491621304594972</v>
      </c>
    </row>
    <row r="481" spans="1:5" x14ac:dyDescent="0.25">
      <c r="A481" s="17">
        <v>148</v>
      </c>
      <c r="B481" s="31">
        <v>46433</v>
      </c>
      <c r="C481" s="32">
        <f>INDEX('Input Data'!$B:$B,A481)/2+IF(A481&lt;&gt;A482,100,0)</f>
        <v>2.125</v>
      </c>
      <c r="D481" s="33">
        <f>INDEX('ZCB Curve - Payment Dates'!$D$2:$D$246,MATCH(B481,'ZCB Curve - Payment Dates'!$A$2:$A$246,0))</f>
        <v>0.98242671792446301</v>
      </c>
      <c r="E481" s="32">
        <f t="shared" si="7"/>
        <v>2.0876567755894837</v>
      </c>
    </row>
    <row r="482" spans="1:5" x14ac:dyDescent="0.25">
      <c r="A482" s="17">
        <v>148</v>
      </c>
      <c r="B482" s="31">
        <v>46614</v>
      </c>
      <c r="C482" s="32">
        <f>INDEX('Input Data'!$B:$B,A482)/2+IF(A482&lt;&gt;A483,100,0)</f>
        <v>2.125</v>
      </c>
      <c r="D482" s="33">
        <f>INDEX('ZCB Curve - Payment Dates'!$D$2:$D$246,MATCH(B482,'ZCB Curve - Payment Dates'!$A$2:$A$246,0))</f>
        <v>0.96187948164765535</v>
      </c>
      <c r="E482" s="32">
        <f t="shared" si="7"/>
        <v>2.0439938985012676</v>
      </c>
    </row>
    <row r="483" spans="1:5" x14ac:dyDescent="0.25">
      <c r="A483" s="17">
        <v>148</v>
      </c>
      <c r="B483" s="31">
        <v>46798</v>
      </c>
      <c r="C483" s="32">
        <f>INDEX('Input Data'!$B:$B,A483)/2+IF(A483&lt;&gt;A484,100,0)</f>
        <v>2.125</v>
      </c>
      <c r="D483" s="33">
        <f>INDEX('ZCB Curve - Payment Dates'!$D$2:$D$246,MATCH(B483,'ZCB Curve - Payment Dates'!$A$2:$A$246,0))</f>
        <v>0.94049096132648802</v>
      </c>
      <c r="E483" s="32">
        <f t="shared" si="7"/>
        <v>1.998543292818787</v>
      </c>
    </row>
    <row r="484" spans="1:5" x14ac:dyDescent="0.25">
      <c r="A484" s="17">
        <v>148</v>
      </c>
      <c r="B484" s="31">
        <v>46980</v>
      </c>
      <c r="C484" s="32">
        <f>INDEX('Input Data'!$B:$B,A484)/2+IF(A484&lt;&gt;A485,100,0)</f>
        <v>2.125</v>
      </c>
      <c r="D484" s="33">
        <f>INDEX('ZCB Curve - Payment Dates'!$D$2:$D$246,MATCH(B484,'ZCB Curve - Payment Dates'!$A$2:$A$246,0))</f>
        <v>0.91931844130238327</v>
      </c>
      <c r="E484" s="32">
        <f t="shared" si="7"/>
        <v>1.9535516877675645</v>
      </c>
    </row>
    <row r="485" spans="1:5" x14ac:dyDescent="0.25">
      <c r="A485" s="17">
        <v>148</v>
      </c>
      <c r="B485" s="31">
        <v>47164</v>
      </c>
      <c r="C485" s="32">
        <f>INDEX('Input Data'!$B:$B,A485)/2+IF(A485&lt;&gt;A486,100,0)</f>
        <v>2.125</v>
      </c>
      <c r="D485" s="33">
        <f>INDEX('ZCB Curve - Payment Dates'!$D$2:$D$246,MATCH(B485,'ZCB Curve - Payment Dates'!$A$2:$A$246,0))</f>
        <v>0.89817430058086534</v>
      </c>
      <c r="E485" s="32">
        <f t="shared" si="7"/>
        <v>1.9086203887343389</v>
      </c>
    </row>
    <row r="486" spans="1:5" x14ac:dyDescent="0.25">
      <c r="A486" s="17">
        <v>148</v>
      </c>
      <c r="B486" s="31">
        <v>47345</v>
      </c>
      <c r="C486" s="32">
        <f>INDEX('Input Data'!$B:$B,A486)/2+IF(A486&lt;&gt;A487,100,0)</f>
        <v>102.125</v>
      </c>
      <c r="D486" s="33">
        <f>INDEX('ZCB Curve - Payment Dates'!$D$2:$D$246,MATCH(B486,'ZCB Curve - Payment Dates'!$A$2:$A$246,0))</f>
        <v>0.87778421628860481</v>
      </c>
      <c r="E486" s="32">
        <f t="shared" si="7"/>
        <v>89.64371308847376</v>
      </c>
    </row>
    <row r="487" spans="1:5" x14ac:dyDescent="0.25">
      <c r="A487" s="17">
        <v>149</v>
      </c>
      <c r="B487" s="31">
        <v>46433</v>
      </c>
      <c r="C487" s="32">
        <f>INDEX('Input Data'!$B:$B,A487)/2+IF(A487&lt;&gt;A488,100,0)</f>
        <v>3.0625</v>
      </c>
      <c r="D487" s="33">
        <f>INDEX('ZCB Curve - Payment Dates'!$D$2:$D$246,MATCH(B487,'ZCB Curve - Payment Dates'!$A$2:$A$246,0))</f>
        <v>0.98242671792446301</v>
      </c>
      <c r="E487" s="32">
        <f t="shared" si="7"/>
        <v>3.0086818236436681</v>
      </c>
    </row>
    <row r="488" spans="1:5" x14ac:dyDescent="0.25">
      <c r="A488" s="17">
        <v>149</v>
      </c>
      <c r="B488" s="31">
        <v>46614</v>
      </c>
      <c r="C488" s="32">
        <f>INDEX('Input Data'!$B:$B,A488)/2+IF(A488&lt;&gt;A489,100,0)</f>
        <v>3.0625</v>
      </c>
      <c r="D488" s="33">
        <f>INDEX('ZCB Curve - Payment Dates'!$D$2:$D$246,MATCH(B488,'ZCB Curve - Payment Dates'!$A$2:$A$246,0))</f>
        <v>0.96187948164765535</v>
      </c>
      <c r="E488" s="32">
        <f t="shared" si="7"/>
        <v>2.9457559125459447</v>
      </c>
    </row>
    <row r="489" spans="1:5" x14ac:dyDescent="0.25">
      <c r="A489" s="17">
        <v>149</v>
      </c>
      <c r="B489" s="31">
        <v>46798</v>
      </c>
      <c r="C489" s="32">
        <f>INDEX('Input Data'!$B:$B,A489)/2+IF(A489&lt;&gt;A490,100,0)</f>
        <v>3.0625</v>
      </c>
      <c r="D489" s="33">
        <f>INDEX('ZCB Curve - Payment Dates'!$D$2:$D$246,MATCH(B489,'ZCB Curve - Payment Dates'!$A$2:$A$246,0))</f>
        <v>0.94049096132648802</v>
      </c>
      <c r="E489" s="32">
        <f t="shared" si="7"/>
        <v>2.8802535690623694</v>
      </c>
    </row>
    <row r="490" spans="1:5" x14ac:dyDescent="0.25">
      <c r="A490" s="17">
        <v>149</v>
      </c>
      <c r="B490" s="31">
        <v>46980</v>
      </c>
      <c r="C490" s="32">
        <f>INDEX('Input Data'!$B:$B,A490)/2+IF(A490&lt;&gt;A491,100,0)</f>
        <v>3.0625</v>
      </c>
      <c r="D490" s="33">
        <f>INDEX('ZCB Curve - Payment Dates'!$D$2:$D$246,MATCH(B490,'ZCB Curve - Payment Dates'!$A$2:$A$246,0))</f>
        <v>0.91931844130238327</v>
      </c>
      <c r="E490" s="32">
        <f t="shared" si="7"/>
        <v>2.8154127264885487</v>
      </c>
    </row>
    <row r="491" spans="1:5" x14ac:dyDescent="0.25">
      <c r="A491" s="17">
        <v>149</v>
      </c>
      <c r="B491" s="31">
        <v>47164</v>
      </c>
      <c r="C491" s="32">
        <f>INDEX('Input Data'!$B:$B,A491)/2+IF(A491&lt;&gt;A492,100,0)</f>
        <v>3.0625</v>
      </c>
      <c r="D491" s="33">
        <f>INDEX('ZCB Curve - Payment Dates'!$D$2:$D$246,MATCH(B491,'ZCB Curve - Payment Dates'!$A$2:$A$246,0))</f>
        <v>0.89817430058086534</v>
      </c>
      <c r="E491" s="32">
        <f t="shared" si="7"/>
        <v>2.7506587955289001</v>
      </c>
    </row>
    <row r="492" spans="1:5" x14ac:dyDescent="0.25">
      <c r="A492" s="17">
        <v>149</v>
      </c>
      <c r="B492" s="31">
        <v>47345</v>
      </c>
      <c r="C492" s="32">
        <f>INDEX('Input Data'!$B:$B,A492)/2+IF(A492&lt;&gt;A493,100,0)</f>
        <v>103.0625</v>
      </c>
      <c r="D492" s="33">
        <f>INDEX('ZCB Curve - Payment Dates'!$D$2:$D$246,MATCH(B492,'ZCB Curve - Payment Dates'!$A$2:$A$246,0))</f>
        <v>0.87778421628860481</v>
      </c>
      <c r="E492" s="32">
        <f t="shared" si="7"/>
        <v>90.466635791244329</v>
      </c>
    </row>
    <row r="493" spans="1:5" x14ac:dyDescent="0.25">
      <c r="A493" s="17">
        <v>150</v>
      </c>
      <c r="B493" s="31">
        <v>46446</v>
      </c>
      <c r="C493" s="32">
        <f>INDEX('Input Data'!$B:$B,A493)/2+IF(A493&lt;&gt;A494,100,0)</f>
        <v>1.5625</v>
      </c>
      <c r="D493" s="33">
        <f>INDEX('ZCB Curve - Payment Dates'!$D$2:$D$246,MATCH(B493,'ZCB Curve - Payment Dates'!$A$2:$A$246,0))</f>
        <v>0.98098215746395478</v>
      </c>
      <c r="E493" s="32">
        <f t="shared" si="7"/>
        <v>1.5327846210374294</v>
      </c>
    </row>
    <row r="494" spans="1:5" x14ac:dyDescent="0.25">
      <c r="A494" s="17">
        <v>150</v>
      </c>
      <c r="B494" s="31">
        <v>46630</v>
      </c>
      <c r="C494" s="32">
        <f>INDEX('Input Data'!$B:$B,A494)/2+IF(A494&lt;&gt;A495,100,0)</f>
        <v>1.5625</v>
      </c>
      <c r="D494" s="33">
        <f>INDEX('ZCB Curve - Payment Dates'!$D$2:$D$246,MATCH(B494,'ZCB Curve - Payment Dates'!$A$2:$A$246,0))</f>
        <v>0.96003246313192503</v>
      </c>
      <c r="E494" s="32">
        <f t="shared" si="7"/>
        <v>1.5000507236436329</v>
      </c>
    </row>
    <row r="495" spans="1:5" x14ac:dyDescent="0.25">
      <c r="A495" s="17">
        <v>150</v>
      </c>
      <c r="B495" s="31">
        <v>46812</v>
      </c>
      <c r="C495" s="32">
        <f>INDEX('Input Data'!$B:$B,A495)/2+IF(A495&lt;&gt;A496,100,0)</f>
        <v>1.5625</v>
      </c>
      <c r="D495" s="33">
        <f>INDEX('ZCB Curve - Payment Dates'!$D$2:$D$246,MATCH(B495,'ZCB Curve - Payment Dates'!$A$2:$A$246,0))</f>
        <v>0.938856338180596</v>
      </c>
      <c r="E495" s="32">
        <f t="shared" si="7"/>
        <v>1.4669630284071813</v>
      </c>
    </row>
    <row r="496" spans="1:5" x14ac:dyDescent="0.25">
      <c r="A496" s="17">
        <v>150</v>
      </c>
      <c r="B496" s="31">
        <v>46996</v>
      </c>
      <c r="C496" s="32">
        <f>INDEX('Input Data'!$B:$B,A496)/2+IF(A496&lt;&gt;A497,100,0)</f>
        <v>1.5625</v>
      </c>
      <c r="D496" s="33">
        <f>INDEX('ZCB Curve - Payment Dates'!$D$2:$D$246,MATCH(B496,'ZCB Curve - Payment Dates'!$A$2:$A$246,0))</f>
        <v>0.91746393725908559</v>
      </c>
      <c r="E496" s="32">
        <f t="shared" si="7"/>
        <v>1.4335374019673213</v>
      </c>
    </row>
    <row r="497" spans="1:5" x14ac:dyDescent="0.25">
      <c r="A497" s="17">
        <v>150</v>
      </c>
      <c r="B497" s="31">
        <v>47177</v>
      </c>
      <c r="C497" s="32">
        <f>INDEX('Input Data'!$B:$B,A497)/2+IF(A497&lt;&gt;A498,100,0)</f>
        <v>1.5625</v>
      </c>
      <c r="D497" s="33">
        <f>INDEX('ZCB Curve - Payment Dates'!$D$2:$D$246,MATCH(B497,'ZCB Curve - Payment Dates'!$A$2:$A$246,0))</f>
        <v>0.89669591867999909</v>
      </c>
      <c r="E497" s="32">
        <f t="shared" si="7"/>
        <v>1.4010873729374986</v>
      </c>
    </row>
    <row r="498" spans="1:5" x14ac:dyDescent="0.25">
      <c r="A498" s="17">
        <v>150</v>
      </c>
      <c r="B498" s="31">
        <v>47361</v>
      </c>
      <c r="C498" s="32">
        <f>INDEX('Input Data'!$B:$B,A498)/2+IF(A498&lt;&gt;A499,100,0)</f>
        <v>101.5625</v>
      </c>
      <c r="D498" s="33">
        <f>INDEX('ZCB Curve - Payment Dates'!$D$2:$D$246,MATCH(B498,'ZCB Curve - Payment Dates'!$A$2:$A$246,0))</f>
        <v>0.87600023126237014</v>
      </c>
      <c r="E498" s="32">
        <f t="shared" si="7"/>
        <v>88.968773487584471</v>
      </c>
    </row>
    <row r="499" spans="1:5" x14ac:dyDescent="0.25">
      <c r="A499" s="17">
        <v>151</v>
      </c>
      <c r="B499" s="31">
        <v>46446</v>
      </c>
      <c r="C499" s="32">
        <f>INDEX('Input Data'!$B:$B,A499)/2+IF(A499&lt;&gt;A500,100,0)</f>
        <v>1.8125</v>
      </c>
      <c r="D499" s="33">
        <f>INDEX('ZCB Curve - Payment Dates'!$D$2:$D$246,MATCH(B499,'ZCB Curve - Payment Dates'!$A$2:$A$246,0))</f>
        <v>0.98098215746395478</v>
      </c>
      <c r="E499" s="32">
        <f t="shared" si="7"/>
        <v>1.7780301604034181</v>
      </c>
    </row>
    <row r="500" spans="1:5" x14ac:dyDescent="0.25">
      <c r="A500" s="17">
        <v>151</v>
      </c>
      <c r="B500" s="31">
        <v>46630</v>
      </c>
      <c r="C500" s="32">
        <f>INDEX('Input Data'!$B:$B,A500)/2+IF(A500&lt;&gt;A501,100,0)</f>
        <v>1.8125</v>
      </c>
      <c r="D500" s="33">
        <f>INDEX('ZCB Curve - Payment Dates'!$D$2:$D$246,MATCH(B500,'ZCB Curve - Payment Dates'!$A$2:$A$246,0))</f>
        <v>0.96003246313192503</v>
      </c>
      <c r="E500" s="32">
        <f t="shared" si="7"/>
        <v>1.7400588394266141</v>
      </c>
    </row>
    <row r="501" spans="1:5" x14ac:dyDescent="0.25">
      <c r="A501" s="17">
        <v>151</v>
      </c>
      <c r="B501" s="31">
        <v>46812</v>
      </c>
      <c r="C501" s="32">
        <f>INDEX('Input Data'!$B:$B,A501)/2+IF(A501&lt;&gt;A502,100,0)</f>
        <v>1.8125</v>
      </c>
      <c r="D501" s="33">
        <f>INDEX('ZCB Curve - Payment Dates'!$D$2:$D$246,MATCH(B501,'ZCB Curve - Payment Dates'!$A$2:$A$246,0))</f>
        <v>0.938856338180596</v>
      </c>
      <c r="E501" s="32">
        <f t="shared" si="7"/>
        <v>1.7016771129523303</v>
      </c>
    </row>
    <row r="502" spans="1:5" x14ac:dyDescent="0.25">
      <c r="A502" s="17">
        <v>151</v>
      </c>
      <c r="B502" s="31">
        <v>46996</v>
      </c>
      <c r="C502" s="32">
        <f>INDEX('Input Data'!$B:$B,A502)/2+IF(A502&lt;&gt;A503,100,0)</f>
        <v>1.8125</v>
      </c>
      <c r="D502" s="33">
        <f>INDEX('ZCB Curve - Payment Dates'!$D$2:$D$246,MATCH(B502,'ZCB Curve - Payment Dates'!$A$2:$A$246,0))</f>
        <v>0.91746393725908559</v>
      </c>
      <c r="E502" s="32">
        <f t="shared" si="7"/>
        <v>1.6629033862820926</v>
      </c>
    </row>
    <row r="503" spans="1:5" x14ac:dyDescent="0.25">
      <c r="A503" s="17">
        <v>151</v>
      </c>
      <c r="B503" s="31">
        <v>47177</v>
      </c>
      <c r="C503" s="32">
        <f>INDEX('Input Data'!$B:$B,A503)/2+IF(A503&lt;&gt;A504,100,0)</f>
        <v>1.8125</v>
      </c>
      <c r="D503" s="33">
        <f>INDEX('ZCB Curve - Payment Dates'!$D$2:$D$246,MATCH(B503,'ZCB Curve - Payment Dates'!$A$2:$A$246,0))</f>
        <v>0.89669591867999909</v>
      </c>
      <c r="E503" s="32">
        <f t="shared" si="7"/>
        <v>1.6252613526074984</v>
      </c>
    </row>
    <row r="504" spans="1:5" x14ac:dyDescent="0.25">
      <c r="A504" s="17">
        <v>151</v>
      </c>
      <c r="B504" s="31">
        <v>47361</v>
      </c>
      <c r="C504" s="32">
        <f>INDEX('Input Data'!$B:$B,A504)/2+IF(A504&lt;&gt;A505,100,0)</f>
        <v>101.8125</v>
      </c>
      <c r="D504" s="33">
        <f>INDEX('ZCB Curve - Payment Dates'!$D$2:$D$246,MATCH(B504,'ZCB Curve - Payment Dates'!$A$2:$A$246,0))</f>
        <v>0.87600023126237014</v>
      </c>
      <c r="E504" s="32">
        <f t="shared" si="7"/>
        <v>89.187773545400063</v>
      </c>
    </row>
    <row r="505" spans="1:5" x14ac:dyDescent="0.25">
      <c r="A505" s="17">
        <v>152</v>
      </c>
      <c r="B505" s="31">
        <v>46295</v>
      </c>
      <c r="C505" s="32">
        <f>INDEX('Input Data'!$B:$B,A505)/2+IF(A505&lt;&gt;A506,100,0)</f>
        <v>1.75</v>
      </c>
      <c r="D505" s="33">
        <f>INDEX('ZCB Curve - Payment Dates'!$D$2:$D$246,MATCH(B505,'ZCB Curve - Payment Dates'!$A$2:$A$246,0))</f>
        <v>0.9973127951237063</v>
      </c>
      <c r="E505" s="32">
        <f t="shared" si="7"/>
        <v>1.745297391466486</v>
      </c>
    </row>
    <row r="506" spans="1:5" x14ac:dyDescent="0.25">
      <c r="A506" s="17">
        <v>152</v>
      </c>
      <c r="B506" s="31">
        <v>46477</v>
      </c>
      <c r="C506" s="32">
        <f>INDEX('Input Data'!$B:$B,A506)/2+IF(A506&lt;&gt;A507,100,0)</f>
        <v>1.75</v>
      </c>
      <c r="D506" s="33">
        <f>INDEX('ZCB Curve - Payment Dates'!$D$2:$D$246,MATCH(B506,'ZCB Curve - Payment Dates'!$A$2:$A$246,0))</f>
        <v>0.97750981974188245</v>
      </c>
      <c r="E506" s="32">
        <f t="shared" si="7"/>
        <v>1.7106421845482942</v>
      </c>
    </row>
    <row r="507" spans="1:5" x14ac:dyDescent="0.25">
      <c r="A507" s="17">
        <v>152</v>
      </c>
      <c r="B507" s="31">
        <v>46660</v>
      </c>
      <c r="C507" s="32">
        <f>INDEX('Input Data'!$B:$B,A507)/2+IF(A507&lt;&gt;A508,100,0)</f>
        <v>1.75</v>
      </c>
      <c r="D507" s="33">
        <f>INDEX('ZCB Curve - Payment Dates'!$D$2:$D$246,MATCH(B507,'ZCB Curve - Payment Dates'!$A$2:$A$246,0))</f>
        <v>0.95655761994841249</v>
      </c>
      <c r="E507" s="32">
        <f t="shared" si="7"/>
        <v>1.6739758349097218</v>
      </c>
    </row>
    <row r="508" spans="1:5" x14ac:dyDescent="0.25">
      <c r="A508" s="17">
        <v>152</v>
      </c>
      <c r="B508" s="31">
        <v>46843</v>
      </c>
      <c r="C508" s="32">
        <f>INDEX('Input Data'!$B:$B,A508)/2+IF(A508&lt;&gt;A509,100,0)</f>
        <v>1.75</v>
      </c>
      <c r="D508" s="33">
        <f>INDEX('ZCB Curve - Payment Dates'!$D$2:$D$246,MATCH(B508,'ZCB Curve - Payment Dates'!$A$2:$A$246,0))</f>
        <v>0.93524308702159842</v>
      </c>
      <c r="E508" s="32">
        <f t="shared" si="7"/>
        <v>1.6366754022877972</v>
      </c>
    </row>
    <row r="509" spans="1:5" x14ac:dyDescent="0.25">
      <c r="A509" s="17">
        <v>152</v>
      </c>
      <c r="B509" s="31">
        <v>47026</v>
      </c>
      <c r="C509" s="32">
        <f>INDEX('Input Data'!$B:$B,A509)/2+IF(A509&lt;&gt;A510,100,0)</f>
        <v>1.75</v>
      </c>
      <c r="D509" s="33">
        <f>INDEX('ZCB Curve - Payment Dates'!$D$2:$D$246,MATCH(B509,'ZCB Curve - Payment Dates'!$A$2:$A$246,0))</f>
        <v>0.91399761223542642</v>
      </c>
      <c r="E509" s="32">
        <f t="shared" si="7"/>
        <v>1.5994958214119963</v>
      </c>
    </row>
    <row r="510" spans="1:5" x14ac:dyDescent="0.25">
      <c r="A510" s="17">
        <v>152</v>
      </c>
      <c r="B510" s="31">
        <v>47208</v>
      </c>
      <c r="C510" s="32">
        <f>INDEX('Input Data'!$B:$B,A510)/2+IF(A510&lt;&gt;A511,100,0)</f>
        <v>1.75</v>
      </c>
      <c r="D510" s="33">
        <f>INDEX('ZCB Curve - Payment Dates'!$D$2:$D$246,MATCH(B510,'ZCB Curve - Payment Dates'!$A$2:$A$246,0))</f>
        <v>0.89317885092878757</v>
      </c>
      <c r="E510" s="32">
        <f t="shared" si="7"/>
        <v>1.5630629891253782</v>
      </c>
    </row>
    <row r="511" spans="1:5" x14ac:dyDescent="0.25">
      <c r="A511" s="17">
        <v>152</v>
      </c>
      <c r="B511" s="31">
        <v>47391</v>
      </c>
      <c r="C511" s="32">
        <f>INDEX('Input Data'!$B:$B,A511)/2+IF(A511&lt;&gt;A512,100,0)</f>
        <v>101.75</v>
      </c>
      <c r="D511" s="33">
        <f>INDEX('ZCB Curve - Payment Dates'!$D$2:$D$246,MATCH(B511,'ZCB Curve - Payment Dates'!$A$2:$A$246,0))</f>
        <v>0.87266944281946834</v>
      </c>
      <c r="E511" s="32">
        <f t="shared" si="7"/>
        <v>88.79411580688091</v>
      </c>
    </row>
    <row r="512" spans="1:5" x14ac:dyDescent="0.25">
      <c r="A512" s="17">
        <v>153</v>
      </c>
      <c r="B512" s="31">
        <v>46295</v>
      </c>
      <c r="C512" s="32">
        <f>INDEX('Input Data'!$B:$B,A512)/2+IF(A512&lt;&gt;A513,100,0)</f>
        <v>1.9375</v>
      </c>
      <c r="D512" s="33">
        <f>INDEX('ZCB Curve - Payment Dates'!$D$2:$D$246,MATCH(B512,'ZCB Curve - Payment Dates'!$A$2:$A$246,0))</f>
        <v>0.9973127951237063</v>
      </c>
      <c r="E512" s="32">
        <f t="shared" si="7"/>
        <v>1.9322935405521811</v>
      </c>
    </row>
    <row r="513" spans="1:5" x14ac:dyDescent="0.25">
      <c r="A513" s="17">
        <v>153</v>
      </c>
      <c r="B513" s="31">
        <v>46477</v>
      </c>
      <c r="C513" s="32">
        <f>INDEX('Input Data'!$B:$B,A513)/2+IF(A513&lt;&gt;A514,100,0)</f>
        <v>1.9375</v>
      </c>
      <c r="D513" s="33">
        <f>INDEX('ZCB Curve - Payment Dates'!$D$2:$D$246,MATCH(B513,'ZCB Curve - Payment Dates'!$A$2:$A$246,0))</f>
        <v>0.97750981974188245</v>
      </c>
      <c r="E513" s="32">
        <f t="shared" si="7"/>
        <v>1.8939252757498972</v>
      </c>
    </row>
    <row r="514" spans="1:5" x14ac:dyDescent="0.25">
      <c r="A514" s="17">
        <v>153</v>
      </c>
      <c r="B514" s="31">
        <v>46660</v>
      </c>
      <c r="C514" s="32">
        <f>INDEX('Input Data'!$B:$B,A514)/2+IF(A514&lt;&gt;A515,100,0)</f>
        <v>1.9375</v>
      </c>
      <c r="D514" s="33">
        <f>INDEX('ZCB Curve - Payment Dates'!$D$2:$D$246,MATCH(B514,'ZCB Curve - Payment Dates'!$A$2:$A$246,0))</f>
        <v>0.95655761994841249</v>
      </c>
      <c r="E514" s="32">
        <f t="shared" ref="E514:E577" si="8">C514*D514</f>
        <v>1.8533303886500492</v>
      </c>
    </row>
    <row r="515" spans="1:5" x14ac:dyDescent="0.25">
      <c r="A515" s="17">
        <v>153</v>
      </c>
      <c r="B515" s="31">
        <v>46843</v>
      </c>
      <c r="C515" s="32">
        <f>INDEX('Input Data'!$B:$B,A515)/2+IF(A515&lt;&gt;A516,100,0)</f>
        <v>1.9375</v>
      </c>
      <c r="D515" s="33">
        <f>INDEX('ZCB Curve - Payment Dates'!$D$2:$D$246,MATCH(B515,'ZCB Curve - Payment Dates'!$A$2:$A$246,0))</f>
        <v>0.93524308702159842</v>
      </c>
      <c r="E515" s="32">
        <f t="shared" si="8"/>
        <v>1.812033481104347</v>
      </c>
    </row>
    <row r="516" spans="1:5" x14ac:dyDescent="0.25">
      <c r="A516" s="17">
        <v>153</v>
      </c>
      <c r="B516" s="31">
        <v>47026</v>
      </c>
      <c r="C516" s="32">
        <f>INDEX('Input Data'!$B:$B,A516)/2+IF(A516&lt;&gt;A517,100,0)</f>
        <v>1.9375</v>
      </c>
      <c r="D516" s="33">
        <f>INDEX('ZCB Curve - Payment Dates'!$D$2:$D$246,MATCH(B516,'ZCB Curve - Payment Dates'!$A$2:$A$246,0))</f>
        <v>0.91399761223542642</v>
      </c>
      <c r="E516" s="32">
        <f t="shared" si="8"/>
        <v>1.7708703737061386</v>
      </c>
    </row>
    <row r="517" spans="1:5" x14ac:dyDescent="0.25">
      <c r="A517" s="17">
        <v>153</v>
      </c>
      <c r="B517" s="31">
        <v>47208</v>
      </c>
      <c r="C517" s="32">
        <f>INDEX('Input Data'!$B:$B,A517)/2+IF(A517&lt;&gt;A518,100,0)</f>
        <v>1.9375</v>
      </c>
      <c r="D517" s="33">
        <f>INDEX('ZCB Curve - Payment Dates'!$D$2:$D$246,MATCH(B517,'ZCB Curve - Payment Dates'!$A$2:$A$246,0))</f>
        <v>0.89317885092878757</v>
      </c>
      <c r="E517" s="32">
        <f t="shared" si="8"/>
        <v>1.7305340236745259</v>
      </c>
    </row>
    <row r="518" spans="1:5" x14ac:dyDescent="0.25">
      <c r="A518" s="17">
        <v>153</v>
      </c>
      <c r="B518" s="31">
        <v>47391</v>
      </c>
      <c r="C518" s="32">
        <f>INDEX('Input Data'!$B:$B,A518)/2+IF(A518&lt;&gt;A519,100,0)</f>
        <v>101.9375</v>
      </c>
      <c r="D518" s="33">
        <f>INDEX('ZCB Curve - Payment Dates'!$D$2:$D$246,MATCH(B518,'ZCB Curve - Payment Dates'!$A$2:$A$246,0))</f>
        <v>0.87266944281946834</v>
      </c>
      <c r="E518" s="32">
        <f t="shared" si="8"/>
        <v>88.957741327409551</v>
      </c>
    </row>
    <row r="519" spans="1:5" x14ac:dyDescent="0.25">
      <c r="A519" s="17">
        <v>154</v>
      </c>
      <c r="B519" s="31">
        <v>46326</v>
      </c>
      <c r="C519" s="32">
        <f>INDEX('Input Data'!$B:$B,A519)/2+IF(A519&lt;&gt;A520,100,0)</f>
        <v>2</v>
      </c>
      <c r="D519" s="33">
        <f>INDEX('ZCB Curve - Payment Dates'!$D$2:$D$246,MATCH(B519,'ZCB Curve - Payment Dates'!$A$2:$A$246,0))</f>
        <v>0.99405055111674689</v>
      </c>
      <c r="E519" s="32">
        <f t="shared" si="8"/>
        <v>1.9881011022334938</v>
      </c>
    </row>
    <row r="520" spans="1:5" x14ac:dyDescent="0.25">
      <c r="A520" s="17">
        <v>154</v>
      </c>
      <c r="B520" s="31">
        <v>46507</v>
      </c>
      <c r="C520" s="32">
        <f>INDEX('Input Data'!$B:$B,A520)/2+IF(A520&lt;&gt;A521,100,0)</f>
        <v>2</v>
      </c>
      <c r="D520" s="33">
        <f>INDEX('ZCB Curve - Payment Dates'!$D$2:$D$246,MATCH(B520,'ZCB Curve - Payment Dates'!$A$2:$A$246,0))</f>
        <v>0.97412390690574091</v>
      </c>
      <c r="E520" s="32">
        <f t="shared" si="8"/>
        <v>1.9482478138114818</v>
      </c>
    </row>
    <row r="521" spans="1:5" x14ac:dyDescent="0.25">
      <c r="A521" s="17">
        <v>154</v>
      </c>
      <c r="B521" s="31">
        <v>46691</v>
      </c>
      <c r="C521" s="32">
        <f>INDEX('Input Data'!$B:$B,A521)/2+IF(A521&lt;&gt;A522,100,0)</f>
        <v>2</v>
      </c>
      <c r="D521" s="33">
        <f>INDEX('ZCB Curve - Payment Dates'!$D$2:$D$246,MATCH(B521,'ZCB Curve - Payment Dates'!$A$2:$A$246,0))</f>
        <v>0.95295491595466364</v>
      </c>
      <c r="E521" s="32">
        <f t="shared" si="8"/>
        <v>1.9059098319093273</v>
      </c>
    </row>
    <row r="522" spans="1:5" x14ac:dyDescent="0.25">
      <c r="A522" s="17">
        <v>154</v>
      </c>
      <c r="B522" s="31">
        <v>46873</v>
      </c>
      <c r="C522" s="32">
        <f>INDEX('Input Data'!$B:$B,A522)/2+IF(A522&lt;&gt;A523,100,0)</f>
        <v>2</v>
      </c>
      <c r="D522" s="33">
        <f>INDEX('ZCB Curve - Payment Dates'!$D$2:$D$246,MATCH(B522,'ZCB Curve - Payment Dates'!$A$2:$A$246,0))</f>
        <v>0.93174702042500246</v>
      </c>
      <c r="E522" s="32">
        <f t="shared" si="8"/>
        <v>1.8634940408500049</v>
      </c>
    </row>
    <row r="523" spans="1:5" x14ac:dyDescent="0.25">
      <c r="A523" s="17">
        <v>154</v>
      </c>
      <c r="B523" s="31">
        <v>47057</v>
      </c>
      <c r="C523" s="32">
        <f>INDEX('Input Data'!$B:$B,A523)/2+IF(A523&lt;&gt;A524,100,0)</f>
        <v>2</v>
      </c>
      <c r="D523" s="33">
        <f>INDEX('ZCB Curve - Payment Dates'!$D$2:$D$246,MATCH(B523,'ZCB Curve - Payment Dates'!$A$2:$A$246,0))</f>
        <v>0.91042649241905782</v>
      </c>
      <c r="E523" s="32">
        <f t="shared" si="8"/>
        <v>1.8208529848381156</v>
      </c>
    </row>
    <row r="524" spans="1:5" x14ac:dyDescent="0.25">
      <c r="A524" s="17">
        <v>154</v>
      </c>
      <c r="B524" s="31">
        <v>47238</v>
      </c>
      <c r="C524" s="32">
        <f>INDEX('Input Data'!$B:$B,A524)/2+IF(A524&lt;&gt;A525,100,0)</f>
        <v>2</v>
      </c>
      <c r="D524" s="33">
        <f>INDEX('ZCB Curve - Payment Dates'!$D$2:$D$246,MATCH(B524,'ZCB Curve - Payment Dates'!$A$2:$A$246,0))</f>
        <v>0.88978547878922043</v>
      </c>
      <c r="E524" s="32">
        <f t="shared" si="8"/>
        <v>1.7795709575784409</v>
      </c>
    </row>
    <row r="525" spans="1:5" x14ac:dyDescent="0.25">
      <c r="A525" s="17">
        <v>154</v>
      </c>
      <c r="B525" s="31">
        <v>47422</v>
      </c>
      <c r="C525" s="32">
        <f>INDEX('Input Data'!$B:$B,A525)/2+IF(A525&lt;&gt;A526,100,0)</f>
        <v>102</v>
      </c>
      <c r="D525" s="33">
        <f>INDEX('ZCB Curve - Payment Dates'!$D$2:$D$246,MATCH(B525,'ZCB Curve - Payment Dates'!$A$2:$A$246,0))</f>
        <v>0.86924243542459101</v>
      </c>
      <c r="E525" s="32">
        <f t="shared" si="8"/>
        <v>88.662728413308287</v>
      </c>
    </row>
    <row r="526" spans="1:5" x14ac:dyDescent="0.25">
      <c r="A526" s="17">
        <v>155</v>
      </c>
      <c r="B526" s="31">
        <v>46326</v>
      </c>
      <c r="C526" s="32">
        <f>INDEX('Input Data'!$B:$B,A526)/2+IF(A526&lt;&gt;A527,100,0)</f>
        <v>2.0625</v>
      </c>
      <c r="D526" s="33">
        <f>INDEX('ZCB Curve - Payment Dates'!$D$2:$D$246,MATCH(B526,'ZCB Curve - Payment Dates'!$A$2:$A$246,0))</f>
        <v>0.99405055111674689</v>
      </c>
      <c r="E526" s="32">
        <f t="shared" si="8"/>
        <v>2.0502292616782904</v>
      </c>
    </row>
    <row r="527" spans="1:5" x14ac:dyDescent="0.25">
      <c r="A527" s="17">
        <v>155</v>
      </c>
      <c r="B527" s="31">
        <v>46507</v>
      </c>
      <c r="C527" s="32">
        <f>INDEX('Input Data'!$B:$B,A527)/2+IF(A527&lt;&gt;A528,100,0)</f>
        <v>2.0625</v>
      </c>
      <c r="D527" s="33">
        <f>INDEX('ZCB Curve - Payment Dates'!$D$2:$D$246,MATCH(B527,'ZCB Curve - Payment Dates'!$A$2:$A$246,0))</f>
        <v>0.97412390690574091</v>
      </c>
      <c r="E527" s="32">
        <f t="shared" si="8"/>
        <v>2.0091305579930907</v>
      </c>
    </row>
    <row r="528" spans="1:5" x14ac:dyDescent="0.25">
      <c r="A528" s="17">
        <v>155</v>
      </c>
      <c r="B528" s="31">
        <v>46691</v>
      </c>
      <c r="C528" s="32">
        <f>INDEX('Input Data'!$B:$B,A528)/2+IF(A528&lt;&gt;A529,100,0)</f>
        <v>2.0625</v>
      </c>
      <c r="D528" s="33">
        <f>INDEX('ZCB Curve - Payment Dates'!$D$2:$D$246,MATCH(B528,'ZCB Curve - Payment Dates'!$A$2:$A$246,0))</f>
        <v>0.95295491595466364</v>
      </c>
      <c r="E528" s="32">
        <f t="shared" si="8"/>
        <v>1.9654695141564937</v>
      </c>
    </row>
    <row r="529" spans="1:5" x14ac:dyDescent="0.25">
      <c r="A529" s="17">
        <v>155</v>
      </c>
      <c r="B529" s="31">
        <v>46873</v>
      </c>
      <c r="C529" s="32">
        <f>INDEX('Input Data'!$B:$B,A529)/2+IF(A529&lt;&gt;A530,100,0)</f>
        <v>2.0625</v>
      </c>
      <c r="D529" s="33">
        <f>INDEX('ZCB Curve - Payment Dates'!$D$2:$D$246,MATCH(B529,'ZCB Curve - Payment Dates'!$A$2:$A$246,0))</f>
        <v>0.93174702042500246</v>
      </c>
      <c r="E529" s="32">
        <f t="shared" si="8"/>
        <v>1.9217282296265676</v>
      </c>
    </row>
    <row r="530" spans="1:5" x14ac:dyDescent="0.25">
      <c r="A530" s="17">
        <v>155</v>
      </c>
      <c r="B530" s="31">
        <v>47057</v>
      </c>
      <c r="C530" s="32">
        <f>INDEX('Input Data'!$B:$B,A530)/2+IF(A530&lt;&gt;A531,100,0)</f>
        <v>2.0625</v>
      </c>
      <c r="D530" s="33">
        <f>INDEX('ZCB Curve - Payment Dates'!$D$2:$D$246,MATCH(B530,'ZCB Curve - Payment Dates'!$A$2:$A$246,0))</f>
        <v>0.91042649241905782</v>
      </c>
      <c r="E530" s="32">
        <f t="shared" si="8"/>
        <v>1.8777546406143069</v>
      </c>
    </row>
    <row r="531" spans="1:5" x14ac:dyDescent="0.25">
      <c r="A531" s="17">
        <v>155</v>
      </c>
      <c r="B531" s="31">
        <v>47238</v>
      </c>
      <c r="C531" s="32">
        <f>INDEX('Input Data'!$B:$B,A531)/2+IF(A531&lt;&gt;A532,100,0)</f>
        <v>2.0625</v>
      </c>
      <c r="D531" s="33">
        <f>INDEX('ZCB Curve - Payment Dates'!$D$2:$D$246,MATCH(B531,'ZCB Curve - Payment Dates'!$A$2:$A$246,0))</f>
        <v>0.88978547878922043</v>
      </c>
      <c r="E531" s="32">
        <f t="shared" si="8"/>
        <v>1.8351825500027672</v>
      </c>
    </row>
    <row r="532" spans="1:5" x14ac:dyDescent="0.25">
      <c r="A532" s="17">
        <v>155</v>
      </c>
      <c r="B532" s="31">
        <v>47422</v>
      </c>
      <c r="C532" s="32">
        <f>INDEX('Input Data'!$B:$B,A532)/2+IF(A532&lt;&gt;A533,100,0)</f>
        <v>102.0625</v>
      </c>
      <c r="D532" s="33">
        <f>INDEX('ZCB Curve - Payment Dates'!$D$2:$D$246,MATCH(B532,'ZCB Curve - Payment Dates'!$A$2:$A$246,0))</f>
        <v>0.86924243542459101</v>
      </c>
      <c r="E532" s="32">
        <f t="shared" si="8"/>
        <v>88.717056065522314</v>
      </c>
    </row>
    <row r="533" spans="1:5" x14ac:dyDescent="0.25">
      <c r="A533" s="17">
        <v>156</v>
      </c>
      <c r="B533" s="31">
        <v>46341</v>
      </c>
      <c r="C533" s="32">
        <f>INDEX('Input Data'!$B:$B,A533)/2+IF(A533&lt;&gt;A534,100,0)</f>
        <v>0.875</v>
      </c>
      <c r="D533" s="33">
        <f>INDEX('ZCB Curve - Payment Dates'!$D$2:$D$246,MATCH(B533,'ZCB Curve - Payment Dates'!$A$2:$A$246,0))</f>
        <v>0.99245367292309439</v>
      </c>
      <c r="E533" s="32">
        <f t="shared" si="8"/>
        <v>0.86839696380770759</v>
      </c>
    </row>
    <row r="534" spans="1:5" x14ac:dyDescent="0.25">
      <c r="A534" s="17">
        <v>156</v>
      </c>
      <c r="B534" s="31">
        <v>46522</v>
      </c>
      <c r="C534" s="32">
        <f>INDEX('Input Data'!$B:$B,A534)/2+IF(A534&lt;&gt;A535,100,0)</f>
        <v>0.875</v>
      </c>
      <c r="D534" s="33">
        <f>INDEX('ZCB Curve - Payment Dates'!$D$2:$D$246,MATCH(B534,'ZCB Curve - Payment Dates'!$A$2:$A$246,0))</f>
        <v>0.97242179559611874</v>
      </c>
      <c r="E534" s="32">
        <f t="shared" si="8"/>
        <v>0.85086907114660393</v>
      </c>
    </row>
    <row r="535" spans="1:5" x14ac:dyDescent="0.25">
      <c r="A535" s="17">
        <v>156</v>
      </c>
      <c r="B535" s="31">
        <v>46706</v>
      </c>
      <c r="C535" s="32">
        <f>INDEX('Input Data'!$B:$B,A535)/2+IF(A535&lt;&gt;A536,100,0)</f>
        <v>0.875</v>
      </c>
      <c r="D535" s="33">
        <f>INDEX('ZCB Curve - Payment Dates'!$D$2:$D$246,MATCH(B535,'ZCB Curve - Payment Dates'!$A$2:$A$246,0))</f>
        <v>0.95121018311627348</v>
      </c>
      <c r="E535" s="32">
        <f t="shared" si="8"/>
        <v>0.83230891022673925</v>
      </c>
    </row>
    <row r="536" spans="1:5" x14ac:dyDescent="0.25">
      <c r="A536" s="17">
        <v>156</v>
      </c>
      <c r="B536" s="31">
        <v>46888</v>
      </c>
      <c r="C536" s="32">
        <f>INDEX('Input Data'!$B:$B,A536)/2+IF(A536&lt;&gt;A537,100,0)</f>
        <v>0.875</v>
      </c>
      <c r="D536" s="33">
        <f>INDEX('ZCB Curve - Payment Dates'!$D$2:$D$246,MATCH(B536,'ZCB Curve - Payment Dates'!$A$2:$A$246,0))</f>
        <v>0.93000025435083566</v>
      </c>
      <c r="E536" s="32">
        <f t="shared" si="8"/>
        <v>0.81375022255698126</v>
      </c>
    </row>
    <row r="537" spans="1:5" x14ac:dyDescent="0.25">
      <c r="A537" s="17">
        <v>156</v>
      </c>
      <c r="B537" s="31">
        <v>47072</v>
      </c>
      <c r="C537" s="32">
        <f>INDEX('Input Data'!$B:$B,A537)/2+IF(A537&lt;&gt;A538,100,0)</f>
        <v>0.875</v>
      </c>
      <c r="D537" s="33">
        <f>INDEX('ZCB Curve - Payment Dates'!$D$2:$D$246,MATCH(B537,'ZCB Curve - Payment Dates'!$A$2:$A$246,0))</f>
        <v>0.90870125167038918</v>
      </c>
      <c r="E537" s="32">
        <f t="shared" si="8"/>
        <v>0.79511359521159053</v>
      </c>
    </row>
    <row r="538" spans="1:5" x14ac:dyDescent="0.25">
      <c r="A538" s="17">
        <v>156</v>
      </c>
      <c r="B538" s="31">
        <v>47253</v>
      </c>
      <c r="C538" s="32">
        <f>INDEX('Input Data'!$B:$B,A538)/2+IF(A538&lt;&gt;A539,100,0)</f>
        <v>0.875</v>
      </c>
      <c r="D538" s="33">
        <f>INDEX('ZCB Curve - Payment Dates'!$D$2:$D$246,MATCH(B538,'ZCB Curve - Payment Dates'!$A$2:$A$246,0))</f>
        <v>0.88809325063638844</v>
      </c>
      <c r="E538" s="32">
        <f t="shared" si="8"/>
        <v>0.77708159430683987</v>
      </c>
    </row>
    <row r="539" spans="1:5" x14ac:dyDescent="0.25">
      <c r="A539" s="17">
        <v>156</v>
      </c>
      <c r="B539" s="31">
        <v>47437</v>
      </c>
      <c r="C539" s="32">
        <f>INDEX('Input Data'!$B:$B,A539)/2+IF(A539&lt;&gt;A540,100,0)</f>
        <v>100.875</v>
      </c>
      <c r="D539" s="33">
        <f>INDEX('ZCB Curve - Payment Dates'!$D$2:$D$246,MATCH(B539,'ZCB Curve - Payment Dates'!$A$2:$A$246,0))</f>
        <v>0.86758824089536279</v>
      </c>
      <c r="E539" s="32">
        <f t="shared" si="8"/>
        <v>87.51796380031972</v>
      </c>
    </row>
    <row r="540" spans="1:5" x14ac:dyDescent="0.25">
      <c r="A540" s="17">
        <v>157</v>
      </c>
      <c r="B540" s="31">
        <v>46356</v>
      </c>
      <c r="C540" s="32">
        <f>INDEX('Input Data'!$B:$B,A540)/2+IF(A540&lt;&gt;A541,100,0)</f>
        <v>1.9375</v>
      </c>
      <c r="D540" s="33">
        <f>INDEX('ZCB Curve - Payment Dates'!$D$2:$D$246,MATCH(B540,'ZCB Curve - Payment Dates'!$A$2:$A$246,0))</f>
        <v>0.99084497326382592</v>
      </c>
      <c r="E540" s="32">
        <f t="shared" si="8"/>
        <v>1.9197621356986627</v>
      </c>
    </row>
    <row r="541" spans="1:5" x14ac:dyDescent="0.25">
      <c r="A541" s="17">
        <v>157</v>
      </c>
      <c r="B541" s="31">
        <v>46538</v>
      </c>
      <c r="C541" s="32">
        <f>INDEX('Input Data'!$B:$B,A541)/2+IF(A541&lt;&gt;A542,100,0)</f>
        <v>1.9375</v>
      </c>
      <c r="D541" s="33">
        <f>INDEX('ZCB Curve - Payment Dates'!$D$2:$D$246,MATCH(B541,'ZCB Curve - Payment Dates'!$A$2:$A$246,0))</f>
        <v>0.97060179184855555</v>
      </c>
      <c r="E541" s="32">
        <f t="shared" si="8"/>
        <v>1.8805409717065764</v>
      </c>
    </row>
    <row r="542" spans="1:5" x14ac:dyDescent="0.25">
      <c r="A542" s="17">
        <v>157</v>
      </c>
      <c r="B542" s="31">
        <v>46721</v>
      </c>
      <c r="C542" s="32">
        <f>INDEX('Input Data'!$B:$B,A542)/2+IF(A542&lt;&gt;A543,100,0)</f>
        <v>1.9375</v>
      </c>
      <c r="D542" s="33">
        <f>INDEX('ZCB Curve - Payment Dates'!$D$2:$D$246,MATCH(B542,'ZCB Curve - Payment Dates'!$A$2:$A$246,0))</f>
        <v>0.94946404326393219</v>
      </c>
      <c r="E542" s="32">
        <f t="shared" si="8"/>
        <v>1.8395865838238685</v>
      </c>
    </row>
    <row r="543" spans="1:5" x14ac:dyDescent="0.25">
      <c r="A543" s="17">
        <v>157</v>
      </c>
      <c r="B543" s="31">
        <v>46904</v>
      </c>
      <c r="C543" s="32">
        <f>INDEX('Input Data'!$B:$B,A543)/2+IF(A543&lt;&gt;A544,100,0)</f>
        <v>1.9375</v>
      </c>
      <c r="D543" s="33">
        <f>INDEX('ZCB Curve - Payment Dates'!$D$2:$D$246,MATCH(B543,'ZCB Curve - Payment Dates'!$A$2:$A$246,0))</f>
        <v>0.92813990099508414</v>
      </c>
      <c r="E543" s="32">
        <f t="shared" si="8"/>
        <v>1.7982710581779755</v>
      </c>
    </row>
    <row r="544" spans="1:5" x14ac:dyDescent="0.25">
      <c r="A544" s="17">
        <v>157</v>
      </c>
      <c r="B544" s="31">
        <v>47087</v>
      </c>
      <c r="C544" s="32">
        <f>INDEX('Input Data'!$B:$B,A544)/2+IF(A544&lt;&gt;A545,100,0)</f>
        <v>1.9375</v>
      </c>
      <c r="D544" s="33">
        <f>INDEX('ZCB Curve - Payment Dates'!$D$2:$D$246,MATCH(B544,'ZCB Curve - Payment Dates'!$A$2:$A$246,0))</f>
        <v>0.90697842456009181</v>
      </c>
      <c r="E544" s="32">
        <f t="shared" si="8"/>
        <v>1.757270697585178</v>
      </c>
    </row>
    <row r="545" spans="1:5" x14ac:dyDescent="0.25">
      <c r="A545" s="17">
        <v>157</v>
      </c>
      <c r="B545" s="31">
        <v>47269</v>
      </c>
      <c r="C545" s="32">
        <f>INDEX('Input Data'!$B:$B,A545)/2+IF(A545&lt;&gt;A546,100,0)</f>
        <v>1.9375</v>
      </c>
      <c r="D545" s="33">
        <f>INDEX('ZCB Curve - Payment Dates'!$D$2:$D$246,MATCH(B545,'ZCB Curve - Payment Dates'!$A$2:$A$246,0))</f>
        <v>0.88629316931415014</v>
      </c>
      <c r="E545" s="32">
        <f t="shared" si="8"/>
        <v>1.7171930155461659</v>
      </c>
    </row>
    <row r="546" spans="1:5" x14ac:dyDescent="0.25">
      <c r="A546" s="17">
        <v>157</v>
      </c>
      <c r="B546" s="31">
        <v>47452</v>
      </c>
      <c r="C546" s="32">
        <f>INDEX('Input Data'!$B:$B,A546)/2+IF(A546&lt;&gt;A547,100,0)</f>
        <v>101.9375</v>
      </c>
      <c r="D546" s="33">
        <f>INDEX('ZCB Curve - Payment Dates'!$D$2:$D$246,MATCH(B546,'ZCB Curve - Payment Dates'!$A$2:$A$246,0))</f>
        <v>0.86593718552386212</v>
      </c>
      <c r="E546" s="32">
        <f t="shared" si="8"/>
        <v>88.271471849338695</v>
      </c>
    </row>
    <row r="547" spans="1:5" x14ac:dyDescent="0.25">
      <c r="A547" s="17">
        <v>158</v>
      </c>
      <c r="B547" s="31">
        <v>46356</v>
      </c>
      <c r="C547" s="32">
        <f>INDEX('Input Data'!$B:$B,A547)/2+IF(A547&lt;&gt;A548,100,0)</f>
        <v>2.0625</v>
      </c>
      <c r="D547" s="33">
        <f>INDEX('ZCB Curve - Payment Dates'!$D$2:$D$246,MATCH(B547,'ZCB Curve - Payment Dates'!$A$2:$A$246,0))</f>
        <v>0.99084497326382592</v>
      </c>
      <c r="E547" s="32">
        <f t="shared" si="8"/>
        <v>2.0436177573566408</v>
      </c>
    </row>
    <row r="548" spans="1:5" x14ac:dyDescent="0.25">
      <c r="A548" s="17">
        <v>158</v>
      </c>
      <c r="B548" s="31">
        <v>46538</v>
      </c>
      <c r="C548" s="32">
        <f>INDEX('Input Data'!$B:$B,A548)/2+IF(A548&lt;&gt;A549,100,0)</f>
        <v>2.0625</v>
      </c>
      <c r="D548" s="33">
        <f>INDEX('ZCB Curve - Payment Dates'!$D$2:$D$246,MATCH(B548,'ZCB Curve - Payment Dates'!$A$2:$A$246,0))</f>
        <v>0.97060179184855555</v>
      </c>
      <c r="E548" s="32">
        <f t="shared" si="8"/>
        <v>2.0018661956876458</v>
      </c>
    </row>
    <row r="549" spans="1:5" x14ac:dyDescent="0.25">
      <c r="A549" s="17">
        <v>158</v>
      </c>
      <c r="B549" s="31">
        <v>46721</v>
      </c>
      <c r="C549" s="32">
        <f>INDEX('Input Data'!$B:$B,A549)/2+IF(A549&lt;&gt;A550,100,0)</f>
        <v>2.0625</v>
      </c>
      <c r="D549" s="33">
        <f>INDEX('ZCB Curve - Payment Dates'!$D$2:$D$246,MATCH(B549,'ZCB Curve - Payment Dates'!$A$2:$A$246,0))</f>
        <v>0.94946404326393219</v>
      </c>
      <c r="E549" s="32">
        <f t="shared" si="8"/>
        <v>1.9582695892318602</v>
      </c>
    </row>
    <row r="550" spans="1:5" x14ac:dyDescent="0.25">
      <c r="A550" s="17">
        <v>158</v>
      </c>
      <c r="B550" s="31">
        <v>46904</v>
      </c>
      <c r="C550" s="32">
        <f>INDEX('Input Data'!$B:$B,A550)/2+IF(A550&lt;&gt;A551,100,0)</f>
        <v>2.0625</v>
      </c>
      <c r="D550" s="33">
        <f>INDEX('ZCB Curve - Payment Dates'!$D$2:$D$246,MATCH(B550,'ZCB Curve - Payment Dates'!$A$2:$A$246,0))</f>
        <v>0.92813990099508414</v>
      </c>
      <c r="E550" s="32">
        <f t="shared" si="8"/>
        <v>1.9142885458023611</v>
      </c>
    </row>
    <row r="551" spans="1:5" x14ac:dyDescent="0.25">
      <c r="A551" s="17">
        <v>158</v>
      </c>
      <c r="B551" s="31">
        <v>47087</v>
      </c>
      <c r="C551" s="32">
        <f>INDEX('Input Data'!$B:$B,A551)/2+IF(A551&lt;&gt;A552,100,0)</f>
        <v>2.0625</v>
      </c>
      <c r="D551" s="33">
        <f>INDEX('ZCB Curve - Payment Dates'!$D$2:$D$246,MATCH(B551,'ZCB Curve - Payment Dates'!$A$2:$A$246,0))</f>
        <v>0.90697842456009181</v>
      </c>
      <c r="E551" s="32">
        <f t="shared" si="8"/>
        <v>1.8706430006551893</v>
      </c>
    </row>
    <row r="552" spans="1:5" x14ac:dyDescent="0.25">
      <c r="A552" s="17">
        <v>158</v>
      </c>
      <c r="B552" s="31">
        <v>47269</v>
      </c>
      <c r="C552" s="32">
        <f>INDEX('Input Data'!$B:$B,A552)/2+IF(A552&lt;&gt;A553,100,0)</f>
        <v>2.0625</v>
      </c>
      <c r="D552" s="33">
        <f>INDEX('ZCB Curve - Payment Dates'!$D$2:$D$246,MATCH(B552,'ZCB Curve - Payment Dates'!$A$2:$A$246,0))</f>
        <v>0.88629316931415014</v>
      </c>
      <c r="E552" s="32">
        <f t="shared" si="8"/>
        <v>1.8279796617104347</v>
      </c>
    </row>
    <row r="553" spans="1:5" x14ac:dyDescent="0.25">
      <c r="A553" s="17">
        <v>158</v>
      </c>
      <c r="B553" s="31">
        <v>47452</v>
      </c>
      <c r="C553" s="32">
        <f>INDEX('Input Data'!$B:$B,A553)/2+IF(A553&lt;&gt;A554,100,0)</f>
        <v>102.0625</v>
      </c>
      <c r="D553" s="33">
        <f>INDEX('ZCB Curve - Payment Dates'!$D$2:$D$246,MATCH(B553,'ZCB Curve - Payment Dates'!$A$2:$A$246,0))</f>
        <v>0.86593718552386212</v>
      </c>
      <c r="E553" s="32">
        <f t="shared" si="8"/>
        <v>88.37971399752918</v>
      </c>
    </row>
    <row r="554" spans="1:5" x14ac:dyDescent="0.25">
      <c r="A554" s="17">
        <v>159</v>
      </c>
      <c r="B554" s="31">
        <v>46387</v>
      </c>
      <c r="C554" s="32">
        <f>INDEX('Input Data'!$B:$B,A554)/2+IF(A554&lt;&gt;A555,100,0)</f>
        <v>1.9375</v>
      </c>
      <c r="D554" s="33">
        <f>INDEX('ZCB Curve - Payment Dates'!$D$2:$D$246,MATCH(B554,'ZCB Curve - Payment Dates'!$A$2:$A$246,0))</f>
        <v>0.987487116303851</v>
      </c>
      <c r="E554" s="32">
        <f t="shared" si="8"/>
        <v>1.9132562878387114</v>
      </c>
    </row>
    <row r="555" spans="1:5" x14ac:dyDescent="0.25">
      <c r="A555" s="17">
        <v>159</v>
      </c>
      <c r="B555" s="31">
        <v>46568</v>
      </c>
      <c r="C555" s="32">
        <f>INDEX('Input Data'!$B:$B,A555)/2+IF(A555&lt;&gt;A556,100,0)</f>
        <v>1.9375</v>
      </c>
      <c r="D555" s="33">
        <f>INDEX('ZCB Curve - Payment Dates'!$D$2:$D$246,MATCH(B555,'ZCB Curve - Payment Dates'!$A$2:$A$246,0))</f>
        <v>0.96717094344557664</v>
      </c>
      <c r="E555" s="32">
        <f t="shared" si="8"/>
        <v>1.8738937029258047</v>
      </c>
    </row>
    <row r="556" spans="1:5" x14ac:dyDescent="0.25">
      <c r="A556" s="17">
        <v>159</v>
      </c>
      <c r="B556" s="31">
        <v>46752</v>
      </c>
      <c r="C556" s="32">
        <f>INDEX('Input Data'!$B:$B,A556)/2+IF(A556&lt;&gt;A557,100,0)</f>
        <v>1.9375</v>
      </c>
      <c r="D556" s="33">
        <f>INDEX('ZCB Curve - Payment Dates'!$D$2:$D$246,MATCH(B556,'ZCB Curve - Payment Dates'!$A$2:$A$246,0))</f>
        <v>0.94585368463190456</v>
      </c>
      <c r="E556" s="32">
        <f t="shared" si="8"/>
        <v>1.832591513974315</v>
      </c>
    </row>
    <row r="557" spans="1:5" x14ac:dyDescent="0.25">
      <c r="A557" s="17">
        <v>159</v>
      </c>
      <c r="B557" s="31">
        <v>46934</v>
      </c>
      <c r="C557" s="32">
        <f>INDEX('Input Data'!$B:$B,A557)/2+IF(A557&lt;&gt;A558,100,0)</f>
        <v>1.9375</v>
      </c>
      <c r="D557" s="33">
        <f>INDEX('ZCB Curve - Payment Dates'!$D$2:$D$246,MATCH(B557,'ZCB Curve - Payment Dates'!$A$2:$A$246,0))</f>
        <v>0.92465239860805604</v>
      </c>
      <c r="E557" s="32">
        <f t="shared" si="8"/>
        <v>1.7915140223031085</v>
      </c>
    </row>
    <row r="558" spans="1:5" x14ac:dyDescent="0.25">
      <c r="A558" s="17">
        <v>159</v>
      </c>
      <c r="B558" s="31">
        <v>47118</v>
      </c>
      <c r="C558" s="32">
        <f>INDEX('Input Data'!$B:$B,A558)/2+IF(A558&lt;&gt;A559,100,0)</f>
        <v>1.9375</v>
      </c>
      <c r="D558" s="33">
        <f>INDEX('ZCB Curve - Payment Dates'!$D$2:$D$246,MATCH(B558,'ZCB Curve - Payment Dates'!$A$2:$A$246,0))</f>
        <v>0.90342754291436123</v>
      </c>
      <c r="E558" s="32">
        <f t="shared" si="8"/>
        <v>1.7503908643965749</v>
      </c>
    </row>
    <row r="559" spans="1:5" x14ac:dyDescent="0.25">
      <c r="A559" s="17">
        <v>159</v>
      </c>
      <c r="B559" s="31">
        <v>47299</v>
      </c>
      <c r="C559" s="32">
        <f>INDEX('Input Data'!$B:$B,A559)/2+IF(A559&lt;&gt;A560,100,0)</f>
        <v>1.9375</v>
      </c>
      <c r="D559" s="33">
        <f>INDEX('ZCB Curve - Payment Dates'!$D$2:$D$246,MATCH(B559,'ZCB Curve - Payment Dates'!$A$2:$A$246,0))</f>
        <v>0.88292427004927643</v>
      </c>
      <c r="E559" s="32">
        <f t="shared" si="8"/>
        <v>1.7106657732204731</v>
      </c>
    </row>
    <row r="560" spans="1:5" x14ac:dyDescent="0.25">
      <c r="A560" s="17">
        <v>159</v>
      </c>
      <c r="B560" s="31">
        <v>47483</v>
      </c>
      <c r="C560" s="32">
        <f>INDEX('Input Data'!$B:$B,A560)/2+IF(A560&lt;&gt;A561,100,0)</f>
        <v>101.9375</v>
      </c>
      <c r="D560" s="33">
        <f>INDEX('ZCB Curve - Payment Dates'!$D$2:$D$246,MATCH(B560,'ZCB Curve - Payment Dates'!$A$2:$A$246,0))</f>
        <v>0.86253652987508767</v>
      </c>
      <c r="E560" s="32">
        <f t="shared" si="8"/>
        <v>87.924817514141751</v>
      </c>
    </row>
    <row r="561" spans="1:5" x14ac:dyDescent="0.25">
      <c r="A561" s="17">
        <v>160</v>
      </c>
      <c r="B561" s="31">
        <v>46387</v>
      </c>
      <c r="C561" s="32">
        <f>INDEX('Input Data'!$B:$B,A561)/2+IF(A561&lt;&gt;A562,100,0)</f>
        <v>2.1875</v>
      </c>
      <c r="D561" s="33">
        <f>INDEX('ZCB Curve - Payment Dates'!$D$2:$D$246,MATCH(B561,'ZCB Curve - Payment Dates'!$A$2:$A$246,0))</f>
        <v>0.987487116303851</v>
      </c>
      <c r="E561" s="32">
        <f t="shared" si="8"/>
        <v>2.1601280669146741</v>
      </c>
    </row>
    <row r="562" spans="1:5" x14ac:dyDescent="0.25">
      <c r="A562" s="17">
        <v>160</v>
      </c>
      <c r="B562" s="31">
        <v>46568</v>
      </c>
      <c r="C562" s="32">
        <f>INDEX('Input Data'!$B:$B,A562)/2+IF(A562&lt;&gt;A563,100,0)</f>
        <v>2.1875</v>
      </c>
      <c r="D562" s="33">
        <f>INDEX('ZCB Curve - Payment Dates'!$D$2:$D$246,MATCH(B562,'ZCB Curve - Payment Dates'!$A$2:$A$246,0))</f>
        <v>0.96717094344557664</v>
      </c>
      <c r="E562" s="32">
        <f t="shared" si="8"/>
        <v>2.1156864387871988</v>
      </c>
    </row>
    <row r="563" spans="1:5" x14ac:dyDescent="0.25">
      <c r="A563" s="17">
        <v>160</v>
      </c>
      <c r="B563" s="31">
        <v>46752</v>
      </c>
      <c r="C563" s="32">
        <f>INDEX('Input Data'!$B:$B,A563)/2+IF(A563&lt;&gt;A564,100,0)</f>
        <v>2.1875</v>
      </c>
      <c r="D563" s="33">
        <f>INDEX('ZCB Curve - Payment Dates'!$D$2:$D$246,MATCH(B563,'ZCB Curve - Payment Dates'!$A$2:$A$246,0))</f>
        <v>0.94585368463190456</v>
      </c>
      <c r="E563" s="32">
        <f t="shared" si="8"/>
        <v>2.0690549351322911</v>
      </c>
    </row>
    <row r="564" spans="1:5" x14ac:dyDescent="0.25">
      <c r="A564" s="17">
        <v>160</v>
      </c>
      <c r="B564" s="31">
        <v>46934</v>
      </c>
      <c r="C564" s="32">
        <f>INDEX('Input Data'!$B:$B,A564)/2+IF(A564&lt;&gt;A565,100,0)</f>
        <v>2.1875</v>
      </c>
      <c r="D564" s="33">
        <f>INDEX('ZCB Curve - Payment Dates'!$D$2:$D$246,MATCH(B564,'ZCB Curve - Payment Dates'!$A$2:$A$246,0))</f>
        <v>0.92465239860805604</v>
      </c>
      <c r="E564" s="32">
        <f t="shared" si="8"/>
        <v>2.0226771219551227</v>
      </c>
    </row>
    <row r="565" spans="1:5" x14ac:dyDescent="0.25">
      <c r="A565" s="17">
        <v>160</v>
      </c>
      <c r="B565" s="31">
        <v>47118</v>
      </c>
      <c r="C565" s="32">
        <f>INDEX('Input Data'!$B:$B,A565)/2+IF(A565&lt;&gt;A566,100,0)</f>
        <v>2.1875</v>
      </c>
      <c r="D565" s="33">
        <f>INDEX('ZCB Curve - Payment Dates'!$D$2:$D$246,MATCH(B565,'ZCB Curve - Payment Dates'!$A$2:$A$246,0))</f>
        <v>0.90342754291436123</v>
      </c>
      <c r="E565" s="32">
        <f t="shared" si="8"/>
        <v>1.9762477501251652</v>
      </c>
    </row>
    <row r="566" spans="1:5" x14ac:dyDescent="0.25">
      <c r="A566" s="17">
        <v>160</v>
      </c>
      <c r="B566" s="31">
        <v>47299</v>
      </c>
      <c r="C566" s="32">
        <f>INDEX('Input Data'!$B:$B,A566)/2+IF(A566&lt;&gt;A567,100,0)</f>
        <v>2.1875</v>
      </c>
      <c r="D566" s="33">
        <f>INDEX('ZCB Curve - Payment Dates'!$D$2:$D$246,MATCH(B566,'ZCB Curve - Payment Dates'!$A$2:$A$246,0))</f>
        <v>0.88292427004927643</v>
      </c>
      <c r="E566" s="32">
        <f t="shared" si="8"/>
        <v>1.9313968407327922</v>
      </c>
    </row>
    <row r="567" spans="1:5" x14ac:dyDescent="0.25">
      <c r="A567" s="17">
        <v>160</v>
      </c>
      <c r="B567" s="31">
        <v>47483</v>
      </c>
      <c r="C567" s="32">
        <f>INDEX('Input Data'!$B:$B,A567)/2+IF(A567&lt;&gt;A568,100,0)</f>
        <v>102.1875</v>
      </c>
      <c r="D567" s="33">
        <f>INDEX('ZCB Curve - Payment Dates'!$D$2:$D$246,MATCH(B567,'ZCB Curve - Payment Dates'!$A$2:$A$246,0))</f>
        <v>0.86253652987508767</v>
      </c>
      <c r="E567" s="32">
        <f t="shared" si="8"/>
        <v>88.140451646610515</v>
      </c>
    </row>
    <row r="568" spans="1:5" x14ac:dyDescent="0.25">
      <c r="A568" s="17">
        <v>161</v>
      </c>
      <c r="B568" s="31">
        <v>46418</v>
      </c>
      <c r="C568" s="32">
        <f>INDEX('Input Data'!$B:$B,A568)/2+IF(A568&lt;&gt;A569,100,0)</f>
        <v>1.75</v>
      </c>
      <c r="D568" s="33">
        <f>INDEX('ZCB Curve - Payment Dates'!$D$2:$D$246,MATCH(B568,'ZCB Curve - Payment Dates'!$A$2:$A$246,0))</f>
        <v>0.98408668818349121</v>
      </c>
      <c r="E568" s="32">
        <f t="shared" si="8"/>
        <v>1.7221517043211096</v>
      </c>
    </row>
    <row r="569" spans="1:5" x14ac:dyDescent="0.25">
      <c r="A569" s="17">
        <v>161</v>
      </c>
      <c r="B569" s="31">
        <v>46599</v>
      </c>
      <c r="C569" s="32">
        <f>INDEX('Input Data'!$B:$B,A569)/2+IF(A569&lt;&gt;A570,100,0)</f>
        <v>1.75</v>
      </c>
      <c r="D569" s="33">
        <f>INDEX('ZCB Curve - Payment Dates'!$D$2:$D$246,MATCH(B569,'ZCB Curve - Payment Dates'!$A$2:$A$246,0))</f>
        <v>0.96360931883583933</v>
      </c>
      <c r="E569" s="32">
        <f t="shared" si="8"/>
        <v>1.6863163079627188</v>
      </c>
    </row>
    <row r="570" spans="1:5" x14ac:dyDescent="0.25">
      <c r="A570" s="17">
        <v>161</v>
      </c>
      <c r="B570" s="31">
        <v>46783</v>
      </c>
      <c r="C570" s="32">
        <f>INDEX('Input Data'!$B:$B,A570)/2+IF(A570&lt;&gt;A571,100,0)</f>
        <v>1.75</v>
      </c>
      <c r="D570" s="33">
        <f>INDEX('ZCB Curve - Payment Dates'!$D$2:$D$246,MATCH(B570,'ZCB Curve - Payment Dates'!$A$2:$A$246,0))</f>
        <v>0.94224051785347052</v>
      </c>
      <c r="E570" s="32">
        <f t="shared" si="8"/>
        <v>1.6489209062435735</v>
      </c>
    </row>
    <row r="571" spans="1:5" x14ac:dyDescent="0.25">
      <c r="A571" s="17">
        <v>161</v>
      </c>
      <c r="B571" s="31">
        <v>46965</v>
      </c>
      <c r="C571" s="32">
        <f>INDEX('Input Data'!$B:$B,A571)/2+IF(A571&lt;&gt;A572,100,0)</f>
        <v>1.75</v>
      </c>
      <c r="D571" s="33">
        <f>INDEX('ZCB Curve - Payment Dates'!$D$2:$D$246,MATCH(B571,'ZCB Curve - Payment Dates'!$A$2:$A$246,0))</f>
        <v>0.92105657743562108</v>
      </c>
      <c r="E571" s="32">
        <f t="shared" si="8"/>
        <v>1.6118490105123369</v>
      </c>
    </row>
    <row r="572" spans="1:5" x14ac:dyDescent="0.25">
      <c r="A572" s="17">
        <v>161</v>
      </c>
      <c r="B572" s="31">
        <v>47149</v>
      </c>
      <c r="C572" s="32">
        <f>INDEX('Input Data'!$B:$B,A572)/2+IF(A572&lt;&gt;A573,100,0)</f>
        <v>1.75</v>
      </c>
      <c r="D572" s="33">
        <f>INDEX('ZCB Curve - Payment Dates'!$D$2:$D$246,MATCH(B572,'ZCB Curve - Payment Dates'!$A$2:$A$246,0))</f>
        <v>0.89988368588562773</v>
      </c>
      <c r="E572" s="32">
        <f t="shared" si="8"/>
        <v>1.5747964502998486</v>
      </c>
    </row>
    <row r="573" spans="1:5" x14ac:dyDescent="0.25">
      <c r="A573" s="17">
        <v>161</v>
      </c>
      <c r="B573" s="31">
        <v>47330</v>
      </c>
      <c r="C573" s="32">
        <f>INDEX('Input Data'!$B:$B,A573)/2+IF(A573&lt;&gt;A574,100,0)</f>
        <v>1.75</v>
      </c>
      <c r="D573" s="33">
        <f>INDEX('ZCB Curve - Payment Dates'!$D$2:$D$246,MATCH(B573,'ZCB Curve - Payment Dates'!$A$2:$A$246,0))</f>
        <v>0.87945764483737499</v>
      </c>
      <c r="E573" s="32">
        <f t="shared" si="8"/>
        <v>1.5390508784654062</v>
      </c>
    </row>
    <row r="574" spans="1:5" x14ac:dyDescent="0.25">
      <c r="A574" s="17">
        <v>161</v>
      </c>
      <c r="B574" s="31">
        <v>47514</v>
      </c>
      <c r="C574" s="32">
        <f>INDEX('Input Data'!$B:$B,A574)/2+IF(A574&lt;&gt;A575,100,0)</f>
        <v>101.75</v>
      </c>
      <c r="D574" s="33">
        <f>INDEX('ZCB Curve - Payment Dates'!$D$2:$D$246,MATCH(B574,'ZCB Curve - Payment Dates'!$A$2:$A$246,0))</f>
        <v>0.8591452031111062</v>
      </c>
      <c r="E574" s="32">
        <f t="shared" si="8"/>
        <v>87.418024416555056</v>
      </c>
    </row>
    <row r="575" spans="1:5" x14ac:dyDescent="0.25">
      <c r="A575" s="17">
        <v>162</v>
      </c>
      <c r="B575" s="31">
        <v>46418</v>
      </c>
      <c r="C575" s="32">
        <f>INDEX('Input Data'!$B:$B,A575)/2+IF(A575&lt;&gt;A576,100,0)</f>
        <v>2.125</v>
      </c>
      <c r="D575" s="33">
        <f>INDEX('ZCB Curve - Payment Dates'!$D$2:$D$246,MATCH(B575,'ZCB Curve - Payment Dates'!$A$2:$A$246,0))</f>
        <v>0.98408668818349121</v>
      </c>
      <c r="E575" s="32">
        <f t="shared" si="8"/>
        <v>2.0911842123899187</v>
      </c>
    </row>
    <row r="576" spans="1:5" x14ac:dyDescent="0.25">
      <c r="A576" s="17">
        <v>162</v>
      </c>
      <c r="B576" s="31">
        <v>46599</v>
      </c>
      <c r="C576" s="32">
        <f>INDEX('Input Data'!$B:$B,A576)/2+IF(A576&lt;&gt;A577,100,0)</f>
        <v>2.125</v>
      </c>
      <c r="D576" s="33">
        <f>INDEX('ZCB Curve - Payment Dates'!$D$2:$D$246,MATCH(B576,'ZCB Curve - Payment Dates'!$A$2:$A$246,0))</f>
        <v>0.96360931883583933</v>
      </c>
      <c r="E576" s="32">
        <f t="shared" si="8"/>
        <v>2.0476698025261584</v>
      </c>
    </row>
    <row r="577" spans="1:5" x14ac:dyDescent="0.25">
      <c r="A577" s="17">
        <v>162</v>
      </c>
      <c r="B577" s="31">
        <v>46783</v>
      </c>
      <c r="C577" s="32">
        <f>INDEX('Input Data'!$B:$B,A577)/2+IF(A577&lt;&gt;A578,100,0)</f>
        <v>2.125</v>
      </c>
      <c r="D577" s="33">
        <f>INDEX('ZCB Curve - Payment Dates'!$D$2:$D$246,MATCH(B577,'ZCB Curve - Payment Dates'!$A$2:$A$246,0))</f>
        <v>0.94224051785347052</v>
      </c>
      <c r="E577" s="32">
        <f t="shared" si="8"/>
        <v>2.0022611004386248</v>
      </c>
    </row>
    <row r="578" spans="1:5" x14ac:dyDescent="0.25">
      <c r="A578" s="17">
        <v>162</v>
      </c>
      <c r="B578" s="31">
        <v>46965</v>
      </c>
      <c r="C578" s="32">
        <f>INDEX('Input Data'!$B:$B,A578)/2+IF(A578&lt;&gt;A579,100,0)</f>
        <v>2.125</v>
      </c>
      <c r="D578" s="33">
        <f>INDEX('ZCB Curve - Payment Dates'!$D$2:$D$246,MATCH(B578,'ZCB Curve - Payment Dates'!$A$2:$A$246,0))</f>
        <v>0.92105657743562108</v>
      </c>
      <c r="E578" s="32">
        <f t="shared" ref="E578:E641" si="9">C578*D578</f>
        <v>1.9572452270506948</v>
      </c>
    </row>
    <row r="579" spans="1:5" x14ac:dyDescent="0.25">
      <c r="A579" s="17">
        <v>162</v>
      </c>
      <c r="B579" s="31">
        <v>47149</v>
      </c>
      <c r="C579" s="32">
        <f>INDEX('Input Data'!$B:$B,A579)/2+IF(A579&lt;&gt;A580,100,0)</f>
        <v>2.125</v>
      </c>
      <c r="D579" s="33">
        <f>INDEX('ZCB Curve - Payment Dates'!$D$2:$D$246,MATCH(B579,'ZCB Curve - Payment Dates'!$A$2:$A$246,0))</f>
        <v>0.89988368588562773</v>
      </c>
      <c r="E579" s="32">
        <f t="shared" si="9"/>
        <v>1.912252832506959</v>
      </c>
    </row>
    <row r="580" spans="1:5" x14ac:dyDescent="0.25">
      <c r="A580" s="17">
        <v>162</v>
      </c>
      <c r="B580" s="31">
        <v>47330</v>
      </c>
      <c r="C580" s="32">
        <f>INDEX('Input Data'!$B:$B,A580)/2+IF(A580&lt;&gt;A581,100,0)</f>
        <v>2.125</v>
      </c>
      <c r="D580" s="33">
        <f>INDEX('ZCB Curve - Payment Dates'!$D$2:$D$246,MATCH(B580,'ZCB Curve - Payment Dates'!$A$2:$A$246,0))</f>
        <v>0.87945764483737499</v>
      </c>
      <c r="E580" s="32">
        <f t="shared" si="9"/>
        <v>1.8688474952794218</v>
      </c>
    </row>
    <row r="581" spans="1:5" x14ac:dyDescent="0.25">
      <c r="A581" s="17">
        <v>162</v>
      </c>
      <c r="B581" s="31">
        <v>47514</v>
      </c>
      <c r="C581" s="32">
        <f>INDEX('Input Data'!$B:$B,A581)/2+IF(A581&lt;&gt;A582,100,0)</f>
        <v>102.125</v>
      </c>
      <c r="D581" s="33">
        <f>INDEX('ZCB Curve - Payment Dates'!$D$2:$D$246,MATCH(B581,'ZCB Curve - Payment Dates'!$A$2:$A$246,0))</f>
        <v>0.8591452031111062</v>
      </c>
      <c r="E581" s="32">
        <f t="shared" si="9"/>
        <v>87.740203867721718</v>
      </c>
    </row>
    <row r="582" spans="1:5" x14ac:dyDescent="0.25">
      <c r="A582" s="17">
        <v>163</v>
      </c>
      <c r="B582" s="31">
        <v>46433</v>
      </c>
      <c r="C582" s="32">
        <f>INDEX('Input Data'!$B:$B,A582)/2+IF(A582&lt;&gt;A583,100,0)</f>
        <v>0.75</v>
      </c>
      <c r="D582" s="33">
        <f>INDEX('ZCB Curve - Payment Dates'!$D$2:$D$246,MATCH(B582,'ZCB Curve - Payment Dates'!$A$2:$A$246,0))</f>
        <v>0.98242671792446301</v>
      </c>
      <c r="E582" s="32">
        <f t="shared" si="9"/>
        <v>0.7368200384433472</v>
      </c>
    </row>
    <row r="583" spans="1:5" x14ac:dyDescent="0.25">
      <c r="A583" s="17">
        <v>163</v>
      </c>
      <c r="B583" s="31">
        <v>46614</v>
      </c>
      <c r="C583" s="32">
        <f>INDEX('Input Data'!$B:$B,A583)/2+IF(A583&lt;&gt;A584,100,0)</f>
        <v>0.75</v>
      </c>
      <c r="D583" s="33">
        <f>INDEX('ZCB Curve - Payment Dates'!$D$2:$D$246,MATCH(B583,'ZCB Curve - Payment Dates'!$A$2:$A$246,0))</f>
        <v>0.96187948164765535</v>
      </c>
      <c r="E583" s="32">
        <f t="shared" si="9"/>
        <v>0.72140961123574154</v>
      </c>
    </row>
    <row r="584" spans="1:5" x14ac:dyDescent="0.25">
      <c r="A584" s="17">
        <v>163</v>
      </c>
      <c r="B584" s="31">
        <v>46798</v>
      </c>
      <c r="C584" s="32">
        <f>INDEX('Input Data'!$B:$B,A584)/2+IF(A584&lt;&gt;A585,100,0)</f>
        <v>0.75</v>
      </c>
      <c r="D584" s="33">
        <f>INDEX('ZCB Curve - Payment Dates'!$D$2:$D$246,MATCH(B584,'ZCB Curve - Payment Dates'!$A$2:$A$246,0))</f>
        <v>0.94049096132648802</v>
      </c>
      <c r="E584" s="32">
        <f t="shared" si="9"/>
        <v>0.70536822099486596</v>
      </c>
    </row>
    <row r="585" spans="1:5" x14ac:dyDescent="0.25">
      <c r="A585" s="17">
        <v>163</v>
      </c>
      <c r="B585" s="31">
        <v>46980</v>
      </c>
      <c r="C585" s="32">
        <f>INDEX('Input Data'!$B:$B,A585)/2+IF(A585&lt;&gt;A586,100,0)</f>
        <v>0.75</v>
      </c>
      <c r="D585" s="33">
        <f>INDEX('ZCB Curve - Payment Dates'!$D$2:$D$246,MATCH(B585,'ZCB Curve - Payment Dates'!$A$2:$A$246,0))</f>
        <v>0.91931844130238327</v>
      </c>
      <c r="E585" s="32">
        <f t="shared" si="9"/>
        <v>0.68948883097678748</v>
      </c>
    </row>
    <row r="586" spans="1:5" x14ac:dyDescent="0.25">
      <c r="A586" s="17">
        <v>163</v>
      </c>
      <c r="B586" s="31">
        <v>47164</v>
      </c>
      <c r="C586" s="32">
        <f>INDEX('Input Data'!$B:$B,A586)/2+IF(A586&lt;&gt;A587,100,0)</f>
        <v>0.75</v>
      </c>
      <c r="D586" s="33">
        <f>INDEX('ZCB Curve - Payment Dates'!$D$2:$D$246,MATCH(B586,'ZCB Curve - Payment Dates'!$A$2:$A$246,0))</f>
        <v>0.89817430058086534</v>
      </c>
      <c r="E586" s="32">
        <f t="shared" si="9"/>
        <v>0.67363072543564906</v>
      </c>
    </row>
    <row r="587" spans="1:5" x14ac:dyDescent="0.25">
      <c r="A587" s="17">
        <v>163</v>
      </c>
      <c r="B587" s="31">
        <v>47345</v>
      </c>
      <c r="C587" s="32">
        <f>INDEX('Input Data'!$B:$B,A587)/2+IF(A587&lt;&gt;A588,100,0)</f>
        <v>0.75</v>
      </c>
      <c r="D587" s="33">
        <f>INDEX('ZCB Curve - Payment Dates'!$D$2:$D$246,MATCH(B587,'ZCB Curve - Payment Dates'!$A$2:$A$246,0))</f>
        <v>0.87778421628860481</v>
      </c>
      <c r="E587" s="32">
        <f t="shared" si="9"/>
        <v>0.65833816221645358</v>
      </c>
    </row>
    <row r="588" spans="1:5" x14ac:dyDescent="0.25">
      <c r="A588" s="17">
        <v>163</v>
      </c>
      <c r="B588" s="31">
        <v>47529</v>
      </c>
      <c r="C588" s="32">
        <f>INDEX('Input Data'!$B:$B,A588)/2+IF(A588&lt;&gt;A589,100,0)</f>
        <v>100.75</v>
      </c>
      <c r="D588" s="33">
        <f>INDEX('ZCB Curve - Payment Dates'!$D$2:$D$246,MATCH(B588,'ZCB Curve - Payment Dates'!$A$2:$A$246,0))</f>
        <v>0.85751015570959666</v>
      </c>
      <c r="E588" s="32">
        <f t="shared" si="9"/>
        <v>86.394148187741862</v>
      </c>
    </row>
    <row r="589" spans="1:5" x14ac:dyDescent="0.25">
      <c r="A589" s="17">
        <v>164</v>
      </c>
      <c r="B589" s="31">
        <v>46446</v>
      </c>
      <c r="C589" s="32">
        <f>INDEX('Input Data'!$B:$B,A589)/2+IF(A589&lt;&gt;A590,100,0)</f>
        <v>2</v>
      </c>
      <c r="D589" s="33">
        <f>INDEX('ZCB Curve - Payment Dates'!$D$2:$D$246,MATCH(B589,'ZCB Curve - Payment Dates'!$A$2:$A$246,0))</f>
        <v>0.98098215746395478</v>
      </c>
      <c r="E589" s="32">
        <f t="shared" si="9"/>
        <v>1.9619643149279096</v>
      </c>
    </row>
    <row r="590" spans="1:5" x14ac:dyDescent="0.25">
      <c r="A590" s="17">
        <v>164</v>
      </c>
      <c r="B590" s="31">
        <v>46630</v>
      </c>
      <c r="C590" s="32">
        <f>INDEX('Input Data'!$B:$B,A590)/2+IF(A590&lt;&gt;A591,100,0)</f>
        <v>2</v>
      </c>
      <c r="D590" s="33">
        <f>INDEX('ZCB Curve - Payment Dates'!$D$2:$D$246,MATCH(B590,'ZCB Curve - Payment Dates'!$A$2:$A$246,0))</f>
        <v>0.96003246313192503</v>
      </c>
      <c r="E590" s="32">
        <f t="shared" si="9"/>
        <v>1.9200649262638501</v>
      </c>
    </row>
    <row r="591" spans="1:5" x14ac:dyDescent="0.25">
      <c r="A591" s="17">
        <v>164</v>
      </c>
      <c r="B591" s="31">
        <v>46812</v>
      </c>
      <c r="C591" s="32">
        <f>INDEX('Input Data'!$B:$B,A591)/2+IF(A591&lt;&gt;A592,100,0)</f>
        <v>2</v>
      </c>
      <c r="D591" s="33">
        <f>INDEX('ZCB Curve - Payment Dates'!$D$2:$D$246,MATCH(B591,'ZCB Curve - Payment Dates'!$A$2:$A$246,0))</f>
        <v>0.938856338180596</v>
      </c>
      <c r="E591" s="32">
        <f t="shared" si="9"/>
        <v>1.877712676361192</v>
      </c>
    </row>
    <row r="592" spans="1:5" x14ac:dyDescent="0.25">
      <c r="A592" s="17">
        <v>164</v>
      </c>
      <c r="B592" s="31">
        <v>46996</v>
      </c>
      <c r="C592" s="32">
        <f>INDEX('Input Data'!$B:$B,A592)/2+IF(A592&lt;&gt;A593,100,0)</f>
        <v>2</v>
      </c>
      <c r="D592" s="33">
        <f>INDEX('ZCB Curve - Payment Dates'!$D$2:$D$246,MATCH(B592,'ZCB Curve - Payment Dates'!$A$2:$A$246,0))</f>
        <v>0.91746393725908559</v>
      </c>
      <c r="E592" s="32">
        <f t="shared" si="9"/>
        <v>1.8349278745181712</v>
      </c>
    </row>
    <row r="593" spans="1:5" x14ac:dyDescent="0.25">
      <c r="A593" s="17">
        <v>164</v>
      </c>
      <c r="B593" s="31">
        <v>47177</v>
      </c>
      <c r="C593" s="32">
        <f>INDEX('Input Data'!$B:$B,A593)/2+IF(A593&lt;&gt;A594,100,0)</f>
        <v>2</v>
      </c>
      <c r="D593" s="33">
        <f>INDEX('ZCB Curve - Payment Dates'!$D$2:$D$246,MATCH(B593,'ZCB Curve - Payment Dates'!$A$2:$A$246,0))</f>
        <v>0.89669591867999909</v>
      </c>
      <c r="E593" s="32">
        <f t="shared" si="9"/>
        <v>1.7933918373599982</v>
      </c>
    </row>
    <row r="594" spans="1:5" x14ac:dyDescent="0.25">
      <c r="A594" s="17">
        <v>164</v>
      </c>
      <c r="B594" s="31">
        <v>47361</v>
      </c>
      <c r="C594" s="32">
        <f>INDEX('Input Data'!$B:$B,A594)/2+IF(A594&lt;&gt;A595,100,0)</f>
        <v>2</v>
      </c>
      <c r="D594" s="33">
        <f>INDEX('ZCB Curve - Payment Dates'!$D$2:$D$246,MATCH(B594,'ZCB Curve - Payment Dates'!$A$2:$A$246,0))</f>
        <v>0.87600023126237014</v>
      </c>
      <c r="E594" s="32">
        <f t="shared" si="9"/>
        <v>1.7520004625247403</v>
      </c>
    </row>
    <row r="595" spans="1:5" x14ac:dyDescent="0.25">
      <c r="A595" s="17">
        <v>164</v>
      </c>
      <c r="B595" s="31">
        <v>47542</v>
      </c>
      <c r="C595" s="32">
        <f>INDEX('Input Data'!$B:$B,A595)/2+IF(A595&lt;&gt;A596,100,0)</f>
        <v>102</v>
      </c>
      <c r="D595" s="33">
        <f>INDEX('ZCB Curve - Payment Dates'!$D$2:$D$246,MATCH(B595,'ZCB Curve - Payment Dates'!$A$2:$A$246,0))</f>
        <v>0.85609640433764933</v>
      </c>
      <c r="E595" s="32">
        <f t="shared" si="9"/>
        <v>87.321833242440235</v>
      </c>
    </row>
    <row r="596" spans="1:5" x14ac:dyDescent="0.25">
      <c r="A596" s="17">
        <v>165</v>
      </c>
      <c r="B596" s="31">
        <v>46295</v>
      </c>
      <c r="C596" s="32">
        <f>INDEX('Input Data'!$B:$B,A596)/2+IF(A596&lt;&gt;A597,100,0)</f>
        <v>1.8125</v>
      </c>
      <c r="D596" s="33">
        <f>INDEX('ZCB Curve - Payment Dates'!$D$2:$D$246,MATCH(B596,'ZCB Curve - Payment Dates'!$A$2:$A$246,0))</f>
        <v>0.9973127951237063</v>
      </c>
      <c r="E596" s="32">
        <f t="shared" si="9"/>
        <v>1.8076294411617178</v>
      </c>
    </row>
    <row r="597" spans="1:5" x14ac:dyDescent="0.25">
      <c r="A597" s="17">
        <v>165</v>
      </c>
      <c r="B597" s="31">
        <v>46477</v>
      </c>
      <c r="C597" s="32">
        <f>INDEX('Input Data'!$B:$B,A597)/2+IF(A597&lt;&gt;A598,100,0)</f>
        <v>1.8125</v>
      </c>
      <c r="D597" s="33">
        <f>INDEX('ZCB Curve - Payment Dates'!$D$2:$D$246,MATCH(B597,'ZCB Curve - Payment Dates'!$A$2:$A$246,0))</f>
        <v>0.97750981974188245</v>
      </c>
      <c r="E597" s="32">
        <f t="shared" si="9"/>
        <v>1.7717365482821619</v>
      </c>
    </row>
    <row r="598" spans="1:5" x14ac:dyDescent="0.25">
      <c r="A598" s="17">
        <v>165</v>
      </c>
      <c r="B598" s="31">
        <v>46660</v>
      </c>
      <c r="C598" s="32">
        <f>INDEX('Input Data'!$B:$B,A598)/2+IF(A598&lt;&gt;A599,100,0)</f>
        <v>1.8125</v>
      </c>
      <c r="D598" s="33">
        <f>INDEX('ZCB Curve - Payment Dates'!$D$2:$D$246,MATCH(B598,'ZCB Curve - Payment Dates'!$A$2:$A$246,0))</f>
        <v>0.95655761994841249</v>
      </c>
      <c r="E598" s="32">
        <f t="shared" si="9"/>
        <v>1.7337606861564976</v>
      </c>
    </row>
    <row r="599" spans="1:5" x14ac:dyDescent="0.25">
      <c r="A599" s="17">
        <v>165</v>
      </c>
      <c r="B599" s="31">
        <v>46843</v>
      </c>
      <c r="C599" s="32">
        <f>INDEX('Input Data'!$B:$B,A599)/2+IF(A599&lt;&gt;A600,100,0)</f>
        <v>1.8125</v>
      </c>
      <c r="D599" s="33">
        <f>INDEX('ZCB Curve - Payment Dates'!$D$2:$D$246,MATCH(B599,'ZCB Curve - Payment Dates'!$A$2:$A$246,0))</f>
        <v>0.93524308702159842</v>
      </c>
      <c r="E599" s="32">
        <f t="shared" si="9"/>
        <v>1.6951280952266472</v>
      </c>
    </row>
    <row r="600" spans="1:5" x14ac:dyDescent="0.25">
      <c r="A600" s="17">
        <v>165</v>
      </c>
      <c r="B600" s="31">
        <v>47026</v>
      </c>
      <c r="C600" s="32">
        <f>INDEX('Input Data'!$B:$B,A600)/2+IF(A600&lt;&gt;A601,100,0)</f>
        <v>1.8125</v>
      </c>
      <c r="D600" s="33">
        <f>INDEX('ZCB Curve - Payment Dates'!$D$2:$D$246,MATCH(B600,'ZCB Curve - Payment Dates'!$A$2:$A$246,0))</f>
        <v>0.91399761223542642</v>
      </c>
      <c r="E600" s="32">
        <f t="shared" si="9"/>
        <v>1.6566206721767103</v>
      </c>
    </row>
    <row r="601" spans="1:5" x14ac:dyDescent="0.25">
      <c r="A601" s="17">
        <v>165</v>
      </c>
      <c r="B601" s="31">
        <v>47208</v>
      </c>
      <c r="C601" s="32">
        <f>INDEX('Input Data'!$B:$B,A601)/2+IF(A601&lt;&gt;A602,100,0)</f>
        <v>1.8125</v>
      </c>
      <c r="D601" s="33">
        <f>INDEX('ZCB Curve - Payment Dates'!$D$2:$D$246,MATCH(B601,'ZCB Curve - Payment Dates'!$A$2:$A$246,0))</f>
        <v>0.89317885092878757</v>
      </c>
      <c r="E601" s="32">
        <f t="shared" si="9"/>
        <v>1.6188866673084275</v>
      </c>
    </row>
    <row r="602" spans="1:5" x14ac:dyDescent="0.25">
      <c r="A602" s="17">
        <v>165</v>
      </c>
      <c r="B602" s="31">
        <v>47391</v>
      </c>
      <c r="C602" s="32">
        <f>INDEX('Input Data'!$B:$B,A602)/2+IF(A602&lt;&gt;A603,100,0)</f>
        <v>1.8125</v>
      </c>
      <c r="D602" s="33">
        <f>INDEX('ZCB Curve - Payment Dates'!$D$2:$D$246,MATCH(B602,'ZCB Curve - Payment Dates'!$A$2:$A$246,0))</f>
        <v>0.87266944281946834</v>
      </c>
      <c r="E602" s="32">
        <f t="shared" si="9"/>
        <v>1.5817133651102864</v>
      </c>
    </row>
    <row r="603" spans="1:5" x14ac:dyDescent="0.25">
      <c r="A603" s="17">
        <v>165</v>
      </c>
      <c r="B603" s="31">
        <v>47573</v>
      </c>
      <c r="C603" s="32">
        <f>INDEX('Input Data'!$B:$B,A603)/2+IF(A603&lt;&gt;A604,100,0)</f>
        <v>101.8125</v>
      </c>
      <c r="D603" s="33">
        <f>INDEX('ZCB Curve - Payment Dates'!$D$2:$D$246,MATCH(B603,'ZCB Curve - Payment Dates'!$A$2:$A$246,0))</f>
        <v>0.85273413261763187</v>
      </c>
      <c r="E603" s="32">
        <f t="shared" si="9"/>
        <v>86.818993877132641</v>
      </c>
    </row>
    <row r="604" spans="1:5" x14ac:dyDescent="0.25">
      <c r="A604" s="17">
        <v>166</v>
      </c>
      <c r="B604" s="31">
        <v>46295</v>
      </c>
      <c r="C604" s="32">
        <f>INDEX('Input Data'!$B:$B,A604)/2+IF(A604&lt;&gt;A605,100,0)</f>
        <v>2</v>
      </c>
      <c r="D604" s="33">
        <f>INDEX('ZCB Curve - Payment Dates'!$D$2:$D$246,MATCH(B604,'ZCB Curve - Payment Dates'!$A$2:$A$246,0))</f>
        <v>0.9973127951237063</v>
      </c>
      <c r="E604" s="32">
        <f t="shared" si="9"/>
        <v>1.9946255902474126</v>
      </c>
    </row>
    <row r="605" spans="1:5" x14ac:dyDescent="0.25">
      <c r="A605" s="17">
        <v>166</v>
      </c>
      <c r="B605" s="31">
        <v>46477</v>
      </c>
      <c r="C605" s="32">
        <f>INDEX('Input Data'!$B:$B,A605)/2+IF(A605&lt;&gt;A606,100,0)</f>
        <v>2</v>
      </c>
      <c r="D605" s="33">
        <f>INDEX('ZCB Curve - Payment Dates'!$D$2:$D$246,MATCH(B605,'ZCB Curve - Payment Dates'!$A$2:$A$246,0))</f>
        <v>0.97750981974188245</v>
      </c>
      <c r="E605" s="32">
        <f t="shared" si="9"/>
        <v>1.9550196394837649</v>
      </c>
    </row>
    <row r="606" spans="1:5" x14ac:dyDescent="0.25">
      <c r="A606" s="17">
        <v>166</v>
      </c>
      <c r="B606" s="31">
        <v>46660</v>
      </c>
      <c r="C606" s="32">
        <f>INDEX('Input Data'!$B:$B,A606)/2+IF(A606&lt;&gt;A607,100,0)</f>
        <v>2</v>
      </c>
      <c r="D606" s="33">
        <f>INDEX('ZCB Curve - Payment Dates'!$D$2:$D$246,MATCH(B606,'ZCB Curve - Payment Dates'!$A$2:$A$246,0))</f>
        <v>0.95655761994841249</v>
      </c>
      <c r="E606" s="32">
        <f t="shared" si="9"/>
        <v>1.913115239896825</v>
      </c>
    </row>
    <row r="607" spans="1:5" x14ac:dyDescent="0.25">
      <c r="A607" s="17">
        <v>166</v>
      </c>
      <c r="B607" s="31">
        <v>46843</v>
      </c>
      <c r="C607" s="32">
        <f>INDEX('Input Data'!$B:$B,A607)/2+IF(A607&lt;&gt;A608,100,0)</f>
        <v>2</v>
      </c>
      <c r="D607" s="33">
        <f>INDEX('ZCB Curve - Payment Dates'!$D$2:$D$246,MATCH(B607,'ZCB Curve - Payment Dates'!$A$2:$A$246,0))</f>
        <v>0.93524308702159842</v>
      </c>
      <c r="E607" s="32">
        <f t="shared" si="9"/>
        <v>1.8704861740431968</v>
      </c>
    </row>
    <row r="608" spans="1:5" x14ac:dyDescent="0.25">
      <c r="A608" s="17">
        <v>166</v>
      </c>
      <c r="B608" s="31">
        <v>47026</v>
      </c>
      <c r="C608" s="32">
        <f>INDEX('Input Data'!$B:$B,A608)/2+IF(A608&lt;&gt;A609,100,0)</f>
        <v>2</v>
      </c>
      <c r="D608" s="33">
        <f>INDEX('ZCB Curve - Payment Dates'!$D$2:$D$246,MATCH(B608,'ZCB Curve - Payment Dates'!$A$2:$A$246,0))</f>
        <v>0.91399761223542642</v>
      </c>
      <c r="E608" s="32">
        <f t="shared" si="9"/>
        <v>1.8279952244708528</v>
      </c>
    </row>
    <row r="609" spans="1:5" x14ac:dyDescent="0.25">
      <c r="A609" s="17">
        <v>166</v>
      </c>
      <c r="B609" s="31">
        <v>47208</v>
      </c>
      <c r="C609" s="32">
        <f>INDEX('Input Data'!$B:$B,A609)/2+IF(A609&lt;&gt;A610,100,0)</f>
        <v>2</v>
      </c>
      <c r="D609" s="33">
        <f>INDEX('ZCB Curve - Payment Dates'!$D$2:$D$246,MATCH(B609,'ZCB Curve - Payment Dates'!$A$2:$A$246,0))</f>
        <v>0.89317885092878757</v>
      </c>
      <c r="E609" s="32">
        <f t="shared" si="9"/>
        <v>1.7863577018575751</v>
      </c>
    </row>
    <row r="610" spans="1:5" x14ac:dyDescent="0.25">
      <c r="A610" s="17">
        <v>166</v>
      </c>
      <c r="B610" s="31">
        <v>47391</v>
      </c>
      <c r="C610" s="32">
        <f>INDEX('Input Data'!$B:$B,A610)/2+IF(A610&lt;&gt;A611,100,0)</f>
        <v>2</v>
      </c>
      <c r="D610" s="33">
        <f>INDEX('ZCB Curve - Payment Dates'!$D$2:$D$246,MATCH(B610,'ZCB Curve - Payment Dates'!$A$2:$A$246,0))</f>
        <v>0.87266944281946834</v>
      </c>
      <c r="E610" s="32">
        <f t="shared" si="9"/>
        <v>1.7453388856389367</v>
      </c>
    </row>
    <row r="611" spans="1:5" x14ac:dyDescent="0.25">
      <c r="A611" s="17">
        <v>166</v>
      </c>
      <c r="B611" s="31">
        <v>47573</v>
      </c>
      <c r="C611" s="32">
        <f>INDEX('Input Data'!$B:$B,A611)/2+IF(A611&lt;&gt;A612,100,0)</f>
        <v>102</v>
      </c>
      <c r="D611" s="33">
        <f>INDEX('ZCB Curve - Payment Dates'!$D$2:$D$246,MATCH(B611,'ZCB Curve - Payment Dates'!$A$2:$A$246,0))</f>
        <v>0.85273413261763187</v>
      </c>
      <c r="E611" s="32">
        <f t="shared" si="9"/>
        <v>86.97888152699845</v>
      </c>
    </row>
    <row r="612" spans="1:5" x14ac:dyDescent="0.25">
      <c r="A612" s="17">
        <v>167</v>
      </c>
      <c r="B612" s="31">
        <v>46326</v>
      </c>
      <c r="C612" s="32">
        <f>INDEX('Input Data'!$B:$B,A612)/2+IF(A612&lt;&gt;A613,100,0)</f>
        <v>1.75</v>
      </c>
      <c r="D612" s="33">
        <f>INDEX('ZCB Curve - Payment Dates'!$D$2:$D$246,MATCH(B612,'ZCB Curve - Payment Dates'!$A$2:$A$246,0))</f>
        <v>0.99405055111674689</v>
      </c>
      <c r="E612" s="32">
        <f t="shared" si="9"/>
        <v>1.7395884644543071</v>
      </c>
    </row>
    <row r="613" spans="1:5" x14ac:dyDescent="0.25">
      <c r="A613" s="17">
        <v>167</v>
      </c>
      <c r="B613" s="31">
        <v>46507</v>
      </c>
      <c r="C613" s="32">
        <f>INDEX('Input Data'!$B:$B,A613)/2+IF(A613&lt;&gt;A614,100,0)</f>
        <v>1.75</v>
      </c>
      <c r="D613" s="33">
        <f>INDEX('ZCB Curve - Payment Dates'!$D$2:$D$246,MATCH(B613,'ZCB Curve - Payment Dates'!$A$2:$A$246,0))</f>
        <v>0.97412390690574091</v>
      </c>
      <c r="E613" s="32">
        <f t="shared" si="9"/>
        <v>1.7047168370850465</v>
      </c>
    </row>
    <row r="614" spans="1:5" x14ac:dyDescent="0.25">
      <c r="A614" s="17">
        <v>167</v>
      </c>
      <c r="B614" s="31">
        <v>46691</v>
      </c>
      <c r="C614" s="32">
        <f>INDEX('Input Data'!$B:$B,A614)/2+IF(A614&lt;&gt;A615,100,0)</f>
        <v>1.75</v>
      </c>
      <c r="D614" s="33">
        <f>INDEX('ZCB Curve - Payment Dates'!$D$2:$D$246,MATCH(B614,'ZCB Curve - Payment Dates'!$A$2:$A$246,0))</f>
        <v>0.95295491595466364</v>
      </c>
      <c r="E614" s="32">
        <f t="shared" si="9"/>
        <v>1.6676711029206615</v>
      </c>
    </row>
    <row r="615" spans="1:5" x14ac:dyDescent="0.25">
      <c r="A615" s="17">
        <v>167</v>
      </c>
      <c r="B615" s="31">
        <v>46873</v>
      </c>
      <c r="C615" s="32">
        <f>INDEX('Input Data'!$B:$B,A615)/2+IF(A615&lt;&gt;A616,100,0)</f>
        <v>1.75</v>
      </c>
      <c r="D615" s="33">
        <f>INDEX('ZCB Curve - Payment Dates'!$D$2:$D$246,MATCH(B615,'ZCB Curve - Payment Dates'!$A$2:$A$246,0))</f>
        <v>0.93174702042500246</v>
      </c>
      <c r="E615" s="32">
        <f t="shared" si="9"/>
        <v>1.6305572857437542</v>
      </c>
    </row>
    <row r="616" spans="1:5" x14ac:dyDescent="0.25">
      <c r="A616" s="17">
        <v>167</v>
      </c>
      <c r="B616" s="31">
        <v>47057</v>
      </c>
      <c r="C616" s="32">
        <f>INDEX('Input Data'!$B:$B,A616)/2+IF(A616&lt;&gt;A617,100,0)</f>
        <v>1.75</v>
      </c>
      <c r="D616" s="33">
        <f>INDEX('ZCB Curve - Payment Dates'!$D$2:$D$246,MATCH(B616,'ZCB Curve - Payment Dates'!$A$2:$A$246,0))</f>
        <v>0.91042649241905782</v>
      </c>
      <c r="E616" s="32">
        <f t="shared" si="9"/>
        <v>1.5932463617333512</v>
      </c>
    </row>
    <row r="617" spans="1:5" x14ac:dyDescent="0.25">
      <c r="A617" s="17">
        <v>167</v>
      </c>
      <c r="B617" s="31">
        <v>47238</v>
      </c>
      <c r="C617" s="32">
        <f>INDEX('Input Data'!$B:$B,A617)/2+IF(A617&lt;&gt;A618,100,0)</f>
        <v>1.75</v>
      </c>
      <c r="D617" s="33">
        <f>INDEX('ZCB Curve - Payment Dates'!$D$2:$D$246,MATCH(B617,'ZCB Curve - Payment Dates'!$A$2:$A$246,0))</f>
        <v>0.88978547878922043</v>
      </c>
      <c r="E617" s="32">
        <f t="shared" si="9"/>
        <v>1.5571245878811357</v>
      </c>
    </row>
    <row r="618" spans="1:5" x14ac:dyDescent="0.25">
      <c r="A618" s="17">
        <v>167</v>
      </c>
      <c r="B618" s="31">
        <v>47422</v>
      </c>
      <c r="C618" s="32">
        <f>INDEX('Input Data'!$B:$B,A618)/2+IF(A618&lt;&gt;A619,100,0)</f>
        <v>1.75</v>
      </c>
      <c r="D618" s="33">
        <f>INDEX('ZCB Curve - Payment Dates'!$D$2:$D$246,MATCH(B618,'ZCB Curve - Payment Dates'!$A$2:$A$246,0))</f>
        <v>0.86924243542459101</v>
      </c>
      <c r="E618" s="32">
        <f t="shared" si="9"/>
        <v>1.5211742619930342</v>
      </c>
    </row>
    <row r="619" spans="1:5" x14ac:dyDescent="0.25">
      <c r="A619" s="17">
        <v>167</v>
      </c>
      <c r="B619" s="31">
        <v>47603</v>
      </c>
      <c r="C619" s="32">
        <f>INDEX('Input Data'!$B:$B,A619)/2+IF(A619&lt;&gt;A620,100,0)</f>
        <v>101.75</v>
      </c>
      <c r="D619" s="33">
        <f>INDEX('ZCB Curve - Payment Dates'!$D$2:$D$246,MATCH(B619,'ZCB Curve - Payment Dates'!$A$2:$A$246,0))</f>
        <v>0.84949114767876688</v>
      </c>
      <c r="E619" s="32">
        <f t="shared" si="9"/>
        <v>86.435724276314531</v>
      </c>
    </row>
    <row r="620" spans="1:5" x14ac:dyDescent="0.25">
      <c r="A620" s="17">
        <v>168</v>
      </c>
      <c r="B620" s="31">
        <v>46326</v>
      </c>
      <c r="C620" s="32">
        <f>INDEX('Input Data'!$B:$B,A620)/2+IF(A620&lt;&gt;A621,100,0)</f>
        <v>1.9375</v>
      </c>
      <c r="D620" s="33">
        <f>INDEX('ZCB Curve - Payment Dates'!$D$2:$D$246,MATCH(B620,'ZCB Curve - Payment Dates'!$A$2:$A$246,0))</f>
        <v>0.99405055111674689</v>
      </c>
      <c r="E620" s="32">
        <f t="shared" si="9"/>
        <v>1.9259729427886971</v>
      </c>
    </row>
    <row r="621" spans="1:5" x14ac:dyDescent="0.25">
      <c r="A621" s="17">
        <v>168</v>
      </c>
      <c r="B621" s="31">
        <v>46507</v>
      </c>
      <c r="C621" s="32">
        <f>INDEX('Input Data'!$B:$B,A621)/2+IF(A621&lt;&gt;A622,100,0)</f>
        <v>1.9375</v>
      </c>
      <c r="D621" s="33">
        <f>INDEX('ZCB Curve - Payment Dates'!$D$2:$D$246,MATCH(B621,'ZCB Curve - Payment Dates'!$A$2:$A$246,0))</f>
        <v>0.97412390690574091</v>
      </c>
      <c r="E621" s="32">
        <f t="shared" si="9"/>
        <v>1.8873650696298729</v>
      </c>
    </row>
    <row r="622" spans="1:5" x14ac:dyDescent="0.25">
      <c r="A622" s="17">
        <v>168</v>
      </c>
      <c r="B622" s="31">
        <v>46691</v>
      </c>
      <c r="C622" s="32">
        <f>INDEX('Input Data'!$B:$B,A622)/2+IF(A622&lt;&gt;A623,100,0)</f>
        <v>1.9375</v>
      </c>
      <c r="D622" s="33">
        <f>INDEX('ZCB Curve - Payment Dates'!$D$2:$D$246,MATCH(B622,'ZCB Curve - Payment Dates'!$A$2:$A$246,0))</f>
        <v>0.95295491595466364</v>
      </c>
      <c r="E622" s="32">
        <f t="shared" si="9"/>
        <v>1.8463501496621608</v>
      </c>
    </row>
    <row r="623" spans="1:5" x14ac:dyDescent="0.25">
      <c r="A623" s="17">
        <v>168</v>
      </c>
      <c r="B623" s="31">
        <v>46873</v>
      </c>
      <c r="C623" s="32">
        <f>INDEX('Input Data'!$B:$B,A623)/2+IF(A623&lt;&gt;A624,100,0)</f>
        <v>1.9375</v>
      </c>
      <c r="D623" s="33">
        <f>INDEX('ZCB Curve - Payment Dates'!$D$2:$D$246,MATCH(B623,'ZCB Curve - Payment Dates'!$A$2:$A$246,0))</f>
        <v>0.93174702042500246</v>
      </c>
      <c r="E623" s="32">
        <f t="shared" si="9"/>
        <v>1.8052598520734422</v>
      </c>
    </row>
    <row r="624" spans="1:5" x14ac:dyDescent="0.25">
      <c r="A624" s="17">
        <v>168</v>
      </c>
      <c r="B624" s="31">
        <v>47057</v>
      </c>
      <c r="C624" s="32">
        <f>INDEX('Input Data'!$B:$B,A624)/2+IF(A624&lt;&gt;A625,100,0)</f>
        <v>1.9375</v>
      </c>
      <c r="D624" s="33">
        <f>INDEX('ZCB Curve - Payment Dates'!$D$2:$D$246,MATCH(B624,'ZCB Curve - Payment Dates'!$A$2:$A$246,0))</f>
        <v>0.91042649241905782</v>
      </c>
      <c r="E624" s="32">
        <f t="shared" si="9"/>
        <v>1.7639513290619244</v>
      </c>
    </row>
    <row r="625" spans="1:5" x14ac:dyDescent="0.25">
      <c r="A625" s="17">
        <v>168</v>
      </c>
      <c r="B625" s="31">
        <v>47238</v>
      </c>
      <c r="C625" s="32">
        <f>INDEX('Input Data'!$B:$B,A625)/2+IF(A625&lt;&gt;A626,100,0)</f>
        <v>1.9375</v>
      </c>
      <c r="D625" s="33">
        <f>INDEX('ZCB Curve - Payment Dates'!$D$2:$D$246,MATCH(B625,'ZCB Curve - Payment Dates'!$A$2:$A$246,0))</f>
        <v>0.88978547878922043</v>
      </c>
      <c r="E625" s="32">
        <f t="shared" si="9"/>
        <v>1.7239593651541145</v>
      </c>
    </row>
    <row r="626" spans="1:5" x14ac:dyDescent="0.25">
      <c r="A626" s="17">
        <v>168</v>
      </c>
      <c r="B626" s="31">
        <v>47422</v>
      </c>
      <c r="C626" s="32">
        <f>INDEX('Input Data'!$B:$B,A626)/2+IF(A626&lt;&gt;A627,100,0)</f>
        <v>1.9375</v>
      </c>
      <c r="D626" s="33">
        <f>INDEX('ZCB Curve - Payment Dates'!$D$2:$D$246,MATCH(B626,'ZCB Curve - Payment Dates'!$A$2:$A$246,0))</f>
        <v>0.86924243542459101</v>
      </c>
      <c r="E626" s="32">
        <f t="shared" si="9"/>
        <v>1.684157218635145</v>
      </c>
    </row>
    <row r="627" spans="1:5" x14ac:dyDescent="0.25">
      <c r="A627" s="17">
        <v>168</v>
      </c>
      <c r="B627" s="31">
        <v>47603</v>
      </c>
      <c r="C627" s="32">
        <f>INDEX('Input Data'!$B:$B,A627)/2+IF(A627&lt;&gt;A628,100,0)</f>
        <v>101.9375</v>
      </c>
      <c r="D627" s="33">
        <f>INDEX('ZCB Curve - Payment Dates'!$D$2:$D$246,MATCH(B627,'ZCB Curve - Payment Dates'!$A$2:$A$246,0))</f>
        <v>0.84949114767876688</v>
      </c>
      <c r="E627" s="32">
        <f t="shared" si="9"/>
        <v>86.5950038665043</v>
      </c>
    </row>
    <row r="628" spans="1:5" x14ac:dyDescent="0.25">
      <c r="A628" s="17">
        <v>169</v>
      </c>
      <c r="B628" s="31">
        <v>46341</v>
      </c>
      <c r="C628" s="32">
        <f>INDEX('Input Data'!$B:$B,A628)/2+IF(A628&lt;&gt;A629,100,0)</f>
        <v>0.3125</v>
      </c>
      <c r="D628" s="33">
        <f>INDEX('ZCB Curve - Payment Dates'!$D$2:$D$246,MATCH(B628,'ZCB Curve - Payment Dates'!$A$2:$A$246,0))</f>
        <v>0.99245367292309439</v>
      </c>
      <c r="E628" s="32">
        <f t="shared" si="9"/>
        <v>0.310141772788467</v>
      </c>
    </row>
    <row r="629" spans="1:5" x14ac:dyDescent="0.25">
      <c r="A629" s="17">
        <v>169</v>
      </c>
      <c r="B629" s="31">
        <v>46522</v>
      </c>
      <c r="C629" s="32">
        <f>INDEX('Input Data'!$B:$B,A629)/2+IF(A629&lt;&gt;A630,100,0)</f>
        <v>0.3125</v>
      </c>
      <c r="D629" s="33">
        <f>INDEX('ZCB Curve - Payment Dates'!$D$2:$D$246,MATCH(B629,'ZCB Curve - Payment Dates'!$A$2:$A$246,0))</f>
        <v>0.97242179559611874</v>
      </c>
      <c r="E629" s="32">
        <f t="shared" si="9"/>
        <v>0.30388181112378709</v>
      </c>
    </row>
    <row r="630" spans="1:5" x14ac:dyDescent="0.25">
      <c r="A630" s="17">
        <v>169</v>
      </c>
      <c r="B630" s="31">
        <v>46706</v>
      </c>
      <c r="C630" s="32">
        <f>INDEX('Input Data'!$B:$B,A630)/2+IF(A630&lt;&gt;A631,100,0)</f>
        <v>0.3125</v>
      </c>
      <c r="D630" s="33">
        <f>INDEX('ZCB Curve - Payment Dates'!$D$2:$D$246,MATCH(B630,'ZCB Curve - Payment Dates'!$A$2:$A$246,0))</f>
        <v>0.95121018311627348</v>
      </c>
      <c r="E630" s="32">
        <f t="shared" si="9"/>
        <v>0.29725318222383545</v>
      </c>
    </row>
    <row r="631" spans="1:5" x14ac:dyDescent="0.25">
      <c r="A631" s="17">
        <v>169</v>
      </c>
      <c r="B631" s="31">
        <v>46888</v>
      </c>
      <c r="C631" s="32">
        <f>INDEX('Input Data'!$B:$B,A631)/2+IF(A631&lt;&gt;A632,100,0)</f>
        <v>0.3125</v>
      </c>
      <c r="D631" s="33">
        <f>INDEX('ZCB Curve - Payment Dates'!$D$2:$D$246,MATCH(B631,'ZCB Curve - Payment Dates'!$A$2:$A$246,0))</f>
        <v>0.93000025435083566</v>
      </c>
      <c r="E631" s="32">
        <f t="shared" si="9"/>
        <v>0.29062507948463612</v>
      </c>
    </row>
    <row r="632" spans="1:5" x14ac:dyDescent="0.25">
      <c r="A632" s="17">
        <v>169</v>
      </c>
      <c r="B632" s="31">
        <v>47072</v>
      </c>
      <c r="C632" s="32">
        <f>INDEX('Input Data'!$B:$B,A632)/2+IF(A632&lt;&gt;A633,100,0)</f>
        <v>0.3125</v>
      </c>
      <c r="D632" s="33">
        <f>INDEX('ZCB Curve - Payment Dates'!$D$2:$D$246,MATCH(B632,'ZCB Curve - Payment Dates'!$A$2:$A$246,0))</f>
        <v>0.90870125167038918</v>
      </c>
      <c r="E632" s="32">
        <f t="shared" si="9"/>
        <v>0.28396914114699662</v>
      </c>
    </row>
    <row r="633" spans="1:5" x14ac:dyDescent="0.25">
      <c r="A633" s="17">
        <v>169</v>
      </c>
      <c r="B633" s="31">
        <v>47253</v>
      </c>
      <c r="C633" s="32">
        <f>INDEX('Input Data'!$B:$B,A633)/2+IF(A633&lt;&gt;A634,100,0)</f>
        <v>0.3125</v>
      </c>
      <c r="D633" s="33">
        <f>INDEX('ZCB Curve - Payment Dates'!$D$2:$D$246,MATCH(B633,'ZCB Curve - Payment Dates'!$A$2:$A$246,0))</f>
        <v>0.88809325063638844</v>
      </c>
      <c r="E633" s="32">
        <f t="shared" si="9"/>
        <v>0.27752914082387137</v>
      </c>
    </row>
    <row r="634" spans="1:5" x14ac:dyDescent="0.25">
      <c r="A634" s="17">
        <v>169</v>
      </c>
      <c r="B634" s="31">
        <v>47437</v>
      </c>
      <c r="C634" s="32">
        <f>INDEX('Input Data'!$B:$B,A634)/2+IF(A634&lt;&gt;A635,100,0)</f>
        <v>0.3125</v>
      </c>
      <c r="D634" s="33">
        <f>INDEX('ZCB Curve - Payment Dates'!$D$2:$D$246,MATCH(B634,'ZCB Curve - Payment Dates'!$A$2:$A$246,0))</f>
        <v>0.86758824089536279</v>
      </c>
      <c r="E634" s="32">
        <f t="shared" si="9"/>
        <v>0.27112132527980087</v>
      </c>
    </row>
    <row r="635" spans="1:5" x14ac:dyDescent="0.25">
      <c r="A635" s="17">
        <v>169</v>
      </c>
      <c r="B635" s="31">
        <v>47618</v>
      </c>
      <c r="C635" s="32">
        <f>INDEX('Input Data'!$B:$B,A635)/2+IF(A635&lt;&gt;A636,100,0)</f>
        <v>100.3125</v>
      </c>
      <c r="D635" s="33">
        <f>INDEX('ZCB Curve - Payment Dates'!$D$2:$D$246,MATCH(B635,'ZCB Curve - Payment Dates'!$A$2:$A$246,0))</f>
        <v>0.84787416911783064</v>
      </c>
      <c r="E635" s="32">
        <f t="shared" si="9"/>
        <v>85.052377589632385</v>
      </c>
    </row>
    <row r="636" spans="1:5" x14ac:dyDescent="0.25">
      <c r="A636" s="17">
        <v>170</v>
      </c>
      <c r="B636" s="31">
        <v>46341</v>
      </c>
      <c r="C636" s="32">
        <f>INDEX('Input Data'!$B:$B,A636)/2+IF(A636&lt;&gt;A637,100,0)</f>
        <v>3.125</v>
      </c>
      <c r="D636" s="33">
        <f>INDEX('ZCB Curve - Payment Dates'!$D$2:$D$246,MATCH(B636,'ZCB Curve - Payment Dates'!$A$2:$A$246,0))</f>
        <v>0.99245367292309439</v>
      </c>
      <c r="E636" s="32">
        <f t="shared" si="9"/>
        <v>3.10141772788467</v>
      </c>
    </row>
    <row r="637" spans="1:5" x14ac:dyDescent="0.25">
      <c r="A637" s="17">
        <v>170</v>
      </c>
      <c r="B637" s="31">
        <v>46522</v>
      </c>
      <c r="C637" s="32">
        <f>INDEX('Input Data'!$B:$B,A637)/2+IF(A637&lt;&gt;A638,100,0)</f>
        <v>3.125</v>
      </c>
      <c r="D637" s="33">
        <f>INDEX('ZCB Curve - Payment Dates'!$D$2:$D$246,MATCH(B637,'ZCB Curve - Payment Dates'!$A$2:$A$246,0))</f>
        <v>0.97242179559611874</v>
      </c>
      <c r="E637" s="32">
        <f t="shared" si="9"/>
        <v>3.0388181112378709</v>
      </c>
    </row>
    <row r="638" spans="1:5" x14ac:dyDescent="0.25">
      <c r="A638" s="17">
        <v>170</v>
      </c>
      <c r="B638" s="31">
        <v>46706</v>
      </c>
      <c r="C638" s="32">
        <f>INDEX('Input Data'!$B:$B,A638)/2+IF(A638&lt;&gt;A639,100,0)</f>
        <v>3.125</v>
      </c>
      <c r="D638" s="33">
        <f>INDEX('ZCB Curve - Payment Dates'!$D$2:$D$246,MATCH(B638,'ZCB Curve - Payment Dates'!$A$2:$A$246,0))</f>
        <v>0.95121018311627348</v>
      </c>
      <c r="E638" s="32">
        <f t="shared" si="9"/>
        <v>2.9725318222383548</v>
      </c>
    </row>
    <row r="639" spans="1:5" x14ac:dyDescent="0.25">
      <c r="A639" s="17">
        <v>170</v>
      </c>
      <c r="B639" s="31">
        <v>46888</v>
      </c>
      <c r="C639" s="32">
        <f>INDEX('Input Data'!$B:$B,A639)/2+IF(A639&lt;&gt;A640,100,0)</f>
        <v>3.125</v>
      </c>
      <c r="D639" s="33">
        <f>INDEX('ZCB Curve - Payment Dates'!$D$2:$D$246,MATCH(B639,'ZCB Curve - Payment Dates'!$A$2:$A$246,0))</f>
        <v>0.93000025435083566</v>
      </c>
      <c r="E639" s="32">
        <f t="shared" si="9"/>
        <v>2.9062507948463616</v>
      </c>
    </row>
    <row r="640" spans="1:5" x14ac:dyDescent="0.25">
      <c r="A640" s="17">
        <v>170</v>
      </c>
      <c r="B640" s="31">
        <v>47072</v>
      </c>
      <c r="C640" s="32">
        <f>INDEX('Input Data'!$B:$B,A640)/2+IF(A640&lt;&gt;A641,100,0)</f>
        <v>3.125</v>
      </c>
      <c r="D640" s="33">
        <f>INDEX('ZCB Curve - Payment Dates'!$D$2:$D$246,MATCH(B640,'ZCB Curve - Payment Dates'!$A$2:$A$246,0))</f>
        <v>0.90870125167038918</v>
      </c>
      <c r="E640" s="32">
        <f t="shared" si="9"/>
        <v>2.8396914114699663</v>
      </c>
    </row>
    <row r="641" spans="1:5" x14ac:dyDescent="0.25">
      <c r="A641" s="17">
        <v>170</v>
      </c>
      <c r="B641" s="31">
        <v>47253</v>
      </c>
      <c r="C641" s="32">
        <f>INDEX('Input Data'!$B:$B,A641)/2+IF(A641&lt;&gt;A642,100,0)</f>
        <v>3.125</v>
      </c>
      <c r="D641" s="33">
        <f>INDEX('ZCB Curve - Payment Dates'!$D$2:$D$246,MATCH(B641,'ZCB Curve - Payment Dates'!$A$2:$A$246,0))</f>
        <v>0.88809325063638844</v>
      </c>
      <c r="E641" s="32">
        <f t="shared" si="9"/>
        <v>2.7752914082387137</v>
      </c>
    </row>
    <row r="642" spans="1:5" x14ac:dyDescent="0.25">
      <c r="A642" s="17">
        <v>170</v>
      </c>
      <c r="B642" s="31">
        <v>47437</v>
      </c>
      <c r="C642" s="32">
        <f>INDEX('Input Data'!$B:$B,A642)/2+IF(A642&lt;&gt;A643,100,0)</f>
        <v>3.125</v>
      </c>
      <c r="D642" s="33">
        <f>INDEX('ZCB Curve - Payment Dates'!$D$2:$D$246,MATCH(B642,'ZCB Curve - Payment Dates'!$A$2:$A$246,0))</f>
        <v>0.86758824089536279</v>
      </c>
      <c r="E642" s="32">
        <f t="shared" ref="E642:E705" si="10">C642*D642</f>
        <v>2.7112132527980086</v>
      </c>
    </row>
    <row r="643" spans="1:5" x14ac:dyDescent="0.25">
      <c r="A643" s="17">
        <v>170</v>
      </c>
      <c r="B643" s="31">
        <v>47618</v>
      </c>
      <c r="C643" s="32">
        <f>INDEX('Input Data'!$B:$B,A643)/2+IF(A643&lt;&gt;A644,100,0)</f>
        <v>103.125</v>
      </c>
      <c r="D643" s="33">
        <f>INDEX('ZCB Curve - Payment Dates'!$D$2:$D$246,MATCH(B643,'ZCB Curve - Payment Dates'!$A$2:$A$246,0))</f>
        <v>0.84787416911783064</v>
      </c>
      <c r="E643" s="32">
        <f t="shared" si="10"/>
        <v>87.437023690276291</v>
      </c>
    </row>
    <row r="644" spans="1:5" x14ac:dyDescent="0.25">
      <c r="A644" s="17">
        <v>171</v>
      </c>
      <c r="B644" s="31">
        <v>46356</v>
      </c>
      <c r="C644" s="32">
        <f>INDEX('Input Data'!$B:$B,A644)/2+IF(A644&lt;&gt;A645,100,0)</f>
        <v>1.875</v>
      </c>
      <c r="D644" s="33">
        <f>INDEX('ZCB Curve - Payment Dates'!$D$2:$D$246,MATCH(B644,'ZCB Curve - Payment Dates'!$A$2:$A$246,0))</f>
        <v>0.99084497326382592</v>
      </c>
      <c r="E644" s="32">
        <f t="shared" si="10"/>
        <v>1.8578343248696736</v>
      </c>
    </row>
    <row r="645" spans="1:5" x14ac:dyDescent="0.25">
      <c r="A645" s="17">
        <v>171</v>
      </c>
      <c r="B645" s="31">
        <v>46538</v>
      </c>
      <c r="C645" s="32">
        <f>INDEX('Input Data'!$B:$B,A645)/2+IF(A645&lt;&gt;A646,100,0)</f>
        <v>1.875</v>
      </c>
      <c r="D645" s="33">
        <f>INDEX('ZCB Curve - Payment Dates'!$D$2:$D$246,MATCH(B645,'ZCB Curve - Payment Dates'!$A$2:$A$246,0))</f>
        <v>0.97060179184855555</v>
      </c>
      <c r="E645" s="32">
        <f t="shared" si="10"/>
        <v>1.8198783597160417</v>
      </c>
    </row>
    <row r="646" spans="1:5" x14ac:dyDescent="0.25">
      <c r="A646" s="17">
        <v>171</v>
      </c>
      <c r="B646" s="31">
        <v>46721</v>
      </c>
      <c r="C646" s="32">
        <f>INDEX('Input Data'!$B:$B,A646)/2+IF(A646&lt;&gt;A647,100,0)</f>
        <v>1.875</v>
      </c>
      <c r="D646" s="33">
        <f>INDEX('ZCB Curve - Payment Dates'!$D$2:$D$246,MATCH(B646,'ZCB Curve - Payment Dates'!$A$2:$A$246,0))</f>
        <v>0.94946404326393219</v>
      </c>
      <c r="E646" s="32">
        <f t="shared" si="10"/>
        <v>1.7802450811198729</v>
      </c>
    </row>
    <row r="647" spans="1:5" x14ac:dyDescent="0.25">
      <c r="A647" s="17">
        <v>171</v>
      </c>
      <c r="B647" s="31">
        <v>46904</v>
      </c>
      <c r="C647" s="32">
        <f>INDEX('Input Data'!$B:$B,A647)/2+IF(A647&lt;&gt;A648,100,0)</f>
        <v>1.875</v>
      </c>
      <c r="D647" s="33">
        <f>INDEX('ZCB Curve - Payment Dates'!$D$2:$D$246,MATCH(B647,'ZCB Curve - Payment Dates'!$A$2:$A$246,0))</f>
        <v>0.92813990099508414</v>
      </c>
      <c r="E647" s="32">
        <f t="shared" si="10"/>
        <v>1.7402623143657827</v>
      </c>
    </row>
    <row r="648" spans="1:5" x14ac:dyDescent="0.25">
      <c r="A648" s="17">
        <v>171</v>
      </c>
      <c r="B648" s="31">
        <v>47087</v>
      </c>
      <c r="C648" s="32">
        <f>INDEX('Input Data'!$B:$B,A648)/2+IF(A648&lt;&gt;A649,100,0)</f>
        <v>1.875</v>
      </c>
      <c r="D648" s="33">
        <f>INDEX('ZCB Curve - Payment Dates'!$D$2:$D$246,MATCH(B648,'ZCB Curve - Payment Dates'!$A$2:$A$246,0))</f>
        <v>0.90697842456009181</v>
      </c>
      <c r="E648" s="32">
        <f t="shared" si="10"/>
        <v>1.7005845460501721</v>
      </c>
    </row>
    <row r="649" spans="1:5" x14ac:dyDescent="0.25">
      <c r="A649" s="17">
        <v>171</v>
      </c>
      <c r="B649" s="31">
        <v>47269</v>
      </c>
      <c r="C649" s="32">
        <f>INDEX('Input Data'!$B:$B,A649)/2+IF(A649&lt;&gt;A650,100,0)</f>
        <v>1.875</v>
      </c>
      <c r="D649" s="33">
        <f>INDEX('ZCB Curve - Payment Dates'!$D$2:$D$246,MATCH(B649,'ZCB Curve - Payment Dates'!$A$2:$A$246,0))</f>
        <v>0.88629316931415014</v>
      </c>
      <c r="E649" s="32">
        <f t="shared" si="10"/>
        <v>1.6617996924640315</v>
      </c>
    </row>
    <row r="650" spans="1:5" x14ac:dyDescent="0.25">
      <c r="A650" s="17">
        <v>171</v>
      </c>
      <c r="B650" s="31">
        <v>47452</v>
      </c>
      <c r="C650" s="32">
        <f>INDEX('Input Data'!$B:$B,A650)/2+IF(A650&lt;&gt;A651,100,0)</f>
        <v>1.875</v>
      </c>
      <c r="D650" s="33">
        <f>INDEX('ZCB Curve - Payment Dates'!$D$2:$D$246,MATCH(B650,'ZCB Curve - Payment Dates'!$A$2:$A$246,0))</f>
        <v>0.86593718552386212</v>
      </c>
      <c r="E650" s="32">
        <f t="shared" si="10"/>
        <v>1.6236322228572415</v>
      </c>
    </row>
    <row r="651" spans="1:5" x14ac:dyDescent="0.25">
      <c r="A651" s="17">
        <v>171</v>
      </c>
      <c r="B651" s="31">
        <v>47634</v>
      </c>
      <c r="C651" s="32">
        <f>INDEX('Input Data'!$B:$B,A651)/2+IF(A651&lt;&gt;A652,100,0)</f>
        <v>101.875</v>
      </c>
      <c r="D651" s="33">
        <f>INDEX('ZCB Curve - Payment Dates'!$D$2:$D$246,MATCH(B651,'ZCB Curve - Payment Dates'!$A$2:$A$246,0))</f>
        <v>0.84615424839536502</v>
      </c>
      <c r="E651" s="32">
        <f t="shared" si="10"/>
        <v>86.201964055277813</v>
      </c>
    </row>
    <row r="652" spans="1:5" x14ac:dyDescent="0.25">
      <c r="A652" s="17">
        <v>172</v>
      </c>
      <c r="B652" s="31">
        <v>46356</v>
      </c>
      <c r="C652" s="32">
        <f>INDEX('Input Data'!$B:$B,A652)/2+IF(A652&lt;&gt;A653,100,0)</f>
        <v>2</v>
      </c>
      <c r="D652" s="33">
        <f>INDEX('ZCB Curve - Payment Dates'!$D$2:$D$246,MATCH(B652,'ZCB Curve - Payment Dates'!$A$2:$A$246,0))</f>
        <v>0.99084497326382592</v>
      </c>
      <c r="E652" s="32">
        <f t="shared" si="10"/>
        <v>1.9816899465276518</v>
      </c>
    </row>
    <row r="653" spans="1:5" x14ac:dyDescent="0.25">
      <c r="A653" s="17">
        <v>172</v>
      </c>
      <c r="B653" s="31">
        <v>46538</v>
      </c>
      <c r="C653" s="32">
        <f>INDEX('Input Data'!$B:$B,A653)/2+IF(A653&lt;&gt;A654,100,0)</f>
        <v>2</v>
      </c>
      <c r="D653" s="33">
        <f>INDEX('ZCB Curve - Payment Dates'!$D$2:$D$246,MATCH(B653,'ZCB Curve - Payment Dates'!$A$2:$A$246,0))</f>
        <v>0.97060179184855555</v>
      </c>
      <c r="E653" s="32">
        <f t="shared" si="10"/>
        <v>1.9412035836971111</v>
      </c>
    </row>
    <row r="654" spans="1:5" x14ac:dyDescent="0.25">
      <c r="A654" s="17">
        <v>172</v>
      </c>
      <c r="B654" s="31">
        <v>46721</v>
      </c>
      <c r="C654" s="32">
        <f>INDEX('Input Data'!$B:$B,A654)/2+IF(A654&lt;&gt;A655,100,0)</f>
        <v>2</v>
      </c>
      <c r="D654" s="33">
        <f>INDEX('ZCB Curve - Payment Dates'!$D$2:$D$246,MATCH(B654,'ZCB Curve - Payment Dates'!$A$2:$A$246,0))</f>
        <v>0.94946404326393219</v>
      </c>
      <c r="E654" s="32">
        <f t="shared" si="10"/>
        <v>1.8989280865278644</v>
      </c>
    </row>
    <row r="655" spans="1:5" x14ac:dyDescent="0.25">
      <c r="A655" s="17">
        <v>172</v>
      </c>
      <c r="B655" s="31">
        <v>46904</v>
      </c>
      <c r="C655" s="32">
        <f>INDEX('Input Data'!$B:$B,A655)/2+IF(A655&lt;&gt;A656,100,0)</f>
        <v>2</v>
      </c>
      <c r="D655" s="33">
        <f>INDEX('ZCB Curve - Payment Dates'!$D$2:$D$246,MATCH(B655,'ZCB Curve - Payment Dates'!$A$2:$A$246,0))</f>
        <v>0.92813990099508414</v>
      </c>
      <c r="E655" s="32">
        <f t="shared" si="10"/>
        <v>1.8562798019901683</v>
      </c>
    </row>
    <row r="656" spans="1:5" x14ac:dyDescent="0.25">
      <c r="A656" s="17">
        <v>172</v>
      </c>
      <c r="B656" s="31">
        <v>47087</v>
      </c>
      <c r="C656" s="32">
        <f>INDEX('Input Data'!$B:$B,A656)/2+IF(A656&lt;&gt;A657,100,0)</f>
        <v>2</v>
      </c>
      <c r="D656" s="33">
        <f>INDEX('ZCB Curve - Payment Dates'!$D$2:$D$246,MATCH(B656,'ZCB Curve - Payment Dates'!$A$2:$A$246,0))</f>
        <v>0.90697842456009181</v>
      </c>
      <c r="E656" s="32">
        <f t="shared" si="10"/>
        <v>1.8139568491201836</v>
      </c>
    </row>
    <row r="657" spans="1:5" x14ac:dyDescent="0.25">
      <c r="A657" s="17">
        <v>172</v>
      </c>
      <c r="B657" s="31">
        <v>47269</v>
      </c>
      <c r="C657" s="32">
        <f>INDEX('Input Data'!$B:$B,A657)/2+IF(A657&lt;&gt;A658,100,0)</f>
        <v>2</v>
      </c>
      <c r="D657" s="33">
        <f>INDEX('ZCB Curve - Payment Dates'!$D$2:$D$246,MATCH(B657,'ZCB Curve - Payment Dates'!$A$2:$A$246,0))</f>
        <v>0.88629316931415014</v>
      </c>
      <c r="E657" s="32">
        <f t="shared" si="10"/>
        <v>1.7725863386283003</v>
      </c>
    </row>
    <row r="658" spans="1:5" x14ac:dyDescent="0.25">
      <c r="A658" s="17">
        <v>172</v>
      </c>
      <c r="B658" s="31">
        <v>47452</v>
      </c>
      <c r="C658" s="32">
        <f>INDEX('Input Data'!$B:$B,A658)/2+IF(A658&lt;&gt;A659,100,0)</f>
        <v>2</v>
      </c>
      <c r="D658" s="33">
        <f>INDEX('ZCB Curve - Payment Dates'!$D$2:$D$246,MATCH(B658,'ZCB Curve - Payment Dates'!$A$2:$A$246,0))</f>
        <v>0.86593718552386212</v>
      </c>
      <c r="E658" s="32">
        <f t="shared" si="10"/>
        <v>1.7318743710477242</v>
      </c>
    </row>
    <row r="659" spans="1:5" x14ac:dyDescent="0.25">
      <c r="A659" s="17">
        <v>172</v>
      </c>
      <c r="B659" s="31">
        <v>47634</v>
      </c>
      <c r="C659" s="32">
        <f>INDEX('Input Data'!$B:$B,A659)/2+IF(A659&lt;&gt;A660,100,0)</f>
        <v>102</v>
      </c>
      <c r="D659" s="33">
        <f>INDEX('ZCB Curve - Payment Dates'!$D$2:$D$246,MATCH(B659,'ZCB Curve - Payment Dates'!$A$2:$A$246,0))</f>
        <v>0.84615424839536502</v>
      </c>
      <c r="E659" s="32">
        <f t="shared" si="10"/>
        <v>86.307733336327232</v>
      </c>
    </row>
    <row r="660" spans="1:5" x14ac:dyDescent="0.25">
      <c r="A660" s="17">
        <v>173</v>
      </c>
      <c r="B660" s="31">
        <v>46387</v>
      </c>
      <c r="C660" s="32">
        <f>INDEX('Input Data'!$B:$B,A660)/2+IF(A660&lt;&gt;A661,100,0)</f>
        <v>1.875</v>
      </c>
      <c r="D660" s="33">
        <f>INDEX('ZCB Curve - Payment Dates'!$D$2:$D$246,MATCH(B660,'ZCB Curve - Payment Dates'!$A$2:$A$246,0))</f>
        <v>0.987487116303851</v>
      </c>
      <c r="E660" s="32">
        <f t="shared" si="10"/>
        <v>1.8515383430697205</v>
      </c>
    </row>
    <row r="661" spans="1:5" x14ac:dyDescent="0.25">
      <c r="A661" s="17">
        <v>173</v>
      </c>
      <c r="B661" s="31">
        <v>46568</v>
      </c>
      <c r="C661" s="32">
        <f>INDEX('Input Data'!$B:$B,A661)/2+IF(A661&lt;&gt;A662,100,0)</f>
        <v>1.875</v>
      </c>
      <c r="D661" s="33">
        <f>INDEX('ZCB Curve - Payment Dates'!$D$2:$D$246,MATCH(B661,'ZCB Curve - Payment Dates'!$A$2:$A$246,0))</f>
        <v>0.96717094344557664</v>
      </c>
      <c r="E661" s="32">
        <f t="shared" si="10"/>
        <v>1.8134455189604561</v>
      </c>
    </row>
    <row r="662" spans="1:5" x14ac:dyDescent="0.25">
      <c r="A662" s="17">
        <v>173</v>
      </c>
      <c r="B662" s="31">
        <v>46752</v>
      </c>
      <c r="C662" s="32">
        <f>INDEX('Input Data'!$B:$B,A662)/2+IF(A662&lt;&gt;A663,100,0)</f>
        <v>1.875</v>
      </c>
      <c r="D662" s="33">
        <f>INDEX('ZCB Curve - Payment Dates'!$D$2:$D$246,MATCH(B662,'ZCB Curve - Payment Dates'!$A$2:$A$246,0))</f>
        <v>0.94585368463190456</v>
      </c>
      <c r="E662" s="32">
        <f t="shared" si="10"/>
        <v>1.773475658684821</v>
      </c>
    </row>
    <row r="663" spans="1:5" x14ac:dyDescent="0.25">
      <c r="A663" s="17">
        <v>173</v>
      </c>
      <c r="B663" s="31">
        <v>46934</v>
      </c>
      <c r="C663" s="32">
        <f>INDEX('Input Data'!$B:$B,A663)/2+IF(A663&lt;&gt;A664,100,0)</f>
        <v>1.875</v>
      </c>
      <c r="D663" s="33">
        <f>INDEX('ZCB Curve - Payment Dates'!$D$2:$D$246,MATCH(B663,'ZCB Curve - Payment Dates'!$A$2:$A$246,0))</f>
        <v>0.92465239860805604</v>
      </c>
      <c r="E663" s="32">
        <f t="shared" si="10"/>
        <v>1.733723247390105</v>
      </c>
    </row>
    <row r="664" spans="1:5" x14ac:dyDescent="0.25">
      <c r="A664" s="17">
        <v>173</v>
      </c>
      <c r="B664" s="31">
        <v>47118</v>
      </c>
      <c r="C664" s="32">
        <f>INDEX('Input Data'!$B:$B,A664)/2+IF(A664&lt;&gt;A665,100,0)</f>
        <v>1.875</v>
      </c>
      <c r="D664" s="33">
        <f>INDEX('ZCB Curve - Payment Dates'!$D$2:$D$246,MATCH(B664,'ZCB Curve - Payment Dates'!$A$2:$A$246,0))</f>
        <v>0.90342754291436123</v>
      </c>
      <c r="E664" s="32">
        <f t="shared" si="10"/>
        <v>1.6939266429644273</v>
      </c>
    </row>
    <row r="665" spans="1:5" x14ac:dyDescent="0.25">
      <c r="A665" s="17">
        <v>173</v>
      </c>
      <c r="B665" s="31">
        <v>47299</v>
      </c>
      <c r="C665" s="32">
        <f>INDEX('Input Data'!$B:$B,A665)/2+IF(A665&lt;&gt;A666,100,0)</f>
        <v>1.875</v>
      </c>
      <c r="D665" s="33">
        <f>INDEX('ZCB Curve - Payment Dates'!$D$2:$D$246,MATCH(B665,'ZCB Curve - Payment Dates'!$A$2:$A$246,0))</f>
        <v>0.88292427004927643</v>
      </c>
      <c r="E665" s="32">
        <f t="shared" si="10"/>
        <v>1.6554830063423933</v>
      </c>
    </row>
    <row r="666" spans="1:5" x14ac:dyDescent="0.25">
      <c r="A666" s="17">
        <v>173</v>
      </c>
      <c r="B666" s="31">
        <v>47483</v>
      </c>
      <c r="C666" s="32">
        <f>INDEX('Input Data'!$B:$B,A666)/2+IF(A666&lt;&gt;A667,100,0)</f>
        <v>1.875</v>
      </c>
      <c r="D666" s="33">
        <f>INDEX('ZCB Curve - Payment Dates'!$D$2:$D$246,MATCH(B666,'ZCB Curve - Payment Dates'!$A$2:$A$246,0))</f>
        <v>0.86253652987508767</v>
      </c>
      <c r="E666" s="32">
        <f t="shared" si="10"/>
        <v>1.6172559935157893</v>
      </c>
    </row>
    <row r="667" spans="1:5" x14ac:dyDescent="0.25">
      <c r="A667" s="17">
        <v>173</v>
      </c>
      <c r="B667" s="31">
        <v>47664</v>
      </c>
      <c r="C667" s="32">
        <f>INDEX('Input Data'!$B:$B,A667)/2+IF(A667&lt;&gt;A668,100,0)</f>
        <v>101.875</v>
      </c>
      <c r="D667" s="33">
        <f>INDEX('ZCB Curve - Payment Dates'!$D$2:$D$246,MATCH(B667,'ZCB Curve - Payment Dates'!$A$2:$A$246,0))</f>
        <v>0.84293550634880554</v>
      </c>
      <c r="E667" s="32">
        <f t="shared" si="10"/>
        <v>85.874054709284565</v>
      </c>
    </row>
    <row r="668" spans="1:5" x14ac:dyDescent="0.25">
      <c r="A668" s="17">
        <v>174</v>
      </c>
      <c r="B668" s="31">
        <v>46387</v>
      </c>
      <c r="C668" s="32">
        <f>INDEX('Input Data'!$B:$B,A668)/2+IF(A668&lt;&gt;A669,100,0)</f>
        <v>1.9375</v>
      </c>
      <c r="D668" s="33">
        <f>INDEX('ZCB Curve - Payment Dates'!$D$2:$D$246,MATCH(B668,'ZCB Curve - Payment Dates'!$A$2:$A$246,0))</f>
        <v>0.987487116303851</v>
      </c>
      <c r="E668" s="32">
        <f t="shared" si="10"/>
        <v>1.9132562878387114</v>
      </c>
    </row>
    <row r="669" spans="1:5" x14ac:dyDescent="0.25">
      <c r="A669" s="17">
        <v>174</v>
      </c>
      <c r="B669" s="31">
        <v>46568</v>
      </c>
      <c r="C669" s="32">
        <f>INDEX('Input Data'!$B:$B,A669)/2+IF(A669&lt;&gt;A670,100,0)</f>
        <v>1.9375</v>
      </c>
      <c r="D669" s="33">
        <f>INDEX('ZCB Curve - Payment Dates'!$D$2:$D$246,MATCH(B669,'ZCB Curve - Payment Dates'!$A$2:$A$246,0))</f>
        <v>0.96717094344557664</v>
      </c>
      <c r="E669" s="32">
        <f t="shared" si="10"/>
        <v>1.8738937029258047</v>
      </c>
    </row>
    <row r="670" spans="1:5" x14ac:dyDescent="0.25">
      <c r="A670" s="17">
        <v>174</v>
      </c>
      <c r="B670" s="31">
        <v>46752</v>
      </c>
      <c r="C670" s="32">
        <f>INDEX('Input Data'!$B:$B,A670)/2+IF(A670&lt;&gt;A671,100,0)</f>
        <v>1.9375</v>
      </c>
      <c r="D670" s="33">
        <f>INDEX('ZCB Curve - Payment Dates'!$D$2:$D$246,MATCH(B670,'ZCB Curve - Payment Dates'!$A$2:$A$246,0))</f>
        <v>0.94585368463190456</v>
      </c>
      <c r="E670" s="32">
        <f t="shared" si="10"/>
        <v>1.832591513974315</v>
      </c>
    </row>
    <row r="671" spans="1:5" x14ac:dyDescent="0.25">
      <c r="A671" s="17">
        <v>174</v>
      </c>
      <c r="B671" s="31">
        <v>46934</v>
      </c>
      <c r="C671" s="32">
        <f>INDEX('Input Data'!$B:$B,A671)/2+IF(A671&lt;&gt;A672,100,0)</f>
        <v>1.9375</v>
      </c>
      <c r="D671" s="33">
        <f>INDEX('ZCB Curve - Payment Dates'!$D$2:$D$246,MATCH(B671,'ZCB Curve - Payment Dates'!$A$2:$A$246,0))</f>
        <v>0.92465239860805604</v>
      </c>
      <c r="E671" s="32">
        <f t="shared" si="10"/>
        <v>1.7915140223031085</v>
      </c>
    </row>
    <row r="672" spans="1:5" x14ac:dyDescent="0.25">
      <c r="A672" s="17">
        <v>174</v>
      </c>
      <c r="B672" s="31">
        <v>47118</v>
      </c>
      <c r="C672" s="32">
        <f>INDEX('Input Data'!$B:$B,A672)/2+IF(A672&lt;&gt;A673,100,0)</f>
        <v>1.9375</v>
      </c>
      <c r="D672" s="33">
        <f>INDEX('ZCB Curve - Payment Dates'!$D$2:$D$246,MATCH(B672,'ZCB Curve - Payment Dates'!$A$2:$A$246,0))</f>
        <v>0.90342754291436123</v>
      </c>
      <c r="E672" s="32">
        <f t="shared" si="10"/>
        <v>1.7503908643965749</v>
      </c>
    </row>
    <row r="673" spans="1:5" x14ac:dyDescent="0.25">
      <c r="A673" s="17">
        <v>174</v>
      </c>
      <c r="B673" s="31">
        <v>47299</v>
      </c>
      <c r="C673" s="32">
        <f>INDEX('Input Data'!$B:$B,A673)/2+IF(A673&lt;&gt;A674,100,0)</f>
        <v>1.9375</v>
      </c>
      <c r="D673" s="33">
        <f>INDEX('ZCB Curve - Payment Dates'!$D$2:$D$246,MATCH(B673,'ZCB Curve - Payment Dates'!$A$2:$A$246,0))</f>
        <v>0.88292427004927643</v>
      </c>
      <c r="E673" s="32">
        <f t="shared" si="10"/>
        <v>1.7106657732204731</v>
      </c>
    </row>
    <row r="674" spans="1:5" x14ac:dyDescent="0.25">
      <c r="A674" s="17">
        <v>174</v>
      </c>
      <c r="B674" s="31">
        <v>47483</v>
      </c>
      <c r="C674" s="32">
        <f>INDEX('Input Data'!$B:$B,A674)/2+IF(A674&lt;&gt;A675,100,0)</f>
        <v>1.9375</v>
      </c>
      <c r="D674" s="33">
        <f>INDEX('ZCB Curve - Payment Dates'!$D$2:$D$246,MATCH(B674,'ZCB Curve - Payment Dates'!$A$2:$A$246,0))</f>
        <v>0.86253652987508767</v>
      </c>
      <c r="E674" s="32">
        <f t="shared" si="10"/>
        <v>1.6711645266329824</v>
      </c>
    </row>
    <row r="675" spans="1:5" x14ac:dyDescent="0.25">
      <c r="A675" s="17">
        <v>174</v>
      </c>
      <c r="B675" s="31">
        <v>47664</v>
      </c>
      <c r="C675" s="32">
        <f>INDEX('Input Data'!$B:$B,A675)/2+IF(A675&lt;&gt;A676,100,0)</f>
        <v>101.9375</v>
      </c>
      <c r="D675" s="33">
        <f>INDEX('ZCB Curve - Payment Dates'!$D$2:$D$246,MATCH(B675,'ZCB Curve - Payment Dates'!$A$2:$A$246,0))</f>
        <v>0.84293550634880554</v>
      </c>
      <c r="E675" s="32">
        <f t="shared" si="10"/>
        <v>85.926738178431364</v>
      </c>
    </row>
    <row r="676" spans="1:5" x14ac:dyDescent="0.25">
      <c r="A676" s="17">
        <v>175</v>
      </c>
      <c r="B676" s="31">
        <v>46418</v>
      </c>
      <c r="C676" s="32">
        <f>INDEX('Input Data'!$B:$B,A676)/2+IF(A676&lt;&gt;A677,100,0)</f>
        <v>1.9375</v>
      </c>
      <c r="D676" s="33">
        <f>INDEX('ZCB Curve - Payment Dates'!$D$2:$D$246,MATCH(B676,'ZCB Curve - Payment Dates'!$A$2:$A$246,0))</f>
        <v>0.98408668818349121</v>
      </c>
      <c r="E676" s="32">
        <f t="shared" si="10"/>
        <v>1.9066679583555142</v>
      </c>
    </row>
    <row r="677" spans="1:5" x14ac:dyDescent="0.25">
      <c r="A677" s="17">
        <v>175</v>
      </c>
      <c r="B677" s="31">
        <v>46599</v>
      </c>
      <c r="C677" s="32">
        <f>INDEX('Input Data'!$B:$B,A677)/2+IF(A677&lt;&gt;A678,100,0)</f>
        <v>1.9375</v>
      </c>
      <c r="D677" s="33">
        <f>INDEX('ZCB Curve - Payment Dates'!$D$2:$D$246,MATCH(B677,'ZCB Curve - Payment Dates'!$A$2:$A$246,0))</f>
        <v>0.96360931883583933</v>
      </c>
      <c r="E677" s="32">
        <f t="shared" si="10"/>
        <v>1.8669930552444387</v>
      </c>
    </row>
    <row r="678" spans="1:5" x14ac:dyDescent="0.25">
      <c r="A678" s="17">
        <v>175</v>
      </c>
      <c r="B678" s="31">
        <v>46783</v>
      </c>
      <c r="C678" s="32">
        <f>INDEX('Input Data'!$B:$B,A678)/2+IF(A678&lt;&gt;A679,100,0)</f>
        <v>1.9375</v>
      </c>
      <c r="D678" s="33">
        <f>INDEX('ZCB Curve - Payment Dates'!$D$2:$D$246,MATCH(B678,'ZCB Curve - Payment Dates'!$A$2:$A$246,0))</f>
        <v>0.94224051785347052</v>
      </c>
      <c r="E678" s="32">
        <f t="shared" si="10"/>
        <v>1.8255910033410991</v>
      </c>
    </row>
    <row r="679" spans="1:5" x14ac:dyDescent="0.25">
      <c r="A679" s="17">
        <v>175</v>
      </c>
      <c r="B679" s="31">
        <v>46965</v>
      </c>
      <c r="C679" s="32">
        <f>INDEX('Input Data'!$B:$B,A679)/2+IF(A679&lt;&gt;A680,100,0)</f>
        <v>1.9375</v>
      </c>
      <c r="D679" s="33">
        <f>INDEX('ZCB Curve - Payment Dates'!$D$2:$D$246,MATCH(B679,'ZCB Curve - Payment Dates'!$A$2:$A$246,0))</f>
        <v>0.92105657743562108</v>
      </c>
      <c r="E679" s="32">
        <f t="shared" si="10"/>
        <v>1.7845471187815158</v>
      </c>
    </row>
    <row r="680" spans="1:5" x14ac:dyDescent="0.25">
      <c r="A680" s="17">
        <v>175</v>
      </c>
      <c r="B680" s="31">
        <v>47149</v>
      </c>
      <c r="C680" s="32">
        <f>INDEX('Input Data'!$B:$B,A680)/2+IF(A680&lt;&gt;A681,100,0)</f>
        <v>1.9375</v>
      </c>
      <c r="D680" s="33">
        <f>INDEX('ZCB Curve - Payment Dates'!$D$2:$D$246,MATCH(B680,'ZCB Curve - Payment Dates'!$A$2:$A$246,0))</f>
        <v>0.89988368588562773</v>
      </c>
      <c r="E680" s="32">
        <f t="shared" si="10"/>
        <v>1.7435246414034038</v>
      </c>
    </row>
    <row r="681" spans="1:5" x14ac:dyDescent="0.25">
      <c r="A681" s="17">
        <v>175</v>
      </c>
      <c r="B681" s="31">
        <v>47330</v>
      </c>
      <c r="C681" s="32">
        <f>INDEX('Input Data'!$B:$B,A681)/2+IF(A681&lt;&gt;A682,100,0)</f>
        <v>1.9375</v>
      </c>
      <c r="D681" s="33">
        <f>INDEX('ZCB Curve - Payment Dates'!$D$2:$D$246,MATCH(B681,'ZCB Curve - Payment Dates'!$A$2:$A$246,0))</f>
        <v>0.87945764483737499</v>
      </c>
      <c r="E681" s="32">
        <f t="shared" si="10"/>
        <v>1.7039491868724141</v>
      </c>
    </row>
    <row r="682" spans="1:5" x14ac:dyDescent="0.25">
      <c r="A682" s="17">
        <v>175</v>
      </c>
      <c r="B682" s="31">
        <v>47514</v>
      </c>
      <c r="C682" s="32">
        <f>INDEX('Input Data'!$B:$B,A682)/2+IF(A682&lt;&gt;A683,100,0)</f>
        <v>1.9375</v>
      </c>
      <c r="D682" s="33">
        <f>INDEX('ZCB Curve - Payment Dates'!$D$2:$D$246,MATCH(B682,'ZCB Curve - Payment Dates'!$A$2:$A$246,0))</f>
        <v>0.8591452031111062</v>
      </c>
      <c r="E682" s="32">
        <f t="shared" si="10"/>
        <v>1.6645938310277684</v>
      </c>
    </row>
    <row r="683" spans="1:5" x14ac:dyDescent="0.25">
      <c r="A683" s="17">
        <v>175</v>
      </c>
      <c r="B683" s="31">
        <v>47695</v>
      </c>
      <c r="C683" s="32">
        <f>INDEX('Input Data'!$B:$B,A683)/2+IF(A683&lt;&gt;A684,100,0)</f>
        <v>101.9375</v>
      </c>
      <c r="D683" s="33">
        <f>INDEX('ZCB Curve - Payment Dates'!$D$2:$D$246,MATCH(B683,'ZCB Curve - Payment Dates'!$A$2:$A$246,0))</f>
        <v>0.83962327815837468</v>
      </c>
      <c r="E683" s="32">
        <f t="shared" si="10"/>
        <v>85.589097917269314</v>
      </c>
    </row>
    <row r="684" spans="1:5" x14ac:dyDescent="0.25">
      <c r="A684" s="17">
        <v>176</v>
      </c>
      <c r="B684" s="31">
        <v>46418</v>
      </c>
      <c r="C684" s="32">
        <f>INDEX('Input Data'!$B:$B,A684)/2+IF(A684&lt;&gt;A685,100,0)</f>
        <v>2</v>
      </c>
      <c r="D684" s="33">
        <f>INDEX('ZCB Curve - Payment Dates'!$D$2:$D$246,MATCH(B684,'ZCB Curve - Payment Dates'!$A$2:$A$246,0))</f>
        <v>0.98408668818349121</v>
      </c>
      <c r="E684" s="32">
        <f t="shared" si="10"/>
        <v>1.9681733763669824</v>
      </c>
    </row>
    <row r="685" spans="1:5" x14ac:dyDescent="0.25">
      <c r="A685" s="17">
        <v>176</v>
      </c>
      <c r="B685" s="31">
        <v>46599</v>
      </c>
      <c r="C685" s="32">
        <f>INDEX('Input Data'!$B:$B,A685)/2+IF(A685&lt;&gt;A686,100,0)</f>
        <v>2</v>
      </c>
      <c r="D685" s="33">
        <f>INDEX('ZCB Curve - Payment Dates'!$D$2:$D$246,MATCH(B685,'ZCB Curve - Payment Dates'!$A$2:$A$246,0))</f>
        <v>0.96360931883583933</v>
      </c>
      <c r="E685" s="32">
        <f t="shared" si="10"/>
        <v>1.9272186376716787</v>
      </c>
    </row>
    <row r="686" spans="1:5" x14ac:dyDescent="0.25">
      <c r="A686" s="17">
        <v>176</v>
      </c>
      <c r="B686" s="31">
        <v>46783</v>
      </c>
      <c r="C686" s="32">
        <f>INDEX('Input Data'!$B:$B,A686)/2+IF(A686&lt;&gt;A687,100,0)</f>
        <v>2</v>
      </c>
      <c r="D686" s="33">
        <f>INDEX('ZCB Curve - Payment Dates'!$D$2:$D$246,MATCH(B686,'ZCB Curve - Payment Dates'!$A$2:$A$246,0))</f>
        <v>0.94224051785347052</v>
      </c>
      <c r="E686" s="32">
        <f t="shared" si="10"/>
        <v>1.884481035706941</v>
      </c>
    </row>
    <row r="687" spans="1:5" x14ac:dyDescent="0.25">
      <c r="A687" s="17">
        <v>176</v>
      </c>
      <c r="B687" s="31">
        <v>46965</v>
      </c>
      <c r="C687" s="32">
        <f>INDEX('Input Data'!$B:$B,A687)/2+IF(A687&lt;&gt;A688,100,0)</f>
        <v>2</v>
      </c>
      <c r="D687" s="33">
        <f>INDEX('ZCB Curve - Payment Dates'!$D$2:$D$246,MATCH(B687,'ZCB Curve - Payment Dates'!$A$2:$A$246,0))</f>
        <v>0.92105657743562108</v>
      </c>
      <c r="E687" s="32">
        <f t="shared" si="10"/>
        <v>1.8421131548712422</v>
      </c>
    </row>
    <row r="688" spans="1:5" x14ac:dyDescent="0.25">
      <c r="A688" s="17">
        <v>176</v>
      </c>
      <c r="B688" s="31">
        <v>47149</v>
      </c>
      <c r="C688" s="32">
        <f>INDEX('Input Data'!$B:$B,A688)/2+IF(A688&lt;&gt;A689,100,0)</f>
        <v>2</v>
      </c>
      <c r="D688" s="33">
        <f>INDEX('ZCB Curve - Payment Dates'!$D$2:$D$246,MATCH(B688,'ZCB Curve - Payment Dates'!$A$2:$A$246,0))</f>
        <v>0.89988368588562773</v>
      </c>
      <c r="E688" s="32">
        <f t="shared" si="10"/>
        <v>1.7997673717712555</v>
      </c>
    </row>
    <row r="689" spans="1:5" x14ac:dyDescent="0.25">
      <c r="A689" s="17">
        <v>176</v>
      </c>
      <c r="B689" s="31">
        <v>47330</v>
      </c>
      <c r="C689" s="32">
        <f>INDEX('Input Data'!$B:$B,A689)/2+IF(A689&lt;&gt;A690,100,0)</f>
        <v>2</v>
      </c>
      <c r="D689" s="33">
        <f>INDEX('ZCB Curve - Payment Dates'!$D$2:$D$246,MATCH(B689,'ZCB Curve - Payment Dates'!$A$2:$A$246,0))</f>
        <v>0.87945764483737499</v>
      </c>
      <c r="E689" s="32">
        <f t="shared" si="10"/>
        <v>1.75891528967475</v>
      </c>
    </row>
    <row r="690" spans="1:5" x14ac:dyDescent="0.25">
      <c r="A690" s="17">
        <v>176</v>
      </c>
      <c r="B690" s="31">
        <v>47514</v>
      </c>
      <c r="C690" s="32">
        <f>INDEX('Input Data'!$B:$B,A690)/2+IF(A690&lt;&gt;A691,100,0)</f>
        <v>2</v>
      </c>
      <c r="D690" s="33">
        <f>INDEX('ZCB Curve - Payment Dates'!$D$2:$D$246,MATCH(B690,'ZCB Curve - Payment Dates'!$A$2:$A$246,0))</f>
        <v>0.8591452031111062</v>
      </c>
      <c r="E690" s="32">
        <f t="shared" si="10"/>
        <v>1.7182904062222124</v>
      </c>
    </row>
    <row r="691" spans="1:5" x14ac:dyDescent="0.25">
      <c r="A691" s="17">
        <v>176</v>
      </c>
      <c r="B691" s="31">
        <v>47695</v>
      </c>
      <c r="C691" s="32">
        <f>INDEX('Input Data'!$B:$B,A691)/2+IF(A691&lt;&gt;A692,100,0)</f>
        <v>102</v>
      </c>
      <c r="D691" s="33">
        <f>INDEX('ZCB Curve - Payment Dates'!$D$2:$D$246,MATCH(B691,'ZCB Curve - Payment Dates'!$A$2:$A$246,0))</f>
        <v>0.83962327815837468</v>
      </c>
      <c r="E691" s="32">
        <f t="shared" si="10"/>
        <v>85.64157437215421</v>
      </c>
    </row>
    <row r="692" spans="1:5" x14ac:dyDescent="0.25">
      <c r="A692" s="17">
        <v>177</v>
      </c>
      <c r="B692" s="31">
        <v>46433</v>
      </c>
      <c r="C692" s="32">
        <f>INDEX('Input Data'!$B:$B,A692)/2+IF(A692&lt;&gt;A693,100,0)</f>
        <v>0.3125</v>
      </c>
      <c r="D692" s="33">
        <f>INDEX('ZCB Curve - Payment Dates'!$D$2:$D$246,MATCH(B692,'ZCB Curve - Payment Dates'!$A$2:$A$246,0))</f>
        <v>0.98242671792446301</v>
      </c>
      <c r="E692" s="32">
        <f t="shared" si="10"/>
        <v>0.3070083493513947</v>
      </c>
    </row>
    <row r="693" spans="1:5" x14ac:dyDescent="0.25">
      <c r="A693" s="17">
        <v>177</v>
      </c>
      <c r="B693" s="31">
        <v>46614</v>
      </c>
      <c r="C693" s="32">
        <f>INDEX('Input Data'!$B:$B,A693)/2+IF(A693&lt;&gt;A694,100,0)</f>
        <v>0.3125</v>
      </c>
      <c r="D693" s="33">
        <f>INDEX('ZCB Curve - Payment Dates'!$D$2:$D$246,MATCH(B693,'ZCB Curve - Payment Dates'!$A$2:$A$246,0))</f>
        <v>0.96187948164765535</v>
      </c>
      <c r="E693" s="32">
        <f t="shared" si="10"/>
        <v>0.30058733801489229</v>
      </c>
    </row>
    <row r="694" spans="1:5" x14ac:dyDescent="0.25">
      <c r="A694" s="17">
        <v>177</v>
      </c>
      <c r="B694" s="31">
        <v>46798</v>
      </c>
      <c r="C694" s="32">
        <f>INDEX('Input Data'!$B:$B,A694)/2+IF(A694&lt;&gt;A695,100,0)</f>
        <v>0.3125</v>
      </c>
      <c r="D694" s="33">
        <f>INDEX('ZCB Curve - Payment Dates'!$D$2:$D$246,MATCH(B694,'ZCB Curve - Payment Dates'!$A$2:$A$246,0))</f>
        <v>0.94049096132648802</v>
      </c>
      <c r="E694" s="32">
        <f t="shared" si="10"/>
        <v>0.29390342541452752</v>
      </c>
    </row>
    <row r="695" spans="1:5" x14ac:dyDescent="0.25">
      <c r="A695" s="17">
        <v>177</v>
      </c>
      <c r="B695" s="31">
        <v>46980</v>
      </c>
      <c r="C695" s="32">
        <f>INDEX('Input Data'!$B:$B,A695)/2+IF(A695&lt;&gt;A696,100,0)</f>
        <v>0.3125</v>
      </c>
      <c r="D695" s="33">
        <f>INDEX('ZCB Curve - Payment Dates'!$D$2:$D$246,MATCH(B695,'ZCB Curve - Payment Dates'!$A$2:$A$246,0))</f>
        <v>0.91931844130238327</v>
      </c>
      <c r="E695" s="32">
        <f t="shared" si="10"/>
        <v>0.28728701290699477</v>
      </c>
    </row>
    <row r="696" spans="1:5" x14ac:dyDescent="0.25">
      <c r="A696" s="17">
        <v>177</v>
      </c>
      <c r="B696" s="31">
        <v>47164</v>
      </c>
      <c r="C696" s="32">
        <f>INDEX('Input Data'!$B:$B,A696)/2+IF(A696&lt;&gt;A697,100,0)</f>
        <v>0.3125</v>
      </c>
      <c r="D696" s="33">
        <f>INDEX('ZCB Curve - Payment Dates'!$D$2:$D$246,MATCH(B696,'ZCB Curve - Payment Dates'!$A$2:$A$246,0))</f>
        <v>0.89817430058086534</v>
      </c>
      <c r="E696" s="32">
        <f t="shared" si="10"/>
        <v>0.2806794689315204</v>
      </c>
    </row>
    <row r="697" spans="1:5" x14ac:dyDescent="0.25">
      <c r="A697" s="17">
        <v>177</v>
      </c>
      <c r="B697" s="31">
        <v>47345</v>
      </c>
      <c r="C697" s="32">
        <f>INDEX('Input Data'!$B:$B,A697)/2+IF(A697&lt;&gt;A698,100,0)</f>
        <v>0.3125</v>
      </c>
      <c r="D697" s="33">
        <f>INDEX('ZCB Curve - Payment Dates'!$D$2:$D$246,MATCH(B697,'ZCB Curve - Payment Dates'!$A$2:$A$246,0))</f>
        <v>0.87778421628860481</v>
      </c>
      <c r="E697" s="32">
        <f t="shared" si="10"/>
        <v>0.27430756759018898</v>
      </c>
    </row>
    <row r="698" spans="1:5" x14ac:dyDescent="0.25">
      <c r="A698" s="17">
        <v>177</v>
      </c>
      <c r="B698" s="31">
        <v>47529</v>
      </c>
      <c r="C698" s="32">
        <f>INDEX('Input Data'!$B:$B,A698)/2+IF(A698&lt;&gt;A699,100,0)</f>
        <v>0.3125</v>
      </c>
      <c r="D698" s="33">
        <f>INDEX('ZCB Curve - Payment Dates'!$D$2:$D$246,MATCH(B698,'ZCB Curve - Payment Dates'!$A$2:$A$246,0))</f>
        <v>0.85751015570959666</v>
      </c>
      <c r="E698" s="32">
        <f t="shared" si="10"/>
        <v>0.26797192365924893</v>
      </c>
    </row>
    <row r="699" spans="1:5" x14ac:dyDescent="0.25">
      <c r="A699" s="17">
        <v>177</v>
      </c>
      <c r="B699" s="31">
        <v>47710</v>
      </c>
      <c r="C699" s="32">
        <f>INDEX('Input Data'!$B:$B,A699)/2+IF(A699&lt;&gt;A700,100,0)</f>
        <v>100.3125</v>
      </c>
      <c r="D699" s="33">
        <f>INDEX('ZCB Curve - Payment Dates'!$D$2:$D$246,MATCH(B699,'ZCB Curve - Payment Dates'!$A$2:$A$246,0))</f>
        <v>0.83802423748211174</v>
      </c>
      <c r="E699" s="32">
        <f t="shared" si="10"/>
        <v>84.064306322424329</v>
      </c>
    </row>
    <row r="700" spans="1:5" x14ac:dyDescent="0.25">
      <c r="A700" s="17">
        <v>178</v>
      </c>
      <c r="B700" s="31">
        <v>46446</v>
      </c>
      <c r="C700" s="32">
        <f>INDEX('Input Data'!$B:$B,A700)/2+IF(A700&lt;&gt;A701,100,0)</f>
        <v>1.8125</v>
      </c>
      <c r="D700" s="33">
        <f>INDEX('ZCB Curve - Payment Dates'!$D$2:$D$246,MATCH(B700,'ZCB Curve - Payment Dates'!$A$2:$A$246,0))</f>
        <v>0.98098215746395478</v>
      </c>
      <c r="E700" s="32">
        <f t="shared" si="10"/>
        <v>1.7780301604034181</v>
      </c>
    </row>
    <row r="701" spans="1:5" x14ac:dyDescent="0.25">
      <c r="A701" s="17">
        <v>178</v>
      </c>
      <c r="B701" s="31">
        <v>46630</v>
      </c>
      <c r="C701" s="32">
        <f>INDEX('Input Data'!$B:$B,A701)/2+IF(A701&lt;&gt;A702,100,0)</f>
        <v>1.8125</v>
      </c>
      <c r="D701" s="33">
        <f>INDEX('ZCB Curve - Payment Dates'!$D$2:$D$246,MATCH(B701,'ZCB Curve - Payment Dates'!$A$2:$A$246,0))</f>
        <v>0.96003246313192503</v>
      </c>
      <c r="E701" s="32">
        <f t="shared" si="10"/>
        <v>1.7400588394266141</v>
      </c>
    </row>
    <row r="702" spans="1:5" x14ac:dyDescent="0.25">
      <c r="A702" s="17">
        <v>178</v>
      </c>
      <c r="B702" s="31">
        <v>46812</v>
      </c>
      <c r="C702" s="32">
        <f>INDEX('Input Data'!$B:$B,A702)/2+IF(A702&lt;&gt;A703,100,0)</f>
        <v>1.8125</v>
      </c>
      <c r="D702" s="33">
        <f>INDEX('ZCB Curve - Payment Dates'!$D$2:$D$246,MATCH(B702,'ZCB Curve - Payment Dates'!$A$2:$A$246,0))</f>
        <v>0.938856338180596</v>
      </c>
      <c r="E702" s="32">
        <f t="shared" si="10"/>
        <v>1.7016771129523303</v>
      </c>
    </row>
    <row r="703" spans="1:5" x14ac:dyDescent="0.25">
      <c r="A703" s="17">
        <v>178</v>
      </c>
      <c r="B703" s="31">
        <v>46996</v>
      </c>
      <c r="C703" s="32">
        <f>INDEX('Input Data'!$B:$B,A703)/2+IF(A703&lt;&gt;A704,100,0)</f>
        <v>1.8125</v>
      </c>
      <c r="D703" s="33">
        <f>INDEX('ZCB Curve - Payment Dates'!$D$2:$D$246,MATCH(B703,'ZCB Curve - Payment Dates'!$A$2:$A$246,0))</f>
        <v>0.91746393725908559</v>
      </c>
      <c r="E703" s="32">
        <f t="shared" si="10"/>
        <v>1.6629033862820926</v>
      </c>
    </row>
    <row r="704" spans="1:5" x14ac:dyDescent="0.25">
      <c r="A704" s="17">
        <v>178</v>
      </c>
      <c r="B704" s="31">
        <v>47177</v>
      </c>
      <c r="C704" s="32">
        <f>INDEX('Input Data'!$B:$B,A704)/2+IF(A704&lt;&gt;A705,100,0)</f>
        <v>1.8125</v>
      </c>
      <c r="D704" s="33">
        <f>INDEX('ZCB Curve - Payment Dates'!$D$2:$D$246,MATCH(B704,'ZCB Curve - Payment Dates'!$A$2:$A$246,0))</f>
        <v>0.89669591867999909</v>
      </c>
      <c r="E704" s="32">
        <f t="shared" si="10"/>
        <v>1.6252613526074984</v>
      </c>
    </row>
    <row r="705" spans="1:5" x14ac:dyDescent="0.25">
      <c r="A705" s="17">
        <v>178</v>
      </c>
      <c r="B705" s="31">
        <v>47361</v>
      </c>
      <c r="C705" s="32">
        <f>INDEX('Input Data'!$B:$B,A705)/2+IF(A705&lt;&gt;A706,100,0)</f>
        <v>1.8125</v>
      </c>
      <c r="D705" s="33">
        <f>INDEX('ZCB Curve - Payment Dates'!$D$2:$D$246,MATCH(B705,'ZCB Curve - Payment Dates'!$A$2:$A$246,0))</f>
        <v>0.87600023126237014</v>
      </c>
      <c r="E705" s="32">
        <f t="shared" si="10"/>
        <v>1.5877504191630458</v>
      </c>
    </row>
    <row r="706" spans="1:5" x14ac:dyDescent="0.25">
      <c r="A706" s="17">
        <v>178</v>
      </c>
      <c r="B706" s="31">
        <v>47542</v>
      </c>
      <c r="C706" s="32">
        <f>INDEX('Input Data'!$B:$B,A706)/2+IF(A706&lt;&gt;A707,100,0)</f>
        <v>1.8125</v>
      </c>
      <c r="D706" s="33">
        <f>INDEX('ZCB Curve - Payment Dates'!$D$2:$D$246,MATCH(B706,'ZCB Curve - Payment Dates'!$A$2:$A$246,0))</f>
        <v>0.85609640433764933</v>
      </c>
      <c r="E706" s="32">
        <f t="shared" ref="E706:E769" si="11">C706*D706</f>
        <v>1.5516747328619893</v>
      </c>
    </row>
    <row r="707" spans="1:5" x14ac:dyDescent="0.25">
      <c r="A707" s="17">
        <v>178</v>
      </c>
      <c r="B707" s="31">
        <v>47726</v>
      </c>
      <c r="C707" s="32">
        <f>INDEX('Input Data'!$B:$B,A707)/2+IF(A707&lt;&gt;A708,100,0)</f>
        <v>101.8125</v>
      </c>
      <c r="D707" s="33">
        <f>INDEX('ZCB Curve - Payment Dates'!$D$2:$D$246,MATCH(B707,'ZCB Curve - Payment Dates'!$A$2:$A$246,0))</f>
        <v>0.8363193958894809</v>
      </c>
      <c r="E707" s="32">
        <f t="shared" si="11"/>
        <v>85.147768493997773</v>
      </c>
    </row>
    <row r="708" spans="1:5" x14ac:dyDescent="0.25">
      <c r="A708" s="17">
        <v>179</v>
      </c>
      <c r="B708" s="31">
        <v>46446</v>
      </c>
      <c r="C708" s="32">
        <f>INDEX('Input Data'!$B:$B,A708)/2+IF(A708&lt;&gt;A709,100,0)</f>
        <v>2.0625</v>
      </c>
      <c r="D708" s="33">
        <f>INDEX('ZCB Curve - Payment Dates'!$D$2:$D$246,MATCH(B708,'ZCB Curve - Payment Dates'!$A$2:$A$246,0))</f>
        <v>0.98098215746395478</v>
      </c>
      <c r="E708" s="32">
        <f t="shared" si="11"/>
        <v>2.0232756997694068</v>
      </c>
    </row>
    <row r="709" spans="1:5" x14ac:dyDescent="0.25">
      <c r="A709" s="17">
        <v>179</v>
      </c>
      <c r="B709" s="31">
        <v>46630</v>
      </c>
      <c r="C709" s="32">
        <f>INDEX('Input Data'!$B:$B,A709)/2+IF(A709&lt;&gt;A710,100,0)</f>
        <v>2.0625</v>
      </c>
      <c r="D709" s="33">
        <f>INDEX('ZCB Curve - Payment Dates'!$D$2:$D$246,MATCH(B709,'ZCB Curve - Payment Dates'!$A$2:$A$246,0))</f>
        <v>0.96003246313192503</v>
      </c>
      <c r="E709" s="32">
        <f t="shared" si="11"/>
        <v>1.9800669552095953</v>
      </c>
    </row>
    <row r="710" spans="1:5" x14ac:dyDescent="0.25">
      <c r="A710" s="17">
        <v>179</v>
      </c>
      <c r="B710" s="31">
        <v>46812</v>
      </c>
      <c r="C710" s="32">
        <f>INDEX('Input Data'!$B:$B,A710)/2+IF(A710&lt;&gt;A711,100,0)</f>
        <v>2.0625</v>
      </c>
      <c r="D710" s="33">
        <f>INDEX('ZCB Curve - Payment Dates'!$D$2:$D$246,MATCH(B710,'ZCB Curve - Payment Dates'!$A$2:$A$246,0))</f>
        <v>0.938856338180596</v>
      </c>
      <c r="E710" s="32">
        <f t="shared" si="11"/>
        <v>1.9363911974974792</v>
      </c>
    </row>
    <row r="711" spans="1:5" x14ac:dyDescent="0.25">
      <c r="A711" s="17">
        <v>179</v>
      </c>
      <c r="B711" s="31">
        <v>46996</v>
      </c>
      <c r="C711" s="32">
        <f>INDEX('Input Data'!$B:$B,A711)/2+IF(A711&lt;&gt;A712,100,0)</f>
        <v>2.0625</v>
      </c>
      <c r="D711" s="33">
        <f>INDEX('ZCB Curve - Payment Dates'!$D$2:$D$246,MATCH(B711,'ZCB Curve - Payment Dates'!$A$2:$A$246,0))</f>
        <v>0.91746393725908559</v>
      </c>
      <c r="E711" s="32">
        <f t="shared" si="11"/>
        <v>1.8922693705968641</v>
      </c>
    </row>
    <row r="712" spans="1:5" x14ac:dyDescent="0.25">
      <c r="A712" s="17">
        <v>179</v>
      </c>
      <c r="B712" s="31">
        <v>47177</v>
      </c>
      <c r="C712" s="32">
        <f>INDEX('Input Data'!$B:$B,A712)/2+IF(A712&lt;&gt;A713,100,0)</f>
        <v>2.0625</v>
      </c>
      <c r="D712" s="33">
        <f>INDEX('ZCB Curve - Payment Dates'!$D$2:$D$246,MATCH(B712,'ZCB Curve - Payment Dates'!$A$2:$A$246,0))</f>
        <v>0.89669591867999909</v>
      </c>
      <c r="E712" s="32">
        <f t="shared" si="11"/>
        <v>1.8494353322774981</v>
      </c>
    </row>
    <row r="713" spans="1:5" x14ac:dyDescent="0.25">
      <c r="A713" s="17">
        <v>179</v>
      </c>
      <c r="B713" s="31">
        <v>47361</v>
      </c>
      <c r="C713" s="32">
        <f>INDEX('Input Data'!$B:$B,A713)/2+IF(A713&lt;&gt;A714,100,0)</f>
        <v>2.0625</v>
      </c>
      <c r="D713" s="33">
        <f>INDEX('ZCB Curve - Payment Dates'!$D$2:$D$246,MATCH(B713,'ZCB Curve - Payment Dates'!$A$2:$A$246,0))</f>
        <v>0.87600023126237014</v>
      </c>
      <c r="E713" s="32">
        <f t="shared" si="11"/>
        <v>1.8067504769786384</v>
      </c>
    </row>
    <row r="714" spans="1:5" x14ac:dyDescent="0.25">
      <c r="A714" s="17">
        <v>179</v>
      </c>
      <c r="B714" s="31">
        <v>47542</v>
      </c>
      <c r="C714" s="32">
        <f>INDEX('Input Data'!$B:$B,A714)/2+IF(A714&lt;&gt;A715,100,0)</f>
        <v>2.0625</v>
      </c>
      <c r="D714" s="33">
        <f>INDEX('ZCB Curve - Payment Dates'!$D$2:$D$246,MATCH(B714,'ZCB Curve - Payment Dates'!$A$2:$A$246,0))</f>
        <v>0.85609640433764933</v>
      </c>
      <c r="E714" s="32">
        <f t="shared" si="11"/>
        <v>1.7656988339464017</v>
      </c>
    </row>
    <row r="715" spans="1:5" x14ac:dyDescent="0.25">
      <c r="A715" s="17">
        <v>179</v>
      </c>
      <c r="B715" s="31">
        <v>47726</v>
      </c>
      <c r="C715" s="32">
        <f>INDEX('Input Data'!$B:$B,A715)/2+IF(A715&lt;&gt;A716,100,0)</f>
        <v>102.0625</v>
      </c>
      <c r="D715" s="33">
        <f>INDEX('ZCB Curve - Payment Dates'!$D$2:$D$246,MATCH(B715,'ZCB Curve - Payment Dates'!$A$2:$A$246,0))</f>
        <v>0.8363193958894809</v>
      </c>
      <c r="E715" s="32">
        <f t="shared" si="11"/>
        <v>85.356848342970139</v>
      </c>
    </row>
    <row r="716" spans="1:5" x14ac:dyDescent="0.25">
      <c r="A716" s="17">
        <v>180</v>
      </c>
      <c r="B716" s="31">
        <v>46295</v>
      </c>
      <c r="C716" s="32">
        <f>INDEX('Input Data'!$B:$B,A716)/2+IF(A716&lt;&gt;A717,100,0)</f>
        <v>1.8125</v>
      </c>
      <c r="D716" s="33">
        <f>INDEX('ZCB Curve - Payment Dates'!$D$2:$D$246,MATCH(B716,'ZCB Curve - Payment Dates'!$A$2:$A$246,0))</f>
        <v>0.9973127951237063</v>
      </c>
      <c r="E716" s="32">
        <f t="shared" si="11"/>
        <v>1.8076294411617178</v>
      </c>
    </row>
    <row r="717" spans="1:5" x14ac:dyDescent="0.25">
      <c r="A717" s="17">
        <v>180</v>
      </c>
      <c r="B717" s="31">
        <v>46477</v>
      </c>
      <c r="C717" s="32">
        <f>INDEX('Input Data'!$B:$B,A717)/2+IF(A717&lt;&gt;A718,100,0)</f>
        <v>1.8125</v>
      </c>
      <c r="D717" s="33">
        <f>INDEX('ZCB Curve - Payment Dates'!$D$2:$D$246,MATCH(B717,'ZCB Curve - Payment Dates'!$A$2:$A$246,0))</f>
        <v>0.97750981974188245</v>
      </c>
      <c r="E717" s="32">
        <f t="shared" si="11"/>
        <v>1.7717365482821619</v>
      </c>
    </row>
    <row r="718" spans="1:5" x14ac:dyDescent="0.25">
      <c r="A718" s="17">
        <v>180</v>
      </c>
      <c r="B718" s="31">
        <v>46660</v>
      </c>
      <c r="C718" s="32">
        <f>INDEX('Input Data'!$B:$B,A718)/2+IF(A718&lt;&gt;A719,100,0)</f>
        <v>1.8125</v>
      </c>
      <c r="D718" s="33">
        <f>INDEX('ZCB Curve - Payment Dates'!$D$2:$D$246,MATCH(B718,'ZCB Curve - Payment Dates'!$A$2:$A$246,0))</f>
        <v>0.95655761994841249</v>
      </c>
      <c r="E718" s="32">
        <f t="shared" si="11"/>
        <v>1.7337606861564976</v>
      </c>
    </row>
    <row r="719" spans="1:5" x14ac:dyDescent="0.25">
      <c r="A719" s="17">
        <v>180</v>
      </c>
      <c r="B719" s="31">
        <v>46843</v>
      </c>
      <c r="C719" s="32">
        <f>INDEX('Input Data'!$B:$B,A719)/2+IF(A719&lt;&gt;A720,100,0)</f>
        <v>1.8125</v>
      </c>
      <c r="D719" s="33">
        <f>INDEX('ZCB Curve - Payment Dates'!$D$2:$D$246,MATCH(B719,'ZCB Curve - Payment Dates'!$A$2:$A$246,0))</f>
        <v>0.93524308702159842</v>
      </c>
      <c r="E719" s="32">
        <f t="shared" si="11"/>
        <v>1.6951280952266472</v>
      </c>
    </row>
    <row r="720" spans="1:5" x14ac:dyDescent="0.25">
      <c r="A720" s="17">
        <v>180</v>
      </c>
      <c r="B720" s="31">
        <v>47026</v>
      </c>
      <c r="C720" s="32">
        <f>INDEX('Input Data'!$B:$B,A720)/2+IF(A720&lt;&gt;A721,100,0)</f>
        <v>1.8125</v>
      </c>
      <c r="D720" s="33">
        <f>INDEX('ZCB Curve - Payment Dates'!$D$2:$D$246,MATCH(B720,'ZCB Curve - Payment Dates'!$A$2:$A$246,0))</f>
        <v>0.91399761223542642</v>
      </c>
      <c r="E720" s="32">
        <f t="shared" si="11"/>
        <v>1.6566206721767103</v>
      </c>
    </row>
    <row r="721" spans="1:5" x14ac:dyDescent="0.25">
      <c r="A721" s="17">
        <v>180</v>
      </c>
      <c r="B721" s="31">
        <v>47208</v>
      </c>
      <c r="C721" s="32">
        <f>INDEX('Input Data'!$B:$B,A721)/2+IF(A721&lt;&gt;A722,100,0)</f>
        <v>1.8125</v>
      </c>
      <c r="D721" s="33">
        <f>INDEX('ZCB Curve - Payment Dates'!$D$2:$D$246,MATCH(B721,'ZCB Curve - Payment Dates'!$A$2:$A$246,0))</f>
        <v>0.89317885092878757</v>
      </c>
      <c r="E721" s="32">
        <f t="shared" si="11"/>
        <v>1.6188866673084275</v>
      </c>
    </row>
    <row r="722" spans="1:5" x14ac:dyDescent="0.25">
      <c r="A722" s="17">
        <v>180</v>
      </c>
      <c r="B722" s="31">
        <v>47391</v>
      </c>
      <c r="C722" s="32">
        <f>INDEX('Input Data'!$B:$B,A722)/2+IF(A722&lt;&gt;A723,100,0)</f>
        <v>1.8125</v>
      </c>
      <c r="D722" s="33">
        <f>INDEX('ZCB Curve - Payment Dates'!$D$2:$D$246,MATCH(B722,'ZCB Curve - Payment Dates'!$A$2:$A$246,0))</f>
        <v>0.87266944281946834</v>
      </c>
      <c r="E722" s="32">
        <f t="shared" si="11"/>
        <v>1.5817133651102864</v>
      </c>
    </row>
    <row r="723" spans="1:5" x14ac:dyDescent="0.25">
      <c r="A723" s="17">
        <v>180</v>
      </c>
      <c r="B723" s="31">
        <v>47573</v>
      </c>
      <c r="C723" s="32">
        <f>INDEX('Input Data'!$B:$B,A723)/2+IF(A723&lt;&gt;A724,100,0)</f>
        <v>1.8125</v>
      </c>
      <c r="D723" s="33">
        <f>INDEX('ZCB Curve - Payment Dates'!$D$2:$D$246,MATCH(B723,'ZCB Curve - Payment Dates'!$A$2:$A$246,0))</f>
        <v>0.85273413261763187</v>
      </c>
      <c r="E723" s="32">
        <f t="shared" si="11"/>
        <v>1.5455806153694578</v>
      </c>
    </row>
    <row r="724" spans="1:5" x14ac:dyDescent="0.25">
      <c r="A724" s="17">
        <v>180</v>
      </c>
      <c r="B724" s="31">
        <v>47756</v>
      </c>
      <c r="C724" s="32">
        <f>INDEX('Input Data'!$B:$B,A724)/2+IF(A724&lt;&gt;A725,100,0)</f>
        <v>101.8125</v>
      </c>
      <c r="D724" s="33">
        <f>INDEX('ZCB Curve - Payment Dates'!$D$2:$D$246,MATCH(B724,'ZCB Curve - Payment Dates'!$A$2:$A$246,0))</f>
        <v>0.83313578966851842</v>
      </c>
      <c r="E724" s="32">
        <f t="shared" si="11"/>
        <v>84.823637585626031</v>
      </c>
    </row>
    <row r="725" spans="1:5" x14ac:dyDescent="0.25">
      <c r="A725" s="17">
        <v>181</v>
      </c>
      <c r="B725" s="31">
        <v>46295</v>
      </c>
      <c r="C725" s="32">
        <f>INDEX('Input Data'!$B:$B,A725)/2+IF(A725&lt;&gt;A726,100,0)</f>
        <v>2.3125</v>
      </c>
      <c r="D725" s="33">
        <f>INDEX('ZCB Curve - Payment Dates'!$D$2:$D$246,MATCH(B725,'ZCB Curve - Payment Dates'!$A$2:$A$246,0))</f>
        <v>0.9973127951237063</v>
      </c>
      <c r="E725" s="32">
        <f t="shared" si="11"/>
        <v>2.306285838723571</v>
      </c>
    </row>
    <row r="726" spans="1:5" x14ac:dyDescent="0.25">
      <c r="A726" s="17">
        <v>181</v>
      </c>
      <c r="B726" s="31">
        <v>46477</v>
      </c>
      <c r="C726" s="32">
        <f>INDEX('Input Data'!$B:$B,A726)/2+IF(A726&lt;&gt;A727,100,0)</f>
        <v>2.3125</v>
      </c>
      <c r="D726" s="33">
        <f>INDEX('ZCB Curve - Payment Dates'!$D$2:$D$246,MATCH(B726,'ZCB Curve - Payment Dates'!$A$2:$A$246,0))</f>
        <v>0.97750981974188245</v>
      </c>
      <c r="E726" s="32">
        <f t="shared" si="11"/>
        <v>2.260491458153103</v>
      </c>
    </row>
    <row r="727" spans="1:5" x14ac:dyDescent="0.25">
      <c r="A727" s="17">
        <v>181</v>
      </c>
      <c r="B727" s="31">
        <v>46660</v>
      </c>
      <c r="C727" s="32">
        <f>INDEX('Input Data'!$B:$B,A727)/2+IF(A727&lt;&gt;A728,100,0)</f>
        <v>2.3125</v>
      </c>
      <c r="D727" s="33">
        <f>INDEX('ZCB Curve - Payment Dates'!$D$2:$D$246,MATCH(B727,'ZCB Curve - Payment Dates'!$A$2:$A$246,0))</f>
        <v>0.95655761994841249</v>
      </c>
      <c r="E727" s="32">
        <f t="shared" si="11"/>
        <v>2.2120394961307039</v>
      </c>
    </row>
    <row r="728" spans="1:5" x14ac:dyDescent="0.25">
      <c r="A728" s="17">
        <v>181</v>
      </c>
      <c r="B728" s="31">
        <v>46843</v>
      </c>
      <c r="C728" s="32">
        <f>INDEX('Input Data'!$B:$B,A728)/2+IF(A728&lt;&gt;A729,100,0)</f>
        <v>2.3125</v>
      </c>
      <c r="D728" s="33">
        <f>INDEX('ZCB Curve - Payment Dates'!$D$2:$D$246,MATCH(B728,'ZCB Curve - Payment Dates'!$A$2:$A$246,0))</f>
        <v>0.93524308702159842</v>
      </c>
      <c r="E728" s="32">
        <f t="shared" si="11"/>
        <v>2.1627496387374463</v>
      </c>
    </row>
    <row r="729" spans="1:5" x14ac:dyDescent="0.25">
      <c r="A729" s="17">
        <v>181</v>
      </c>
      <c r="B729" s="31">
        <v>47026</v>
      </c>
      <c r="C729" s="32">
        <f>INDEX('Input Data'!$B:$B,A729)/2+IF(A729&lt;&gt;A730,100,0)</f>
        <v>2.3125</v>
      </c>
      <c r="D729" s="33">
        <f>INDEX('ZCB Curve - Payment Dates'!$D$2:$D$246,MATCH(B729,'ZCB Curve - Payment Dates'!$A$2:$A$246,0))</f>
        <v>0.91399761223542642</v>
      </c>
      <c r="E729" s="32">
        <f t="shared" si="11"/>
        <v>2.1136194782944235</v>
      </c>
    </row>
    <row r="730" spans="1:5" x14ac:dyDescent="0.25">
      <c r="A730" s="17">
        <v>181</v>
      </c>
      <c r="B730" s="31">
        <v>47208</v>
      </c>
      <c r="C730" s="32">
        <f>INDEX('Input Data'!$B:$B,A730)/2+IF(A730&lt;&gt;A731,100,0)</f>
        <v>2.3125</v>
      </c>
      <c r="D730" s="33">
        <f>INDEX('ZCB Curve - Payment Dates'!$D$2:$D$246,MATCH(B730,'ZCB Curve - Payment Dates'!$A$2:$A$246,0))</f>
        <v>0.89317885092878757</v>
      </c>
      <c r="E730" s="32">
        <f t="shared" si="11"/>
        <v>2.0654760927728213</v>
      </c>
    </row>
    <row r="731" spans="1:5" x14ac:dyDescent="0.25">
      <c r="A731" s="17">
        <v>181</v>
      </c>
      <c r="B731" s="31">
        <v>47391</v>
      </c>
      <c r="C731" s="32">
        <f>INDEX('Input Data'!$B:$B,A731)/2+IF(A731&lt;&gt;A732,100,0)</f>
        <v>2.3125</v>
      </c>
      <c r="D731" s="33">
        <f>INDEX('ZCB Curve - Payment Dates'!$D$2:$D$246,MATCH(B731,'ZCB Curve - Payment Dates'!$A$2:$A$246,0))</f>
        <v>0.87266944281946834</v>
      </c>
      <c r="E731" s="32">
        <f t="shared" si="11"/>
        <v>2.0180480865200208</v>
      </c>
    </row>
    <row r="732" spans="1:5" x14ac:dyDescent="0.25">
      <c r="A732" s="17">
        <v>181</v>
      </c>
      <c r="B732" s="31">
        <v>47573</v>
      </c>
      <c r="C732" s="32">
        <f>INDEX('Input Data'!$B:$B,A732)/2+IF(A732&lt;&gt;A733,100,0)</f>
        <v>2.3125</v>
      </c>
      <c r="D732" s="33">
        <f>INDEX('ZCB Curve - Payment Dates'!$D$2:$D$246,MATCH(B732,'ZCB Curve - Payment Dates'!$A$2:$A$246,0))</f>
        <v>0.85273413261763187</v>
      </c>
      <c r="E732" s="32">
        <f t="shared" si="11"/>
        <v>1.9719476816782737</v>
      </c>
    </row>
    <row r="733" spans="1:5" x14ac:dyDescent="0.25">
      <c r="A733" s="17">
        <v>181</v>
      </c>
      <c r="B733" s="31">
        <v>47756</v>
      </c>
      <c r="C733" s="32">
        <f>INDEX('Input Data'!$B:$B,A733)/2+IF(A733&lt;&gt;A734,100,0)</f>
        <v>102.3125</v>
      </c>
      <c r="D733" s="33">
        <f>INDEX('ZCB Curve - Payment Dates'!$D$2:$D$246,MATCH(B733,'ZCB Curve - Payment Dates'!$A$2:$A$246,0))</f>
        <v>0.83313578966851842</v>
      </c>
      <c r="E733" s="32">
        <f t="shared" si="11"/>
        <v>85.24020548046029</v>
      </c>
    </row>
    <row r="734" spans="1:5" x14ac:dyDescent="0.25">
      <c r="A734" s="17">
        <v>182</v>
      </c>
      <c r="B734" s="31">
        <v>46326</v>
      </c>
      <c r="C734" s="32">
        <f>INDEX('Input Data'!$B:$B,A734)/2+IF(A734&lt;&gt;A735,100,0)</f>
        <v>1.8125</v>
      </c>
      <c r="D734" s="33">
        <f>INDEX('ZCB Curve - Payment Dates'!$D$2:$D$246,MATCH(B734,'ZCB Curve - Payment Dates'!$A$2:$A$246,0))</f>
        <v>0.99405055111674689</v>
      </c>
      <c r="E734" s="32">
        <f t="shared" si="11"/>
        <v>1.8017166238991038</v>
      </c>
    </row>
    <row r="735" spans="1:5" x14ac:dyDescent="0.25">
      <c r="A735" s="17">
        <v>182</v>
      </c>
      <c r="B735" s="31">
        <v>46507</v>
      </c>
      <c r="C735" s="32">
        <f>INDEX('Input Data'!$B:$B,A735)/2+IF(A735&lt;&gt;A736,100,0)</f>
        <v>1.8125</v>
      </c>
      <c r="D735" s="33">
        <f>INDEX('ZCB Curve - Payment Dates'!$D$2:$D$246,MATCH(B735,'ZCB Curve - Payment Dates'!$A$2:$A$246,0))</f>
        <v>0.97412390690574091</v>
      </c>
      <c r="E735" s="32">
        <f t="shared" si="11"/>
        <v>1.7655995812666554</v>
      </c>
    </row>
    <row r="736" spans="1:5" x14ac:dyDescent="0.25">
      <c r="A736" s="17">
        <v>182</v>
      </c>
      <c r="B736" s="31">
        <v>46691</v>
      </c>
      <c r="C736" s="32">
        <f>INDEX('Input Data'!$B:$B,A736)/2+IF(A736&lt;&gt;A737,100,0)</f>
        <v>1.8125</v>
      </c>
      <c r="D736" s="33">
        <f>INDEX('ZCB Curve - Payment Dates'!$D$2:$D$246,MATCH(B736,'ZCB Curve - Payment Dates'!$A$2:$A$246,0))</f>
        <v>0.95295491595466364</v>
      </c>
      <c r="E736" s="32">
        <f t="shared" si="11"/>
        <v>1.7272307851678279</v>
      </c>
    </row>
    <row r="737" spans="1:5" x14ac:dyDescent="0.25">
      <c r="A737" s="17">
        <v>182</v>
      </c>
      <c r="B737" s="31">
        <v>46873</v>
      </c>
      <c r="C737" s="32">
        <f>INDEX('Input Data'!$B:$B,A737)/2+IF(A737&lt;&gt;A738,100,0)</f>
        <v>1.8125</v>
      </c>
      <c r="D737" s="33">
        <f>INDEX('ZCB Curve - Payment Dates'!$D$2:$D$246,MATCH(B737,'ZCB Curve - Payment Dates'!$A$2:$A$246,0))</f>
        <v>0.93174702042500246</v>
      </c>
      <c r="E737" s="32">
        <f t="shared" si="11"/>
        <v>1.688791474520317</v>
      </c>
    </row>
    <row r="738" spans="1:5" x14ac:dyDescent="0.25">
      <c r="A738" s="17">
        <v>182</v>
      </c>
      <c r="B738" s="31">
        <v>47057</v>
      </c>
      <c r="C738" s="32">
        <f>INDEX('Input Data'!$B:$B,A738)/2+IF(A738&lt;&gt;A739,100,0)</f>
        <v>1.8125</v>
      </c>
      <c r="D738" s="33">
        <f>INDEX('ZCB Curve - Payment Dates'!$D$2:$D$246,MATCH(B738,'ZCB Curve - Payment Dates'!$A$2:$A$246,0))</f>
        <v>0.91042649241905782</v>
      </c>
      <c r="E738" s="32">
        <f t="shared" si="11"/>
        <v>1.6501480175095422</v>
      </c>
    </row>
    <row r="739" spans="1:5" x14ac:dyDescent="0.25">
      <c r="A739" s="17">
        <v>182</v>
      </c>
      <c r="B739" s="31">
        <v>47238</v>
      </c>
      <c r="C739" s="32">
        <f>INDEX('Input Data'!$B:$B,A739)/2+IF(A739&lt;&gt;A740,100,0)</f>
        <v>1.8125</v>
      </c>
      <c r="D739" s="33">
        <f>INDEX('ZCB Curve - Payment Dates'!$D$2:$D$246,MATCH(B739,'ZCB Curve - Payment Dates'!$A$2:$A$246,0))</f>
        <v>0.88978547878922043</v>
      </c>
      <c r="E739" s="32">
        <f t="shared" si="11"/>
        <v>1.6127361803054621</v>
      </c>
    </row>
    <row r="740" spans="1:5" x14ac:dyDescent="0.25">
      <c r="A740" s="17">
        <v>182</v>
      </c>
      <c r="B740" s="31">
        <v>47422</v>
      </c>
      <c r="C740" s="32">
        <f>INDEX('Input Data'!$B:$B,A740)/2+IF(A740&lt;&gt;A741,100,0)</f>
        <v>1.8125</v>
      </c>
      <c r="D740" s="33">
        <f>INDEX('ZCB Curve - Payment Dates'!$D$2:$D$246,MATCH(B740,'ZCB Curve - Payment Dates'!$A$2:$A$246,0))</f>
        <v>0.86924243542459101</v>
      </c>
      <c r="E740" s="32">
        <f t="shared" si="11"/>
        <v>1.5755019142070712</v>
      </c>
    </row>
    <row r="741" spans="1:5" x14ac:dyDescent="0.25">
      <c r="A741" s="17">
        <v>182</v>
      </c>
      <c r="B741" s="31">
        <v>47603</v>
      </c>
      <c r="C741" s="32">
        <f>INDEX('Input Data'!$B:$B,A741)/2+IF(A741&lt;&gt;A742,100,0)</f>
        <v>1.8125</v>
      </c>
      <c r="D741" s="33">
        <f>INDEX('ZCB Curve - Payment Dates'!$D$2:$D$246,MATCH(B741,'ZCB Curve - Payment Dates'!$A$2:$A$246,0))</f>
        <v>0.84949114767876688</v>
      </c>
      <c r="E741" s="32">
        <f t="shared" si="11"/>
        <v>1.539702705167765</v>
      </c>
    </row>
    <row r="742" spans="1:5" x14ac:dyDescent="0.25">
      <c r="A742" s="17">
        <v>182</v>
      </c>
      <c r="B742" s="31">
        <v>47787</v>
      </c>
      <c r="C742" s="32">
        <f>INDEX('Input Data'!$B:$B,A742)/2+IF(A742&lt;&gt;A743,100,0)</f>
        <v>101.8125</v>
      </c>
      <c r="D742" s="33">
        <f>INDEX('ZCB Curve - Payment Dates'!$D$2:$D$246,MATCH(B742,'ZCB Curve - Payment Dates'!$A$2:$A$246,0))</f>
        <v>0.82985919250556395</v>
      </c>
      <c r="E742" s="32">
        <f t="shared" si="11"/>
        <v>84.490039036972732</v>
      </c>
    </row>
    <row r="743" spans="1:5" x14ac:dyDescent="0.25">
      <c r="A743" s="17">
        <v>183</v>
      </c>
      <c r="B743" s="31">
        <v>46326</v>
      </c>
      <c r="C743" s="32">
        <f>INDEX('Input Data'!$B:$B,A743)/2+IF(A743&lt;&gt;A744,100,0)</f>
        <v>2.4375</v>
      </c>
      <c r="D743" s="33">
        <f>INDEX('ZCB Curve - Payment Dates'!$D$2:$D$246,MATCH(B743,'ZCB Curve - Payment Dates'!$A$2:$A$246,0))</f>
        <v>0.99405055111674689</v>
      </c>
      <c r="E743" s="32">
        <f t="shared" si="11"/>
        <v>2.4229982183470704</v>
      </c>
    </row>
    <row r="744" spans="1:5" x14ac:dyDescent="0.25">
      <c r="A744" s="17">
        <v>183</v>
      </c>
      <c r="B744" s="31">
        <v>46507</v>
      </c>
      <c r="C744" s="32">
        <f>INDEX('Input Data'!$B:$B,A744)/2+IF(A744&lt;&gt;A745,100,0)</f>
        <v>2.4375</v>
      </c>
      <c r="D744" s="33">
        <f>INDEX('ZCB Curve - Payment Dates'!$D$2:$D$246,MATCH(B744,'ZCB Curve - Payment Dates'!$A$2:$A$246,0))</f>
        <v>0.97412390690574091</v>
      </c>
      <c r="E744" s="32">
        <f t="shared" si="11"/>
        <v>2.3744270230827436</v>
      </c>
    </row>
    <row r="745" spans="1:5" x14ac:dyDescent="0.25">
      <c r="A745" s="17">
        <v>183</v>
      </c>
      <c r="B745" s="31">
        <v>46691</v>
      </c>
      <c r="C745" s="32">
        <f>INDEX('Input Data'!$B:$B,A745)/2+IF(A745&lt;&gt;A746,100,0)</f>
        <v>2.4375</v>
      </c>
      <c r="D745" s="33">
        <f>INDEX('ZCB Curve - Payment Dates'!$D$2:$D$246,MATCH(B745,'ZCB Curve - Payment Dates'!$A$2:$A$246,0))</f>
        <v>0.95295491595466364</v>
      </c>
      <c r="E745" s="32">
        <f t="shared" si="11"/>
        <v>2.3228276076394927</v>
      </c>
    </row>
    <row r="746" spans="1:5" x14ac:dyDescent="0.25">
      <c r="A746" s="17">
        <v>183</v>
      </c>
      <c r="B746" s="31">
        <v>46873</v>
      </c>
      <c r="C746" s="32">
        <f>INDEX('Input Data'!$B:$B,A746)/2+IF(A746&lt;&gt;A747,100,0)</f>
        <v>2.4375</v>
      </c>
      <c r="D746" s="33">
        <f>INDEX('ZCB Curve - Payment Dates'!$D$2:$D$246,MATCH(B746,'ZCB Curve - Payment Dates'!$A$2:$A$246,0))</f>
        <v>0.93174702042500246</v>
      </c>
      <c r="E746" s="32">
        <f t="shared" si="11"/>
        <v>2.2711333622859433</v>
      </c>
    </row>
    <row r="747" spans="1:5" x14ac:dyDescent="0.25">
      <c r="A747" s="17">
        <v>183</v>
      </c>
      <c r="B747" s="31">
        <v>47057</v>
      </c>
      <c r="C747" s="32">
        <f>INDEX('Input Data'!$B:$B,A747)/2+IF(A747&lt;&gt;A748,100,0)</f>
        <v>2.4375</v>
      </c>
      <c r="D747" s="33">
        <f>INDEX('ZCB Curve - Payment Dates'!$D$2:$D$246,MATCH(B747,'ZCB Curve - Payment Dates'!$A$2:$A$246,0))</f>
        <v>0.91042649241905782</v>
      </c>
      <c r="E747" s="32">
        <f t="shared" si="11"/>
        <v>2.2191645752714533</v>
      </c>
    </row>
    <row r="748" spans="1:5" x14ac:dyDescent="0.25">
      <c r="A748" s="17">
        <v>183</v>
      </c>
      <c r="B748" s="31">
        <v>47238</v>
      </c>
      <c r="C748" s="32">
        <f>INDEX('Input Data'!$B:$B,A748)/2+IF(A748&lt;&gt;A749,100,0)</f>
        <v>2.4375</v>
      </c>
      <c r="D748" s="33">
        <f>INDEX('ZCB Curve - Payment Dates'!$D$2:$D$246,MATCH(B748,'ZCB Curve - Payment Dates'!$A$2:$A$246,0))</f>
        <v>0.88978547878922043</v>
      </c>
      <c r="E748" s="32">
        <f t="shared" si="11"/>
        <v>2.168852104548725</v>
      </c>
    </row>
    <row r="749" spans="1:5" x14ac:dyDescent="0.25">
      <c r="A749" s="17">
        <v>183</v>
      </c>
      <c r="B749" s="31">
        <v>47422</v>
      </c>
      <c r="C749" s="32">
        <f>INDEX('Input Data'!$B:$B,A749)/2+IF(A749&lt;&gt;A750,100,0)</f>
        <v>2.4375</v>
      </c>
      <c r="D749" s="33">
        <f>INDEX('ZCB Curve - Payment Dates'!$D$2:$D$246,MATCH(B749,'ZCB Curve - Payment Dates'!$A$2:$A$246,0))</f>
        <v>0.86924243542459101</v>
      </c>
      <c r="E749" s="32">
        <f t="shared" si="11"/>
        <v>2.1187784363474407</v>
      </c>
    </row>
    <row r="750" spans="1:5" x14ac:dyDescent="0.25">
      <c r="A750" s="17">
        <v>183</v>
      </c>
      <c r="B750" s="31">
        <v>47603</v>
      </c>
      <c r="C750" s="32">
        <f>INDEX('Input Data'!$B:$B,A750)/2+IF(A750&lt;&gt;A751,100,0)</f>
        <v>2.4375</v>
      </c>
      <c r="D750" s="33">
        <f>INDEX('ZCB Curve - Payment Dates'!$D$2:$D$246,MATCH(B750,'ZCB Curve - Payment Dates'!$A$2:$A$246,0))</f>
        <v>0.84949114767876688</v>
      </c>
      <c r="E750" s="32">
        <f t="shared" si="11"/>
        <v>2.0706346724669942</v>
      </c>
    </row>
    <row r="751" spans="1:5" x14ac:dyDescent="0.25">
      <c r="A751" s="17">
        <v>183</v>
      </c>
      <c r="B751" s="31">
        <v>47787</v>
      </c>
      <c r="C751" s="32">
        <f>INDEX('Input Data'!$B:$B,A751)/2+IF(A751&lt;&gt;A752,100,0)</f>
        <v>102.4375</v>
      </c>
      <c r="D751" s="33">
        <f>INDEX('ZCB Curve - Payment Dates'!$D$2:$D$246,MATCH(B751,'ZCB Curve - Payment Dates'!$A$2:$A$246,0))</f>
        <v>0.82985919250556395</v>
      </c>
      <c r="E751" s="32">
        <f t="shared" si="11"/>
        <v>85.008701032288712</v>
      </c>
    </row>
    <row r="752" spans="1:5" x14ac:dyDescent="0.25">
      <c r="A752" s="17">
        <v>184</v>
      </c>
      <c r="B752" s="31">
        <v>46341</v>
      </c>
      <c r="C752" s="32">
        <f>INDEX('Input Data'!$B:$B,A752)/2+IF(A752&lt;&gt;A753,100,0)</f>
        <v>0.4375</v>
      </c>
      <c r="D752" s="33">
        <f>INDEX('ZCB Curve - Payment Dates'!$D$2:$D$246,MATCH(B752,'ZCB Curve - Payment Dates'!$A$2:$A$246,0))</f>
        <v>0.99245367292309439</v>
      </c>
      <c r="E752" s="32">
        <f t="shared" si="11"/>
        <v>0.43419848190385379</v>
      </c>
    </row>
    <row r="753" spans="1:5" x14ac:dyDescent="0.25">
      <c r="A753" s="17">
        <v>184</v>
      </c>
      <c r="B753" s="31">
        <v>46522</v>
      </c>
      <c r="C753" s="32">
        <f>INDEX('Input Data'!$B:$B,A753)/2+IF(A753&lt;&gt;A754,100,0)</f>
        <v>0.4375</v>
      </c>
      <c r="D753" s="33">
        <f>INDEX('ZCB Curve - Payment Dates'!$D$2:$D$246,MATCH(B753,'ZCB Curve - Payment Dates'!$A$2:$A$246,0))</f>
        <v>0.97242179559611874</v>
      </c>
      <c r="E753" s="32">
        <f t="shared" si="11"/>
        <v>0.42543453557330196</v>
      </c>
    </row>
    <row r="754" spans="1:5" x14ac:dyDescent="0.25">
      <c r="A754" s="17">
        <v>184</v>
      </c>
      <c r="B754" s="31">
        <v>46706</v>
      </c>
      <c r="C754" s="32">
        <f>INDEX('Input Data'!$B:$B,A754)/2+IF(A754&lt;&gt;A755,100,0)</f>
        <v>0.4375</v>
      </c>
      <c r="D754" s="33">
        <f>INDEX('ZCB Curve - Payment Dates'!$D$2:$D$246,MATCH(B754,'ZCB Curve - Payment Dates'!$A$2:$A$246,0))</f>
        <v>0.95121018311627348</v>
      </c>
      <c r="E754" s="32">
        <f t="shared" si="11"/>
        <v>0.41615445511336963</v>
      </c>
    </row>
    <row r="755" spans="1:5" x14ac:dyDescent="0.25">
      <c r="A755" s="17">
        <v>184</v>
      </c>
      <c r="B755" s="31">
        <v>46888</v>
      </c>
      <c r="C755" s="32">
        <f>INDEX('Input Data'!$B:$B,A755)/2+IF(A755&lt;&gt;A756,100,0)</f>
        <v>0.4375</v>
      </c>
      <c r="D755" s="33">
        <f>INDEX('ZCB Curve - Payment Dates'!$D$2:$D$246,MATCH(B755,'ZCB Curve - Payment Dates'!$A$2:$A$246,0))</f>
        <v>0.93000025435083566</v>
      </c>
      <c r="E755" s="32">
        <f t="shared" si="11"/>
        <v>0.40687511127849063</v>
      </c>
    </row>
    <row r="756" spans="1:5" x14ac:dyDescent="0.25">
      <c r="A756" s="17">
        <v>184</v>
      </c>
      <c r="B756" s="31">
        <v>47072</v>
      </c>
      <c r="C756" s="32">
        <f>INDEX('Input Data'!$B:$B,A756)/2+IF(A756&lt;&gt;A757,100,0)</f>
        <v>0.4375</v>
      </c>
      <c r="D756" s="33">
        <f>INDEX('ZCB Curve - Payment Dates'!$D$2:$D$246,MATCH(B756,'ZCB Curve - Payment Dates'!$A$2:$A$246,0))</f>
        <v>0.90870125167038918</v>
      </c>
      <c r="E756" s="32">
        <f t="shared" si="11"/>
        <v>0.39755679760579526</v>
      </c>
    </row>
    <row r="757" spans="1:5" x14ac:dyDescent="0.25">
      <c r="A757" s="17">
        <v>184</v>
      </c>
      <c r="B757" s="31">
        <v>47253</v>
      </c>
      <c r="C757" s="32">
        <f>INDEX('Input Data'!$B:$B,A757)/2+IF(A757&lt;&gt;A758,100,0)</f>
        <v>0.4375</v>
      </c>
      <c r="D757" s="33">
        <f>INDEX('ZCB Curve - Payment Dates'!$D$2:$D$246,MATCH(B757,'ZCB Curve - Payment Dates'!$A$2:$A$246,0))</f>
        <v>0.88809325063638844</v>
      </c>
      <c r="E757" s="32">
        <f t="shared" si="11"/>
        <v>0.38854079715341994</v>
      </c>
    </row>
    <row r="758" spans="1:5" x14ac:dyDescent="0.25">
      <c r="A758" s="17">
        <v>184</v>
      </c>
      <c r="B758" s="31">
        <v>47437</v>
      </c>
      <c r="C758" s="32">
        <f>INDEX('Input Data'!$B:$B,A758)/2+IF(A758&lt;&gt;A759,100,0)</f>
        <v>0.4375</v>
      </c>
      <c r="D758" s="33">
        <f>INDEX('ZCB Curve - Payment Dates'!$D$2:$D$246,MATCH(B758,'ZCB Curve - Payment Dates'!$A$2:$A$246,0))</f>
        <v>0.86758824089536279</v>
      </c>
      <c r="E758" s="32">
        <f t="shared" si="11"/>
        <v>0.37956985539172122</v>
      </c>
    </row>
    <row r="759" spans="1:5" x14ac:dyDescent="0.25">
      <c r="A759" s="17">
        <v>184</v>
      </c>
      <c r="B759" s="31">
        <v>47618</v>
      </c>
      <c r="C759" s="32">
        <f>INDEX('Input Data'!$B:$B,A759)/2+IF(A759&lt;&gt;A760,100,0)</f>
        <v>0.4375</v>
      </c>
      <c r="D759" s="33">
        <f>INDEX('ZCB Curve - Payment Dates'!$D$2:$D$246,MATCH(B759,'ZCB Curve - Payment Dates'!$A$2:$A$246,0))</f>
        <v>0.84787416911783064</v>
      </c>
      <c r="E759" s="32">
        <f t="shared" si="11"/>
        <v>0.37094494898905089</v>
      </c>
    </row>
    <row r="760" spans="1:5" x14ac:dyDescent="0.25">
      <c r="A760" s="17">
        <v>184</v>
      </c>
      <c r="B760" s="31">
        <v>47802</v>
      </c>
      <c r="C760" s="32">
        <f>INDEX('Input Data'!$B:$B,A760)/2+IF(A760&lt;&gt;A761,100,0)</f>
        <v>100.4375</v>
      </c>
      <c r="D760" s="33">
        <f>INDEX('ZCB Curve - Payment Dates'!$D$2:$D$246,MATCH(B760,'ZCB Curve - Payment Dates'!$A$2:$A$246,0))</f>
        <v>0.82827715028796722</v>
      </c>
      <c r="E760" s="32">
        <f t="shared" si="11"/>
        <v>83.190086282047702</v>
      </c>
    </row>
    <row r="761" spans="1:5" x14ac:dyDescent="0.25">
      <c r="A761" s="17">
        <v>185</v>
      </c>
      <c r="B761" s="31">
        <v>46356</v>
      </c>
      <c r="C761" s="32">
        <f>INDEX('Input Data'!$B:$B,A761)/2+IF(A761&lt;&gt;A762,100,0)</f>
        <v>1.75</v>
      </c>
      <c r="D761" s="33">
        <f>INDEX('ZCB Curve - Payment Dates'!$D$2:$D$246,MATCH(B761,'ZCB Curve - Payment Dates'!$A$2:$A$246,0))</f>
        <v>0.99084497326382592</v>
      </c>
      <c r="E761" s="32">
        <f t="shared" si="11"/>
        <v>1.7339787032116953</v>
      </c>
    </row>
    <row r="762" spans="1:5" x14ac:dyDescent="0.25">
      <c r="A762" s="17">
        <v>185</v>
      </c>
      <c r="B762" s="31">
        <v>46538</v>
      </c>
      <c r="C762" s="32">
        <f>INDEX('Input Data'!$B:$B,A762)/2+IF(A762&lt;&gt;A763,100,0)</f>
        <v>1.75</v>
      </c>
      <c r="D762" s="33">
        <f>INDEX('ZCB Curve - Payment Dates'!$D$2:$D$246,MATCH(B762,'ZCB Curve - Payment Dates'!$A$2:$A$246,0))</f>
        <v>0.97060179184855555</v>
      </c>
      <c r="E762" s="32">
        <f t="shared" si="11"/>
        <v>1.6985531357349721</v>
      </c>
    </row>
    <row r="763" spans="1:5" x14ac:dyDescent="0.25">
      <c r="A763" s="17">
        <v>185</v>
      </c>
      <c r="B763" s="31">
        <v>46721</v>
      </c>
      <c r="C763" s="32">
        <f>INDEX('Input Data'!$B:$B,A763)/2+IF(A763&lt;&gt;A764,100,0)</f>
        <v>1.75</v>
      </c>
      <c r="D763" s="33">
        <f>INDEX('ZCB Curve - Payment Dates'!$D$2:$D$246,MATCH(B763,'ZCB Curve - Payment Dates'!$A$2:$A$246,0))</f>
        <v>0.94946404326393219</v>
      </c>
      <c r="E763" s="32">
        <f t="shared" si="11"/>
        <v>1.6615620757118814</v>
      </c>
    </row>
    <row r="764" spans="1:5" x14ac:dyDescent="0.25">
      <c r="A764" s="17">
        <v>185</v>
      </c>
      <c r="B764" s="31">
        <v>46904</v>
      </c>
      <c r="C764" s="32">
        <f>INDEX('Input Data'!$B:$B,A764)/2+IF(A764&lt;&gt;A765,100,0)</f>
        <v>1.75</v>
      </c>
      <c r="D764" s="33">
        <f>INDEX('ZCB Curve - Payment Dates'!$D$2:$D$246,MATCH(B764,'ZCB Curve - Payment Dates'!$A$2:$A$246,0))</f>
        <v>0.92813990099508414</v>
      </c>
      <c r="E764" s="32">
        <f t="shared" si="11"/>
        <v>1.6242448267413971</v>
      </c>
    </row>
    <row r="765" spans="1:5" x14ac:dyDescent="0.25">
      <c r="A765" s="17">
        <v>185</v>
      </c>
      <c r="B765" s="31">
        <v>47087</v>
      </c>
      <c r="C765" s="32">
        <f>INDEX('Input Data'!$B:$B,A765)/2+IF(A765&lt;&gt;A766,100,0)</f>
        <v>1.75</v>
      </c>
      <c r="D765" s="33">
        <f>INDEX('ZCB Curve - Payment Dates'!$D$2:$D$246,MATCH(B765,'ZCB Curve - Payment Dates'!$A$2:$A$246,0))</f>
        <v>0.90697842456009181</v>
      </c>
      <c r="E765" s="32">
        <f t="shared" si="11"/>
        <v>1.5872122429801607</v>
      </c>
    </row>
    <row r="766" spans="1:5" x14ac:dyDescent="0.25">
      <c r="A766" s="17">
        <v>185</v>
      </c>
      <c r="B766" s="31">
        <v>47269</v>
      </c>
      <c r="C766" s="32">
        <f>INDEX('Input Data'!$B:$B,A766)/2+IF(A766&lt;&gt;A767,100,0)</f>
        <v>1.75</v>
      </c>
      <c r="D766" s="33">
        <f>INDEX('ZCB Curve - Payment Dates'!$D$2:$D$246,MATCH(B766,'ZCB Curve - Payment Dates'!$A$2:$A$246,0))</f>
        <v>0.88629316931415014</v>
      </c>
      <c r="E766" s="32">
        <f t="shared" si="11"/>
        <v>1.5510130462997627</v>
      </c>
    </row>
    <row r="767" spans="1:5" x14ac:dyDescent="0.25">
      <c r="A767" s="17">
        <v>185</v>
      </c>
      <c r="B767" s="31">
        <v>47452</v>
      </c>
      <c r="C767" s="32">
        <f>INDEX('Input Data'!$B:$B,A767)/2+IF(A767&lt;&gt;A768,100,0)</f>
        <v>1.75</v>
      </c>
      <c r="D767" s="33">
        <f>INDEX('ZCB Curve - Payment Dates'!$D$2:$D$246,MATCH(B767,'ZCB Curve - Payment Dates'!$A$2:$A$246,0))</f>
        <v>0.86593718552386212</v>
      </c>
      <c r="E767" s="32">
        <f t="shared" si="11"/>
        <v>1.5153900746667588</v>
      </c>
    </row>
    <row r="768" spans="1:5" x14ac:dyDescent="0.25">
      <c r="A768" s="17">
        <v>185</v>
      </c>
      <c r="B768" s="31">
        <v>47634</v>
      </c>
      <c r="C768" s="32">
        <f>INDEX('Input Data'!$B:$B,A768)/2+IF(A768&lt;&gt;A769,100,0)</f>
        <v>1.75</v>
      </c>
      <c r="D768" s="33">
        <f>INDEX('ZCB Curve - Payment Dates'!$D$2:$D$246,MATCH(B768,'ZCB Curve - Payment Dates'!$A$2:$A$246,0))</f>
        <v>0.84615424839536502</v>
      </c>
      <c r="E768" s="32">
        <f t="shared" si="11"/>
        <v>1.4807699346918888</v>
      </c>
    </row>
    <row r="769" spans="1:5" x14ac:dyDescent="0.25">
      <c r="A769" s="17">
        <v>185</v>
      </c>
      <c r="B769" s="31">
        <v>47817</v>
      </c>
      <c r="C769" s="32">
        <f>INDEX('Input Data'!$B:$B,A769)/2+IF(A769&lt;&gt;A770,100,0)</f>
        <v>101.75</v>
      </c>
      <c r="D769" s="33">
        <f>INDEX('ZCB Curve - Payment Dates'!$D$2:$D$246,MATCH(B769,'ZCB Curve - Payment Dates'!$A$2:$A$246,0))</f>
        <v>0.82669778003432226</v>
      </c>
      <c r="E769" s="32">
        <f t="shared" si="11"/>
        <v>84.116499118492285</v>
      </c>
    </row>
    <row r="770" spans="1:5" x14ac:dyDescent="0.25">
      <c r="A770" s="17">
        <v>186</v>
      </c>
      <c r="B770" s="31">
        <v>46356</v>
      </c>
      <c r="C770" s="32">
        <f>INDEX('Input Data'!$B:$B,A770)/2+IF(A770&lt;&gt;A771,100,0)</f>
        <v>2.1875</v>
      </c>
      <c r="D770" s="33">
        <f>INDEX('ZCB Curve - Payment Dates'!$D$2:$D$246,MATCH(B770,'ZCB Curve - Payment Dates'!$A$2:$A$246,0))</f>
        <v>0.99084497326382592</v>
      </c>
      <c r="E770" s="32">
        <f t="shared" ref="E770:E833" si="12">C770*D770</f>
        <v>2.167473379014619</v>
      </c>
    </row>
    <row r="771" spans="1:5" x14ac:dyDescent="0.25">
      <c r="A771" s="17">
        <v>186</v>
      </c>
      <c r="B771" s="31">
        <v>46538</v>
      </c>
      <c r="C771" s="32">
        <f>INDEX('Input Data'!$B:$B,A771)/2+IF(A771&lt;&gt;A772,100,0)</f>
        <v>2.1875</v>
      </c>
      <c r="D771" s="33">
        <f>INDEX('ZCB Curve - Payment Dates'!$D$2:$D$246,MATCH(B771,'ZCB Curve - Payment Dates'!$A$2:$A$246,0))</f>
        <v>0.97060179184855555</v>
      </c>
      <c r="E771" s="32">
        <f t="shared" si="12"/>
        <v>2.1231914196687152</v>
      </c>
    </row>
    <row r="772" spans="1:5" x14ac:dyDescent="0.25">
      <c r="A772" s="17">
        <v>186</v>
      </c>
      <c r="B772" s="31">
        <v>46721</v>
      </c>
      <c r="C772" s="32">
        <f>INDEX('Input Data'!$B:$B,A772)/2+IF(A772&lt;&gt;A773,100,0)</f>
        <v>2.1875</v>
      </c>
      <c r="D772" s="33">
        <f>INDEX('ZCB Curve - Payment Dates'!$D$2:$D$246,MATCH(B772,'ZCB Curve - Payment Dates'!$A$2:$A$246,0))</f>
        <v>0.94946404326393219</v>
      </c>
      <c r="E772" s="32">
        <f t="shared" si="12"/>
        <v>2.0769525946398515</v>
      </c>
    </row>
    <row r="773" spans="1:5" x14ac:dyDescent="0.25">
      <c r="A773" s="17">
        <v>186</v>
      </c>
      <c r="B773" s="31">
        <v>46904</v>
      </c>
      <c r="C773" s="32">
        <f>INDEX('Input Data'!$B:$B,A773)/2+IF(A773&lt;&gt;A774,100,0)</f>
        <v>2.1875</v>
      </c>
      <c r="D773" s="33">
        <f>INDEX('ZCB Curve - Payment Dates'!$D$2:$D$246,MATCH(B773,'ZCB Curve - Payment Dates'!$A$2:$A$246,0))</f>
        <v>0.92813990099508414</v>
      </c>
      <c r="E773" s="32">
        <f t="shared" si="12"/>
        <v>2.0303060334267466</v>
      </c>
    </row>
    <row r="774" spans="1:5" x14ac:dyDescent="0.25">
      <c r="A774" s="17">
        <v>186</v>
      </c>
      <c r="B774" s="31">
        <v>47087</v>
      </c>
      <c r="C774" s="32">
        <f>INDEX('Input Data'!$B:$B,A774)/2+IF(A774&lt;&gt;A775,100,0)</f>
        <v>2.1875</v>
      </c>
      <c r="D774" s="33">
        <f>INDEX('ZCB Curve - Payment Dates'!$D$2:$D$246,MATCH(B774,'ZCB Curve - Payment Dates'!$A$2:$A$246,0))</f>
        <v>0.90697842456009181</v>
      </c>
      <c r="E774" s="32">
        <f t="shared" si="12"/>
        <v>1.9840153037252009</v>
      </c>
    </row>
    <row r="775" spans="1:5" x14ac:dyDescent="0.25">
      <c r="A775" s="17">
        <v>186</v>
      </c>
      <c r="B775" s="31">
        <v>47269</v>
      </c>
      <c r="C775" s="32">
        <f>INDEX('Input Data'!$B:$B,A775)/2+IF(A775&lt;&gt;A776,100,0)</f>
        <v>2.1875</v>
      </c>
      <c r="D775" s="33">
        <f>INDEX('ZCB Curve - Payment Dates'!$D$2:$D$246,MATCH(B775,'ZCB Curve - Payment Dates'!$A$2:$A$246,0))</f>
        <v>0.88629316931415014</v>
      </c>
      <c r="E775" s="32">
        <f t="shared" si="12"/>
        <v>1.9387663078747035</v>
      </c>
    </row>
    <row r="776" spans="1:5" x14ac:dyDescent="0.25">
      <c r="A776" s="17">
        <v>186</v>
      </c>
      <c r="B776" s="31">
        <v>47452</v>
      </c>
      <c r="C776" s="32">
        <f>INDEX('Input Data'!$B:$B,A776)/2+IF(A776&lt;&gt;A777,100,0)</f>
        <v>2.1875</v>
      </c>
      <c r="D776" s="33">
        <f>INDEX('ZCB Curve - Payment Dates'!$D$2:$D$246,MATCH(B776,'ZCB Curve - Payment Dates'!$A$2:$A$246,0))</f>
        <v>0.86593718552386212</v>
      </c>
      <c r="E776" s="32">
        <f t="shared" si="12"/>
        <v>1.8942375933334483</v>
      </c>
    </row>
    <row r="777" spans="1:5" x14ac:dyDescent="0.25">
      <c r="A777" s="17">
        <v>186</v>
      </c>
      <c r="B777" s="31">
        <v>47634</v>
      </c>
      <c r="C777" s="32">
        <f>INDEX('Input Data'!$B:$B,A777)/2+IF(A777&lt;&gt;A778,100,0)</f>
        <v>2.1875</v>
      </c>
      <c r="D777" s="33">
        <f>INDEX('ZCB Curve - Payment Dates'!$D$2:$D$246,MATCH(B777,'ZCB Curve - Payment Dates'!$A$2:$A$246,0))</f>
        <v>0.84615424839536502</v>
      </c>
      <c r="E777" s="32">
        <f t="shared" si="12"/>
        <v>1.850962418364861</v>
      </c>
    </row>
    <row r="778" spans="1:5" x14ac:dyDescent="0.25">
      <c r="A778" s="17">
        <v>186</v>
      </c>
      <c r="B778" s="31">
        <v>47817</v>
      </c>
      <c r="C778" s="32">
        <f>INDEX('Input Data'!$B:$B,A778)/2+IF(A778&lt;&gt;A779,100,0)</f>
        <v>102.1875</v>
      </c>
      <c r="D778" s="33">
        <f>INDEX('ZCB Curve - Payment Dates'!$D$2:$D$246,MATCH(B778,'ZCB Curve - Payment Dates'!$A$2:$A$246,0))</f>
        <v>0.82669778003432226</v>
      </c>
      <c r="E778" s="32">
        <f t="shared" si="12"/>
        <v>84.478179397257307</v>
      </c>
    </row>
    <row r="779" spans="1:5" x14ac:dyDescent="0.25">
      <c r="A779" s="17">
        <v>187</v>
      </c>
      <c r="B779" s="31">
        <v>46387</v>
      </c>
      <c r="C779" s="32">
        <f>INDEX('Input Data'!$B:$B,A779)/2+IF(A779&lt;&gt;A780,100,0)</f>
        <v>1.8125</v>
      </c>
      <c r="D779" s="33">
        <f>INDEX('ZCB Curve - Payment Dates'!$D$2:$D$246,MATCH(B779,'ZCB Curve - Payment Dates'!$A$2:$A$246,0))</f>
        <v>0.987487116303851</v>
      </c>
      <c r="E779" s="32">
        <f t="shared" si="12"/>
        <v>1.7898203983007299</v>
      </c>
    </row>
    <row r="780" spans="1:5" x14ac:dyDescent="0.25">
      <c r="A780" s="17">
        <v>187</v>
      </c>
      <c r="B780" s="31">
        <v>46568</v>
      </c>
      <c r="C780" s="32">
        <f>INDEX('Input Data'!$B:$B,A780)/2+IF(A780&lt;&gt;A781,100,0)</f>
        <v>1.8125</v>
      </c>
      <c r="D780" s="33">
        <f>INDEX('ZCB Curve - Payment Dates'!$D$2:$D$246,MATCH(B780,'ZCB Curve - Payment Dates'!$A$2:$A$246,0))</f>
        <v>0.96717094344557664</v>
      </c>
      <c r="E780" s="32">
        <f t="shared" si="12"/>
        <v>1.7529973349951076</v>
      </c>
    </row>
    <row r="781" spans="1:5" x14ac:dyDescent="0.25">
      <c r="A781" s="17">
        <v>187</v>
      </c>
      <c r="B781" s="31">
        <v>46752</v>
      </c>
      <c r="C781" s="32">
        <f>INDEX('Input Data'!$B:$B,A781)/2+IF(A781&lt;&gt;A782,100,0)</f>
        <v>1.8125</v>
      </c>
      <c r="D781" s="33">
        <f>INDEX('ZCB Curve - Payment Dates'!$D$2:$D$246,MATCH(B781,'ZCB Curve - Payment Dates'!$A$2:$A$246,0))</f>
        <v>0.94585368463190456</v>
      </c>
      <c r="E781" s="32">
        <f t="shared" si="12"/>
        <v>1.7143598033953271</v>
      </c>
    </row>
    <row r="782" spans="1:5" x14ac:dyDescent="0.25">
      <c r="A782" s="17">
        <v>187</v>
      </c>
      <c r="B782" s="31">
        <v>46934</v>
      </c>
      <c r="C782" s="32">
        <f>INDEX('Input Data'!$B:$B,A782)/2+IF(A782&lt;&gt;A783,100,0)</f>
        <v>1.8125</v>
      </c>
      <c r="D782" s="33">
        <f>INDEX('ZCB Curve - Payment Dates'!$D$2:$D$246,MATCH(B782,'ZCB Curve - Payment Dates'!$A$2:$A$246,0))</f>
        <v>0.92465239860805604</v>
      </c>
      <c r="E782" s="32">
        <f t="shared" si="12"/>
        <v>1.6759324724771016</v>
      </c>
    </row>
    <row r="783" spans="1:5" x14ac:dyDescent="0.25">
      <c r="A783" s="17">
        <v>187</v>
      </c>
      <c r="B783" s="31">
        <v>47118</v>
      </c>
      <c r="C783" s="32">
        <f>INDEX('Input Data'!$B:$B,A783)/2+IF(A783&lt;&gt;A784,100,0)</f>
        <v>1.8125</v>
      </c>
      <c r="D783" s="33">
        <f>INDEX('ZCB Curve - Payment Dates'!$D$2:$D$246,MATCH(B783,'ZCB Curve - Payment Dates'!$A$2:$A$246,0))</f>
        <v>0.90342754291436123</v>
      </c>
      <c r="E783" s="32">
        <f t="shared" si="12"/>
        <v>1.6374624215322797</v>
      </c>
    </row>
    <row r="784" spans="1:5" x14ac:dyDescent="0.25">
      <c r="A784" s="17">
        <v>187</v>
      </c>
      <c r="B784" s="31">
        <v>47299</v>
      </c>
      <c r="C784" s="32">
        <f>INDEX('Input Data'!$B:$B,A784)/2+IF(A784&lt;&gt;A785,100,0)</f>
        <v>1.8125</v>
      </c>
      <c r="D784" s="33">
        <f>INDEX('ZCB Curve - Payment Dates'!$D$2:$D$246,MATCH(B784,'ZCB Curve - Payment Dates'!$A$2:$A$246,0))</f>
        <v>0.88292427004927643</v>
      </c>
      <c r="E784" s="32">
        <f t="shared" si="12"/>
        <v>1.6003002394643135</v>
      </c>
    </row>
    <row r="785" spans="1:5" x14ac:dyDescent="0.25">
      <c r="A785" s="17">
        <v>187</v>
      </c>
      <c r="B785" s="31">
        <v>47483</v>
      </c>
      <c r="C785" s="32">
        <f>INDEX('Input Data'!$B:$B,A785)/2+IF(A785&lt;&gt;A786,100,0)</f>
        <v>1.8125</v>
      </c>
      <c r="D785" s="33">
        <f>INDEX('ZCB Curve - Payment Dates'!$D$2:$D$246,MATCH(B785,'ZCB Curve - Payment Dates'!$A$2:$A$246,0))</f>
        <v>0.86253652987508767</v>
      </c>
      <c r="E785" s="32">
        <f t="shared" si="12"/>
        <v>1.5633474603985964</v>
      </c>
    </row>
    <row r="786" spans="1:5" x14ac:dyDescent="0.25">
      <c r="A786" s="17">
        <v>187</v>
      </c>
      <c r="B786" s="31">
        <v>47664</v>
      </c>
      <c r="C786" s="32">
        <f>INDEX('Input Data'!$B:$B,A786)/2+IF(A786&lt;&gt;A787,100,0)</f>
        <v>1.8125</v>
      </c>
      <c r="D786" s="33">
        <f>INDEX('ZCB Curve - Payment Dates'!$D$2:$D$246,MATCH(B786,'ZCB Curve - Payment Dates'!$A$2:$A$246,0))</f>
        <v>0.84293550634880554</v>
      </c>
      <c r="E786" s="32">
        <f t="shared" si="12"/>
        <v>1.5278206052572101</v>
      </c>
    </row>
    <row r="787" spans="1:5" x14ac:dyDescent="0.25">
      <c r="A787" s="17">
        <v>187</v>
      </c>
      <c r="B787" s="31">
        <v>47848</v>
      </c>
      <c r="C787" s="32">
        <f>INDEX('Input Data'!$B:$B,A787)/2+IF(A787&lt;&gt;A788,100,0)</f>
        <v>101.8125</v>
      </c>
      <c r="D787" s="33">
        <f>INDEX('ZCB Curve - Payment Dates'!$D$2:$D$246,MATCH(B787,'ZCB Curve - Payment Dates'!$A$2:$A$246,0))</f>
        <v>0.82344362073276389</v>
      </c>
      <c r="E787" s="32">
        <f t="shared" si="12"/>
        <v>83.836853635854524</v>
      </c>
    </row>
    <row r="788" spans="1:5" x14ac:dyDescent="0.25">
      <c r="A788" s="17">
        <v>188</v>
      </c>
      <c r="B788" s="31">
        <v>46387</v>
      </c>
      <c r="C788" s="32">
        <f>INDEX('Input Data'!$B:$B,A788)/2+IF(A788&lt;&gt;A789,100,0)</f>
        <v>1.875</v>
      </c>
      <c r="D788" s="33">
        <f>INDEX('ZCB Curve - Payment Dates'!$D$2:$D$246,MATCH(B788,'ZCB Curve - Payment Dates'!$A$2:$A$246,0))</f>
        <v>0.987487116303851</v>
      </c>
      <c r="E788" s="32">
        <f t="shared" si="12"/>
        <v>1.8515383430697205</v>
      </c>
    </row>
    <row r="789" spans="1:5" x14ac:dyDescent="0.25">
      <c r="A789" s="17">
        <v>188</v>
      </c>
      <c r="B789" s="31">
        <v>46568</v>
      </c>
      <c r="C789" s="32">
        <f>INDEX('Input Data'!$B:$B,A789)/2+IF(A789&lt;&gt;A790,100,0)</f>
        <v>1.875</v>
      </c>
      <c r="D789" s="33">
        <f>INDEX('ZCB Curve - Payment Dates'!$D$2:$D$246,MATCH(B789,'ZCB Curve - Payment Dates'!$A$2:$A$246,0))</f>
        <v>0.96717094344557664</v>
      </c>
      <c r="E789" s="32">
        <f t="shared" si="12"/>
        <v>1.8134455189604561</v>
      </c>
    </row>
    <row r="790" spans="1:5" x14ac:dyDescent="0.25">
      <c r="A790" s="17">
        <v>188</v>
      </c>
      <c r="B790" s="31">
        <v>46752</v>
      </c>
      <c r="C790" s="32">
        <f>INDEX('Input Data'!$B:$B,A790)/2+IF(A790&lt;&gt;A791,100,0)</f>
        <v>1.875</v>
      </c>
      <c r="D790" s="33">
        <f>INDEX('ZCB Curve - Payment Dates'!$D$2:$D$246,MATCH(B790,'ZCB Curve - Payment Dates'!$A$2:$A$246,0))</f>
        <v>0.94585368463190456</v>
      </c>
      <c r="E790" s="32">
        <f t="shared" si="12"/>
        <v>1.773475658684821</v>
      </c>
    </row>
    <row r="791" spans="1:5" x14ac:dyDescent="0.25">
      <c r="A791" s="17">
        <v>188</v>
      </c>
      <c r="B791" s="31">
        <v>46934</v>
      </c>
      <c r="C791" s="32">
        <f>INDEX('Input Data'!$B:$B,A791)/2+IF(A791&lt;&gt;A792,100,0)</f>
        <v>1.875</v>
      </c>
      <c r="D791" s="33">
        <f>INDEX('ZCB Curve - Payment Dates'!$D$2:$D$246,MATCH(B791,'ZCB Curve - Payment Dates'!$A$2:$A$246,0))</f>
        <v>0.92465239860805604</v>
      </c>
      <c r="E791" s="32">
        <f t="shared" si="12"/>
        <v>1.733723247390105</v>
      </c>
    </row>
    <row r="792" spans="1:5" x14ac:dyDescent="0.25">
      <c r="A792" s="17">
        <v>188</v>
      </c>
      <c r="B792" s="31">
        <v>47118</v>
      </c>
      <c r="C792" s="32">
        <f>INDEX('Input Data'!$B:$B,A792)/2+IF(A792&lt;&gt;A793,100,0)</f>
        <v>1.875</v>
      </c>
      <c r="D792" s="33">
        <f>INDEX('ZCB Curve - Payment Dates'!$D$2:$D$246,MATCH(B792,'ZCB Curve - Payment Dates'!$A$2:$A$246,0))</f>
        <v>0.90342754291436123</v>
      </c>
      <c r="E792" s="32">
        <f t="shared" si="12"/>
        <v>1.6939266429644273</v>
      </c>
    </row>
    <row r="793" spans="1:5" x14ac:dyDescent="0.25">
      <c r="A793" s="17">
        <v>188</v>
      </c>
      <c r="B793" s="31">
        <v>47299</v>
      </c>
      <c r="C793" s="32">
        <f>INDEX('Input Data'!$B:$B,A793)/2+IF(A793&lt;&gt;A794,100,0)</f>
        <v>1.875</v>
      </c>
      <c r="D793" s="33">
        <f>INDEX('ZCB Curve - Payment Dates'!$D$2:$D$246,MATCH(B793,'ZCB Curve - Payment Dates'!$A$2:$A$246,0))</f>
        <v>0.88292427004927643</v>
      </c>
      <c r="E793" s="32">
        <f t="shared" si="12"/>
        <v>1.6554830063423933</v>
      </c>
    </row>
    <row r="794" spans="1:5" x14ac:dyDescent="0.25">
      <c r="A794" s="17">
        <v>188</v>
      </c>
      <c r="B794" s="31">
        <v>47483</v>
      </c>
      <c r="C794" s="32">
        <f>INDEX('Input Data'!$B:$B,A794)/2+IF(A794&lt;&gt;A795,100,0)</f>
        <v>1.875</v>
      </c>
      <c r="D794" s="33">
        <f>INDEX('ZCB Curve - Payment Dates'!$D$2:$D$246,MATCH(B794,'ZCB Curve - Payment Dates'!$A$2:$A$246,0))</f>
        <v>0.86253652987508767</v>
      </c>
      <c r="E794" s="32">
        <f t="shared" si="12"/>
        <v>1.6172559935157893</v>
      </c>
    </row>
    <row r="795" spans="1:5" x14ac:dyDescent="0.25">
      <c r="A795" s="17">
        <v>188</v>
      </c>
      <c r="B795" s="31">
        <v>47664</v>
      </c>
      <c r="C795" s="32">
        <f>INDEX('Input Data'!$B:$B,A795)/2+IF(A795&lt;&gt;A796,100,0)</f>
        <v>1.875</v>
      </c>
      <c r="D795" s="33">
        <f>INDEX('ZCB Curve - Payment Dates'!$D$2:$D$246,MATCH(B795,'ZCB Curve - Payment Dates'!$A$2:$A$246,0))</f>
        <v>0.84293550634880554</v>
      </c>
      <c r="E795" s="32">
        <f t="shared" si="12"/>
        <v>1.5805040744040104</v>
      </c>
    </row>
    <row r="796" spans="1:5" x14ac:dyDescent="0.25">
      <c r="A796" s="17">
        <v>188</v>
      </c>
      <c r="B796" s="31">
        <v>47848</v>
      </c>
      <c r="C796" s="32">
        <f>INDEX('Input Data'!$B:$B,A796)/2+IF(A796&lt;&gt;A797,100,0)</f>
        <v>101.875</v>
      </c>
      <c r="D796" s="33">
        <f>INDEX('ZCB Curve - Payment Dates'!$D$2:$D$246,MATCH(B796,'ZCB Curve - Payment Dates'!$A$2:$A$246,0))</f>
        <v>0.82344362073276389</v>
      </c>
      <c r="E796" s="32">
        <f t="shared" si="12"/>
        <v>83.888318862150328</v>
      </c>
    </row>
    <row r="797" spans="1:5" x14ac:dyDescent="0.25">
      <c r="A797" s="17">
        <v>189</v>
      </c>
      <c r="B797" s="31">
        <v>46418</v>
      </c>
      <c r="C797" s="32">
        <f>INDEX('Input Data'!$B:$B,A797)/2+IF(A797&lt;&gt;A798,100,0)</f>
        <v>1.875</v>
      </c>
      <c r="D797" s="33">
        <f>INDEX('ZCB Curve - Payment Dates'!$D$2:$D$246,MATCH(B797,'ZCB Curve - Payment Dates'!$A$2:$A$246,0))</f>
        <v>0.98408668818349121</v>
      </c>
      <c r="E797" s="32">
        <f t="shared" si="12"/>
        <v>1.8451625403440459</v>
      </c>
    </row>
    <row r="798" spans="1:5" x14ac:dyDescent="0.25">
      <c r="A798" s="17">
        <v>189</v>
      </c>
      <c r="B798" s="31">
        <v>46599</v>
      </c>
      <c r="C798" s="32">
        <f>INDEX('Input Data'!$B:$B,A798)/2+IF(A798&lt;&gt;A799,100,0)</f>
        <v>1.875</v>
      </c>
      <c r="D798" s="33">
        <f>INDEX('ZCB Curve - Payment Dates'!$D$2:$D$246,MATCH(B798,'ZCB Curve - Payment Dates'!$A$2:$A$246,0))</f>
        <v>0.96360931883583933</v>
      </c>
      <c r="E798" s="32">
        <f t="shared" si="12"/>
        <v>1.8067674728171987</v>
      </c>
    </row>
    <row r="799" spans="1:5" x14ac:dyDescent="0.25">
      <c r="A799" s="17">
        <v>189</v>
      </c>
      <c r="B799" s="31">
        <v>46783</v>
      </c>
      <c r="C799" s="32">
        <f>INDEX('Input Data'!$B:$B,A799)/2+IF(A799&lt;&gt;A800,100,0)</f>
        <v>1.875</v>
      </c>
      <c r="D799" s="33">
        <f>INDEX('ZCB Curve - Payment Dates'!$D$2:$D$246,MATCH(B799,'ZCB Curve - Payment Dates'!$A$2:$A$246,0))</f>
        <v>0.94224051785347052</v>
      </c>
      <c r="E799" s="32">
        <f t="shared" si="12"/>
        <v>1.7667009709752572</v>
      </c>
    </row>
    <row r="800" spans="1:5" x14ac:dyDescent="0.25">
      <c r="A800" s="17">
        <v>189</v>
      </c>
      <c r="B800" s="31">
        <v>46965</v>
      </c>
      <c r="C800" s="32">
        <f>INDEX('Input Data'!$B:$B,A800)/2+IF(A800&lt;&gt;A801,100,0)</f>
        <v>1.875</v>
      </c>
      <c r="D800" s="33">
        <f>INDEX('ZCB Curve - Payment Dates'!$D$2:$D$246,MATCH(B800,'ZCB Curve - Payment Dates'!$A$2:$A$246,0))</f>
        <v>0.92105657743562108</v>
      </c>
      <c r="E800" s="32">
        <f t="shared" si="12"/>
        <v>1.7269810826917895</v>
      </c>
    </row>
    <row r="801" spans="1:5" x14ac:dyDescent="0.25">
      <c r="A801" s="17">
        <v>189</v>
      </c>
      <c r="B801" s="31">
        <v>47149</v>
      </c>
      <c r="C801" s="32">
        <f>INDEX('Input Data'!$B:$B,A801)/2+IF(A801&lt;&gt;A802,100,0)</f>
        <v>1.875</v>
      </c>
      <c r="D801" s="33">
        <f>INDEX('ZCB Curve - Payment Dates'!$D$2:$D$246,MATCH(B801,'ZCB Curve - Payment Dates'!$A$2:$A$246,0))</f>
        <v>0.89988368588562773</v>
      </c>
      <c r="E801" s="32">
        <f t="shared" si="12"/>
        <v>1.6872819110355519</v>
      </c>
    </row>
    <row r="802" spans="1:5" x14ac:dyDescent="0.25">
      <c r="A802" s="17">
        <v>189</v>
      </c>
      <c r="B802" s="31">
        <v>47330</v>
      </c>
      <c r="C802" s="32">
        <f>INDEX('Input Data'!$B:$B,A802)/2+IF(A802&lt;&gt;A803,100,0)</f>
        <v>1.875</v>
      </c>
      <c r="D802" s="33">
        <f>INDEX('ZCB Curve - Payment Dates'!$D$2:$D$246,MATCH(B802,'ZCB Curve - Payment Dates'!$A$2:$A$246,0))</f>
        <v>0.87945764483737499</v>
      </c>
      <c r="E802" s="32">
        <f t="shared" si="12"/>
        <v>1.6489830840700781</v>
      </c>
    </row>
    <row r="803" spans="1:5" x14ac:dyDescent="0.25">
      <c r="A803" s="17">
        <v>189</v>
      </c>
      <c r="B803" s="31">
        <v>47514</v>
      </c>
      <c r="C803" s="32">
        <f>INDEX('Input Data'!$B:$B,A803)/2+IF(A803&lt;&gt;A804,100,0)</f>
        <v>1.875</v>
      </c>
      <c r="D803" s="33">
        <f>INDEX('ZCB Curve - Payment Dates'!$D$2:$D$246,MATCH(B803,'ZCB Curve - Payment Dates'!$A$2:$A$246,0))</f>
        <v>0.8591452031111062</v>
      </c>
      <c r="E803" s="32">
        <f t="shared" si="12"/>
        <v>1.6108972558333241</v>
      </c>
    </row>
    <row r="804" spans="1:5" x14ac:dyDescent="0.25">
      <c r="A804" s="17">
        <v>189</v>
      </c>
      <c r="B804" s="31">
        <v>47695</v>
      </c>
      <c r="C804" s="32">
        <f>INDEX('Input Data'!$B:$B,A804)/2+IF(A804&lt;&gt;A805,100,0)</f>
        <v>1.875</v>
      </c>
      <c r="D804" s="33">
        <f>INDEX('ZCB Curve - Payment Dates'!$D$2:$D$246,MATCH(B804,'ZCB Curve - Payment Dates'!$A$2:$A$246,0))</f>
        <v>0.83962327815837468</v>
      </c>
      <c r="E804" s="32">
        <f t="shared" si="12"/>
        <v>1.5742936465469526</v>
      </c>
    </row>
    <row r="805" spans="1:5" x14ac:dyDescent="0.25">
      <c r="A805" s="17">
        <v>189</v>
      </c>
      <c r="B805" s="31">
        <v>47879</v>
      </c>
      <c r="C805" s="32">
        <f>INDEX('Input Data'!$B:$B,A805)/2+IF(A805&lt;&gt;A806,100,0)</f>
        <v>101.875</v>
      </c>
      <c r="D805" s="33">
        <f>INDEX('ZCB Curve - Payment Dates'!$D$2:$D$246,MATCH(B805,'ZCB Curve - Payment Dates'!$A$2:$A$246,0))</f>
        <v>0.82019666458416451</v>
      </c>
      <c r="E805" s="32">
        <f t="shared" si="12"/>
        <v>83.557535204511765</v>
      </c>
    </row>
    <row r="806" spans="1:5" x14ac:dyDescent="0.25">
      <c r="A806" s="17">
        <v>190</v>
      </c>
      <c r="B806" s="31">
        <v>46418</v>
      </c>
      <c r="C806" s="32">
        <f>INDEX('Input Data'!$B:$B,A806)/2+IF(A806&lt;&gt;A807,100,0)</f>
        <v>2</v>
      </c>
      <c r="D806" s="33">
        <f>INDEX('ZCB Curve - Payment Dates'!$D$2:$D$246,MATCH(B806,'ZCB Curve - Payment Dates'!$A$2:$A$246,0))</f>
        <v>0.98408668818349121</v>
      </c>
      <c r="E806" s="32">
        <f t="shared" si="12"/>
        <v>1.9681733763669824</v>
      </c>
    </row>
    <row r="807" spans="1:5" x14ac:dyDescent="0.25">
      <c r="A807" s="17">
        <v>190</v>
      </c>
      <c r="B807" s="31">
        <v>46599</v>
      </c>
      <c r="C807" s="32">
        <f>INDEX('Input Data'!$B:$B,A807)/2+IF(A807&lt;&gt;A808,100,0)</f>
        <v>2</v>
      </c>
      <c r="D807" s="33">
        <f>INDEX('ZCB Curve - Payment Dates'!$D$2:$D$246,MATCH(B807,'ZCB Curve - Payment Dates'!$A$2:$A$246,0))</f>
        <v>0.96360931883583933</v>
      </c>
      <c r="E807" s="32">
        <f t="shared" si="12"/>
        <v>1.9272186376716787</v>
      </c>
    </row>
    <row r="808" spans="1:5" x14ac:dyDescent="0.25">
      <c r="A808" s="17">
        <v>190</v>
      </c>
      <c r="B808" s="31">
        <v>46783</v>
      </c>
      <c r="C808" s="32">
        <f>INDEX('Input Data'!$B:$B,A808)/2+IF(A808&lt;&gt;A809,100,0)</f>
        <v>2</v>
      </c>
      <c r="D808" s="33">
        <f>INDEX('ZCB Curve - Payment Dates'!$D$2:$D$246,MATCH(B808,'ZCB Curve - Payment Dates'!$A$2:$A$246,0))</f>
        <v>0.94224051785347052</v>
      </c>
      <c r="E808" s="32">
        <f t="shared" si="12"/>
        <v>1.884481035706941</v>
      </c>
    </row>
    <row r="809" spans="1:5" x14ac:dyDescent="0.25">
      <c r="A809" s="17">
        <v>190</v>
      </c>
      <c r="B809" s="31">
        <v>46965</v>
      </c>
      <c r="C809" s="32">
        <f>INDEX('Input Data'!$B:$B,A809)/2+IF(A809&lt;&gt;A810,100,0)</f>
        <v>2</v>
      </c>
      <c r="D809" s="33">
        <f>INDEX('ZCB Curve - Payment Dates'!$D$2:$D$246,MATCH(B809,'ZCB Curve - Payment Dates'!$A$2:$A$246,0))</f>
        <v>0.92105657743562108</v>
      </c>
      <c r="E809" s="32">
        <f t="shared" si="12"/>
        <v>1.8421131548712422</v>
      </c>
    </row>
    <row r="810" spans="1:5" x14ac:dyDescent="0.25">
      <c r="A810" s="17">
        <v>190</v>
      </c>
      <c r="B810" s="31">
        <v>47149</v>
      </c>
      <c r="C810" s="32">
        <f>INDEX('Input Data'!$B:$B,A810)/2+IF(A810&lt;&gt;A811,100,0)</f>
        <v>2</v>
      </c>
      <c r="D810" s="33">
        <f>INDEX('ZCB Curve - Payment Dates'!$D$2:$D$246,MATCH(B810,'ZCB Curve - Payment Dates'!$A$2:$A$246,0))</f>
        <v>0.89988368588562773</v>
      </c>
      <c r="E810" s="32">
        <f t="shared" si="12"/>
        <v>1.7997673717712555</v>
      </c>
    </row>
    <row r="811" spans="1:5" x14ac:dyDescent="0.25">
      <c r="A811" s="17">
        <v>190</v>
      </c>
      <c r="B811" s="31">
        <v>47330</v>
      </c>
      <c r="C811" s="32">
        <f>INDEX('Input Data'!$B:$B,A811)/2+IF(A811&lt;&gt;A812,100,0)</f>
        <v>2</v>
      </c>
      <c r="D811" s="33">
        <f>INDEX('ZCB Curve - Payment Dates'!$D$2:$D$246,MATCH(B811,'ZCB Curve - Payment Dates'!$A$2:$A$246,0))</f>
        <v>0.87945764483737499</v>
      </c>
      <c r="E811" s="32">
        <f t="shared" si="12"/>
        <v>1.75891528967475</v>
      </c>
    </row>
    <row r="812" spans="1:5" x14ac:dyDescent="0.25">
      <c r="A812" s="17">
        <v>190</v>
      </c>
      <c r="B812" s="31">
        <v>47514</v>
      </c>
      <c r="C812" s="32">
        <f>INDEX('Input Data'!$B:$B,A812)/2+IF(A812&lt;&gt;A813,100,0)</f>
        <v>2</v>
      </c>
      <c r="D812" s="33">
        <f>INDEX('ZCB Curve - Payment Dates'!$D$2:$D$246,MATCH(B812,'ZCB Curve - Payment Dates'!$A$2:$A$246,0))</f>
        <v>0.8591452031111062</v>
      </c>
      <c r="E812" s="32">
        <f t="shared" si="12"/>
        <v>1.7182904062222124</v>
      </c>
    </row>
    <row r="813" spans="1:5" x14ac:dyDescent="0.25">
      <c r="A813" s="17">
        <v>190</v>
      </c>
      <c r="B813" s="31">
        <v>47695</v>
      </c>
      <c r="C813" s="32">
        <f>INDEX('Input Data'!$B:$B,A813)/2+IF(A813&lt;&gt;A814,100,0)</f>
        <v>2</v>
      </c>
      <c r="D813" s="33">
        <f>INDEX('ZCB Curve - Payment Dates'!$D$2:$D$246,MATCH(B813,'ZCB Curve - Payment Dates'!$A$2:$A$246,0))</f>
        <v>0.83962327815837468</v>
      </c>
      <c r="E813" s="32">
        <f t="shared" si="12"/>
        <v>1.6792465563167494</v>
      </c>
    </row>
    <row r="814" spans="1:5" x14ac:dyDescent="0.25">
      <c r="A814" s="17">
        <v>190</v>
      </c>
      <c r="B814" s="31">
        <v>47879</v>
      </c>
      <c r="C814" s="32">
        <f>INDEX('Input Data'!$B:$B,A814)/2+IF(A814&lt;&gt;A815,100,0)</f>
        <v>102</v>
      </c>
      <c r="D814" s="33">
        <f>INDEX('ZCB Curve - Payment Dates'!$D$2:$D$246,MATCH(B814,'ZCB Curve - Payment Dates'!$A$2:$A$246,0))</f>
        <v>0.82019666458416451</v>
      </c>
      <c r="E814" s="32">
        <f t="shared" si="12"/>
        <v>83.660059787584785</v>
      </c>
    </row>
    <row r="815" spans="1:5" x14ac:dyDescent="0.25">
      <c r="A815" s="17">
        <v>191</v>
      </c>
      <c r="B815" s="31">
        <v>46433</v>
      </c>
      <c r="C815" s="32">
        <f>INDEX('Input Data'!$B:$B,A815)/2+IF(A815&lt;&gt;A816,100,0)</f>
        <v>0.5625</v>
      </c>
      <c r="D815" s="33">
        <f>INDEX('ZCB Curve - Payment Dates'!$D$2:$D$246,MATCH(B815,'ZCB Curve - Payment Dates'!$A$2:$A$246,0))</f>
        <v>0.98242671792446301</v>
      </c>
      <c r="E815" s="32">
        <f t="shared" si="12"/>
        <v>0.55261502883251046</v>
      </c>
    </row>
    <row r="816" spans="1:5" x14ac:dyDescent="0.25">
      <c r="A816" s="17">
        <v>191</v>
      </c>
      <c r="B816" s="31">
        <v>46614</v>
      </c>
      <c r="C816" s="32">
        <f>INDEX('Input Data'!$B:$B,A816)/2+IF(A816&lt;&gt;A817,100,0)</f>
        <v>0.5625</v>
      </c>
      <c r="D816" s="33">
        <f>INDEX('ZCB Curve - Payment Dates'!$D$2:$D$246,MATCH(B816,'ZCB Curve - Payment Dates'!$A$2:$A$246,0))</f>
        <v>0.96187948164765535</v>
      </c>
      <c r="E816" s="32">
        <f t="shared" si="12"/>
        <v>0.54105720842680616</v>
      </c>
    </row>
    <row r="817" spans="1:5" x14ac:dyDescent="0.25">
      <c r="A817" s="17">
        <v>191</v>
      </c>
      <c r="B817" s="31">
        <v>46798</v>
      </c>
      <c r="C817" s="32">
        <f>INDEX('Input Data'!$B:$B,A817)/2+IF(A817&lt;&gt;A818,100,0)</f>
        <v>0.5625</v>
      </c>
      <c r="D817" s="33">
        <f>INDEX('ZCB Curve - Payment Dates'!$D$2:$D$246,MATCH(B817,'ZCB Curve - Payment Dates'!$A$2:$A$246,0))</f>
        <v>0.94049096132648802</v>
      </c>
      <c r="E817" s="32">
        <f t="shared" si="12"/>
        <v>0.52902616574614947</v>
      </c>
    </row>
    <row r="818" spans="1:5" x14ac:dyDescent="0.25">
      <c r="A818" s="17">
        <v>191</v>
      </c>
      <c r="B818" s="31">
        <v>46980</v>
      </c>
      <c r="C818" s="32">
        <f>INDEX('Input Data'!$B:$B,A818)/2+IF(A818&lt;&gt;A819,100,0)</f>
        <v>0.5625</v>
      </c>
      <c r="D818" s="33">
        <f>INDEX('ZCB Curve - Payment Dates'!$D$2:$D$246,MATCH(B818,'ZCB Curve - Payment Dates'!$A$2:$A$246,0))</f>
        <v>0.91931844130238327</v>
      </c>
      <c r="E818" s="32">
        <f t="shared" si="12"/>
        <v>0.51711662323259056</v>
      </c>
    </row>
    <row r="819" spans="1:5" x14ac:dyDescent="0.25">
      <c r="A819" s="17">
        <v>191</v>
      </c>
      <c r="B819" s="31">
        <v>47164</v>
      </c>
      <c r="C819" s="32">
        <f>INDEX('Input Data'!$B:$B,A819)/2+IF(A819&lt;&gt;A820,100,0)</f>
        <v>0.5625</v>
      </c>
      <c r="D819" s="33">
        <f>INDEX('ZCB Curve - Payment Dates'!$D$2:$D$246,MATCH(B819,'ZCB Curve - Payment Dates'!$A$2:$A$246,0))</f>
        <v>0.89817430058086534</v>
      </c>
      <c r="E819" s="32">
        <f t="shared" si="12"/>
        <v>0.50522304407673679</v>
      </c>
    </row>
    <row r="820" spans="1:5" x14ac:dyDescent="0.25">
      <c r="A820" s="17">
        <v>191</v>
      </c>
      <c r="B820" s="31">
        <v>47345</v>
      </c>
      <c r="C820" s="32">
        <f>INDEX('Input Data'!$B:$B,A820)/2+IF(A820&lt;&gt;A821,100,0)</f>
        <v>0.5625</v>
      </c>
      <c r="D820" s="33">
        <f>INDEX('ZCB Curve - Payment Dates'!$D$2:$D$246,MATCH(B820,'ZCB Curve - Payment Dates'!$A$2:$A$246,0))</f>
        <v>0.87778421628860481</v>
      </c>
      <c r="E820" s="32">
        <f t="shared" si="12"/>
        <v>0.49375362166234021</v>
      </c>
    </row>
    <row r="821" spans="1:5" x14ac:dyDescent="0.25">
      <c r="A821" s="17">
        <v>191</v>
      </c>
      <c r="B821" s="31">
        <v>47529</v>
      </c>
      <c r="C821" s="32">
        <f>INDEX('Input Data'!$B:$B,A821)/2+IF(A821&lt;&gt;A822,100,0)</f>
        <v>0.5625</v>
      </c>
      <c r="D821" s="33">
        <f>INDEX('ZCB Curve - Payment Dates'!$D$2:$D$246,MATCH(B821,'ZCB Curve - Payment Dates'!$A$2:$A$246,0))</f>
        <v>0.85751015570959666</v>
      </c>
      <c r="E821" s="32">
        <f t="shared" si="12"/>
        <v>0.48234946258664813</v>
      </c>
    </row>
    <row r="822" spans="1:5" x14ac:dyDescent="0.25">
      <c r="A822" s="17">
        <v>191</v>
      </c>
      <c r="B822" s="31">
        <v>47710</v>
      </c>
      <c r="C822" s="32">
        <f>INDEX('Input Data'!$B:$B,A822)/2+IF(A822&lt;&gt;A823,100,0)</f>
        <v>0.5625</v>
      </c>
      <c r="D822" s="33">
        <f>INDEX('ZCB Curve - Payment Dates'!$D$2:$D$246,MATCH(B822,'ZCB Curve - Payment Dates'!$A$2:$A$246,0))</f>
        <v>0.83802423748211174</v>
      </c>
      <c r="E822" s="32">
        <f t="shared" si="12"/>
        <v>0.47138863358368788</v>
      </c>
    </row>
    <row r="823" spans="1:5" x14ac:dyDescent="0.25">
      <c r="A823" s="17">
        <v>191</v>
      </c>
      <c r="B823" s="31">
        <v>47894</v>
      </c>
      <c r="C823" s="32">
        <f>INDEX('Input Data'!$B:$B,A823)/2+IF(A823&lt;&gt;A824,100,0)</f>
        <v>100.5625</v>
      </c>
      <c r="D823" s="33">
        <f>INDEX('ZCB Curve - Payment Dates'!$D$2:$D$246,MATCH(B823,'ZCB Curve - Payment Dates'!$A$2:$A$246,0))</f>
        <v>0.8186305474741673</v>
      </c>
      <c r="E823" s="32">
        <f t="shared" si="12"/>
        <v>82.323534430370955</v>
      </c>
    </row>
    <row r="824" spans="1:5" x14ac:dyDescent="0.25">
      <c r="A824" s="17">
        <v>192</v>
      </c>
      <c r="B824" s="31">
        <v>46433</v>
      </c>
      <c r="C824" s="32">
        <f>INDEX('Input Data'!$B:$B,A824)/2+IF(A824&lt;&gt;A825,100,0)</f>
        <v>2.6875</v>
      </c>
      <c r="D824" s="33">
        <f>INDEX('ZCB Curve - Payment Dates'!$D$2:$D$246,MATCH(B824,'ZCB Curve - Payment Dates'!$A$2:$A$246,0))</f>
        <v>0.98242671792446301</v>
      </c>
      <c r="E824" s="32">
        <f t="shared" si="12"/>
        <v>2.6402718044219942</v>
      </c>
    </row>
    <row r="825" spans="1:5" x14ac:dyDescent="0.25">
      <c r="A825" s="17">
        <v>192</v>
      </c>
      <c r="B825" s="31">
        <v>46614</v>
      </c>
      <c r="C825" s="32">
        <f>INDEX('Input Data'!$B:$B,A825)/2+IF(A825&lt;&gt;A826,100,0)</f>
        <v>2.6875</v>
      </c>
      <c r="D825" s="33">
        <f>INDEX('ZCB Curve - Payment Dates'!$D$2:$D$246,MATCH(B825,'ZCB Curve - Payment Dates'!$A$2:$A$246,0))</f>
        <v>0.96187948164765535</v>
      </c>
      <c r="E825" s="32">
        <f t="shared" si="12"/>
        <v>2.5850511069280739</v>
      </c>
    </row>
    <row r="826" spans="1:5" x14ac:dyDescent="0.25">
      <c r="A826" s="17">
        <v>192</v>
      </c>
      <c r="B826" s="31">
        <v>46798</v>
      </c>
      <c r="C826" s="32">
        <f>INDEX('Input Data'!$B:$B,A826)/2+IF(A826&lt;&gt;A827,100,0)</f>
        <v>2.6875</v>
      </c>
      <c r="D826" s="33">
        <f>INDEX('ZCB Curve - Payment Dates'!$D$2:$D$246,MATCH(B826,'ZCB Curve - Payment Dates'!$A$2:$A$246,0))</f>
        <v>0.94049096132648802</v>
      </c>
      <c r="E826" s="32">
        <f t="shared" si="12"/>
        <v>2.5275694585649364</v>
      </c>
    </row>
    <row r="827" spans="1:5" x14ac:dyDescent="0.25">
      <c r="A827" s="17">
        <v>192</v>
      </c>
      <c r="B827" s="31">
        <v>46980</v>
      </c>
      <c r="C827" s="32">
        <f>INDEX('Input Data'!$B:$B,A827)/2+IF(A827&lt;&gt;A828,100,0)</f>
        <v>2.6875</v>
      </c>
      <c r="D827" s="33">
        <f>INDEX('ZCB Curve - Payment Dates'!$D$2:$D$246,MATCH(B827,'ZCB Curve - Payment Dates'!$A$2:$A$246,0))</f>
        <v>0.91931844130238327</v>
      </c>
      <c r="E827" s="32">
        <f t="shared" si="12"/>
        <v>2.4706683110001548</v>
      </c>
    </row>
    <row r="828" spans="1:5" x14ac:dyDescent="0.25">
      <c r="A828" s="17">
        <v>192</v>
      </c>
      <c r="B828" s="31">
        <v>47164</v>
      </c>
      <c r="C828" s="32">
        <f>INDEX('Input Data'!$B:$B,A828)/2+IF(A828&lt;&gt;A829,100,0)</f>
        <v>2.6875</v>
      </c>
      <c r="D828" s="33">
        <f>INDEX('ZCB Curve - Payment Dates'!$D$2:$D$246,MATCH(B828,'ZCB Curve - Payment Dates'!$A$2:$A$246,0))</f>
        <v>0.89817430058086534</v>
      </c>
      <c r="E828" s="32">
        <f t="shared" si="12"/>
        <v>2.4138434328110754</v>
      </c>
    </row>
    <row r="829" spans="1:5" x14ac:dyDescent="0.25">
      <c r="A829" s="17">
        <v>192</v>
      </c>
      <c r="B829" s="31">
        <v>47345</v>
      </c>
      <c r="C829" s="32">
        <f>INDEX('Input Data'!$B:$B,A829)/2+IF(A829&lt;&gt;A830,100,0)</f>
        <v>2.6875</v>
      </c>
      <c r="D829" s="33">
        <f>INDEX('ZCB Curve - Payment Dates'!$D$2:$D$246,MATCH(B829,'ZCB Curve - Payment Dates'!$A$2:$A$246,0))</f>
        <v>0.87778421628860481</v>
      </c>
      <c r="E829" s="32">
        <f t="shared" si="12"/>
        <v>2.3590450812756254</v>
      </c>
    </row>
    <row r="830" spans="1:5" x14ac:dyDescent="0.25">
      <c r="A830" s="17">
        <v>192</v>
      </c>
      <c r="B830" s="31">
        <v>47529</v>
      </c>
      <c r="C830" s="32">
        <f>INDEX('Input Data'!$B:$B,A830)/2+IF(A830&lt;&gt;A831,100,0)</f>
        <v>2.6875</v>
      </c>
      <c r="D830" s="33">
        <f>INDEX('ZCB Curve - Payment Dates'!$D$2:$D$246,MATCH(B830,'ZCB Curve - Payment Dates'!$A$2:$A$246,0))</f>
        <v>0.85751015570959666</v>
      </c>
      <c r="E830" s="32">
        <f t="shared" si="12"/>
        <v>2.304558543469541</v>
      </c>
    </row>
    <row r="831" spans="1:5" x14ac:dyDescent="0.25">
      <c r="A831" s="17">
        <v>192</v>
      </c>
      <c r="B831" s="31">
        <v>47710</v>
      </c>
      <c r="C831" s="32">
        <f>INDEX('Input Data'!$B:$B,A831)/2+IF(A831&lt;&gt;A832,100,0)</f>
        <v>2.6875</v>
      </c>
      <c r="D831" s="33">
        <f>INDEX('ZCB Curve - Payment Dates'!$D$2:$D$246,MATCH(B831,'ZCB Curve - Payment Dates'!$A$2:$A$246,0))</f>
        <v>0.83802423748211174</v>
      </c>
      <c r="E831" s="32">
        <f t="shared" si="12"/>
        <v>2.2521901382331753</v>
      </c>
    </row>
    <row r="832" spans="1:5" x14ac:dyDescent="0.25">
      <c r="A832" s="17">
        <v>192</v>
      </c>
      <c r="B832" s="31">
        <v>47894</v>
      </c>
      <c r="C832" s="32">
        <f>INDEX('Input Data'!$B:$B,A832)/2+IF(A832&lt;&gt;A833,100,0)</f>
        <v>102.6875</v>
      </c>
      <c r="D832" s="33">
        <f>INDEX('ZCB Curve - Payment Dates'!$D$2:$D$246,MATCH(B832,'ZCB Curve - Payment Dates'!$A$2:$A$246,0))</f>
        <v>0.8186305474741673</v>
      </c>
      <c r="E832" s="32">
        <f t="shared" si="12"/>
        <v>84.063124343753557</v>
      </c>
    </row>
    <row r="833" spans="1:5" x14ac:dyDescent="0.25">
      <c r="A833" s="17">
        <v>193</v>
      </c>
      <c r="B833" s="31">
        <v>46446</v>
      </c>
      <c r="C833" s="32">
        <f>INDEX('Input Data'!$B:$B,A833)/2+IF(A833&lt;&gt;A834,100,0)</f>
        <v>1.75</v>
      </c>
      <c r="D833" s="33">
        <f>INDEX('ZCB Curve - Payment Dates'!$D$2:$D$246,MATCH(B833,'ZCB Curve - Payment Dates'!$A$2:$A$246,0))</f>
        <v>0.98098215746395478</v>
      </c>
      <c r="E833" s="32">
        <f t="shared" si="12"/>
        <v>1.7167187755619209</v>
      </c>
    </row>
    <row r="834" spans="1:5" x14ac:dyDescent="0.25">
      <c r="A834" s="17">
        <v>193</v>
      </c>
      <c r="B834" s="31">
        <v>46630</v>
      </c>
      <c r="C834" s="32">
        <f>INDEX('Input Data'!$B:$B,A834)/2+IF(A834&lt;&gt;A835,100,0)</f>
        <v>1.75</v>
      </c>
      <c r="D834" s="33">
        <f>INDEX('ZCB Curve - Payment Dates'!$D$2:$D$246,MATCH(B834,'ZCB Curve - Payment Dates'!$A$2:$A$246,0))</f>
        <v>0.96003246313192503</v>
      </c>
      <c r="E834" s="32">
        <f t="shared" ref="E834:E897" si="13">C834*D834</f>
        <v>1.6800568104808689</v>
      </c>
    </row>
    <row r="835" spans="1:5" x14ac:dyDescent="0.25">
      <c r="A835" s="17">
        <v>193</v>
      </c>
      <c r="B835" s="31">
        <v>46812</v>
      </c>
      <c r="C835" s="32">
        <f>INDEX('Input Data'!$B:$B,A835)/2+IF(A835&lt;&gt;A836,100,0)</f>
        <v>1.75</v>
      </c>
      <c r="D835" s="33">
        <f>INDEX('ZCB Curve - Payment Dates'!$D$2:$D$246,MATCH(B835,'ZCB Curve - Payment Dates'!$A$2:$A$246,0))</f>
        <v>0.938856338180596</v>
      </c>
      <c r="E835" s="32">
        <f t="shared" si="13"/>
        <v>1.642998591816043</v>
      </c>
    </row>
    <row r="836" spans="1:5" x14ac:dyDescent="0.25">
      <c r="A836" s="17">
        <v>193</v>
      </c>
      <c r="B836" s="31">
        <v>46996</v>
      </c>
      <c r="C836" s="32">
        <f>INDEX('Input Data'!$B:$B,A836)/2+IF(A836&lt;&gt;A837,100,0)</f>
        <v>1.75</v>
      </c>
      <c r="D836" s="33">
        <f>INDEX('ZCB Curve - Payment Dates'!$D$2:$D$246,MATCH(B836,'ZCB Curve - Payment Dates'!$A$2:$A$246,0))</f>
        <v>0.91746393725908559</v>
      </c>
      <c r="E836" s="32">
        <f t="shared" si="13"/>
        <v>1.6055618902033997</v>
      </c>
    </row>
    <row r="837" spans="1:5" x14ac:dyDescent="0.25">
      <c r="A837" s="17">
        <v>193</v>
      </c>
      <c r="B837" s="31">
        <v>47177</v>
      </c>
      <c r="C837" s="32">
        <f>INDEX('Input Data'!$B:$B,A837)/2+IF(A837&lt;&gt;A838,100,0)</f>
        <v>1.75</v>
      </c>
      <c r="D837" s="33">
        <f>INDEX('ZCB Curve - Payment Dates'!$D$2:$D$246,MATCH(B837,'ZCB Curve - Payment Dates'!$A$2:$A$246,0))</f>
        <v>0.89669591867999909</v>
      </c>
      <c r="E837" s="32">
        <f t="shared" si="13"/>
        <v>1.5692178576899984</v>
      </c>
    </row>
    <row r="838" spans="1:5" x14ac:dyDescent="0.25">
      <c r="A838" s="17">
        <v>193</v>
      </c>
      <c r="B838" s="31">
        <v>47361</v>
      </c>
      <c r="C838" s="32">
        <f>INDEX('Input Data'!$B:$B,A838)/2+IF(A838&lt;&gt;A839,100,0)</f>
        <v>1.75</v>
      </c>
      <c r="D838" s="33">
        <f>INDEX('ZCB Curve - Payment Dates'!$D$2:$D$246,MATCH(B838,'ZCB Curve - Payment Dates'!$A$2:$A$246,0))</f>
        <v>0.87600023126237014</v>
      </c>
      <c r="E838" s="32">
        <f t="shared" si="13"/>
        <v>1.5330004047091477</v>
      </c>
    </row>
    <row r="839" spans="1:5" x14ac:dyDescent="0.25">
      <c r="A839" s="17">
        <v>193</v>
      </c>
      <c r="B839" s="31">
        <v>47542</v>
      </c>
      <c r="C839" s="32">
        <f>INDEX('Input Data'!$B:$B,A839)/2+IF(A839&lt;&gt;A840,100,0)</f>
        <v>1.75</v>
      </c>
      <c r="D839" s="33">
        <f>INDEX('ZCB Curve - Payment Dates'!$D$2:$D$246,MATCH(B839,'ZCB Curve - Payment Dates'!$A$2:$A$246,0))</f>
        <v>0.85609640433764933</v>
      </c>
      <c r="E839" s="32">
        <f t="shared" si="13"/>
        <v>1.4981687075908863</v>
      </c>
    </row>
    <row r="840" spans="1:5" x14ac:dyDescent="0.25">
      <c r="A840" s="17">
        <v>193</v>
      </c>
      <c r="B840" s="31">
        <v>47726</v>
      </c>
      <c r="C840" s="32">
        <f>INDEX('Input Data'!$B:$B,A840)/2+IF(A840&lt;&gt;A841,100,0)</f>
        <v>1.75</v>
      </c>
      <c r="D840" s="33">
        <f>INDEX('ZCB Curve - Payment Dates'!$D$2:$D$246,MATCH(B840,'ZCB Curve - Payment Dates'!$A$2:$A$246,0))</f>
        <v>0.8363193958894809</v>
      </c>
      <c r="E840" s="32">
        <f t="shared" si="13"/>
        <v>1.4635589428065916</v>
      </c>
    </row>
    <row r="841" spans="1:5" x14ac:dyDescent="0.25">
      <c r="A841" s="17">
        <v>193</v>
      </c>
      <c r="B841" s="31">
        <v>47907</v>
      </c>
      <c r="C841" s="32">
        <f>INDEX('Input Data'!$B:$B,A841)/2+IF(A841&lt;&gt;A842,100,0)</f>
        <v>101.75</v>
      </c>
      <c r="D841" s="33">
        <f>INDEX('ZCB Curve - Payment Dates'!$D$2:$D$246,MATCH(B841,'ZCB Curve - Payment Dates'!$A$2:$A$246,0))</f>
        <v>0.81727602093980778</v>
      </c>
      <c r="E841" s="32">
        <f t="shared" si="13"/>
        <v>83.157835130625443</v>
      </c>
    </row>
    <row r="842" spans="1:5" x14ac:dyDescent="0.25">
      <c r="A842" s="17">
        <v>194</v>
      </c>
      <c r="B842" s="31">
        <v>46446</v>
      </c>
      <c r="C842" s="32">
        <f>INDEX('Input Data'!$B:$B,A842)/2+IF(A842&lt;&gt;A843,100,0)</f>
        <v>2.125</v>
      </c>
      <c r="D842" s="33">
        <f>INDEX('ZCB Curve - Payment Dates'!$D$2:$D$246,MATCH(B842,'ZCB Curve - Payment Dates'!$A$2:$A$246,0))</f>
        <v>0.98098215746395478</v>
      </c>
      <c r="E842" s="32">
        <f t="shared" si="13"/>
        <v>2.084587084610904</v>
      </c>
    </row>
    <row r="843" spans="1:5" x14ac:dyDescent="0.25">
      <c r="A843" s="17">
        <v>194</v>
      </c>
      <c r="B843" s="31">
        <v>46630</v>
      </c>
      <c r="C843" s="32">
        <f>INDEX('Input Data'!$B:$B,A843)/2+IF(A843&lt;&gt;A844,100,0)</f>
        <v>2.125</v>
      </c>
      <c r="D843" s="33">
        <f>INDEX('ZCB Curve - Payment Dates'!$D$2:$D$246,MATCH(B843,'ZCB Curve - Payment Dates'!$A$2:$A$246,0))</f>
        <v>0.96003246313192503</v>
      </c>
      <c r="E843" s="32">
        <f t="shared" si="13"/>
        <v>2.0400689841553405</v>
      </c>
    </row>
    <row r="844" spans="1:5" x14ac:dyDescent="0.25">
      <c r="A844" s="17">
        <v>194</v>
      </c>
      <c r="B844" s="31">
        <v>46812</v>
      </c>
      <c r="C844" s="32">
        <f>INDEX('Input Data'!$B:$B,A844)/2+IF(A844&lt;&gt;A845,100,0)</f>
        <v>2.125</v>
      </c>
      <c r="D844" s="33">
        <f>INDEX('ZCB Curve - Payment Dates'!$D$2:$D$246,MATCH(B844,'ZCB Curve - Payment Dates'!$A$2:$A$246,0))</f>
        <v>0.938856338180596</v>
      </c>
      <c r="E844" s="32">
        <f t="shared" si="13"/>
        <v>1.9950697186337665</v>
      </c>
    </row>
    <row r="845" spans="1:5" x14ac:dyDescent="0.25">
      <c r="A845" s="17">
        <v>194</v>
      </c>
      <c r="B845" s="31">
        <v>46996</v>
      </c>
      <c r="C845" s="32">
        <f>INDEX('Input Data'!$B:$B,A845)/2+IF(A845&lt;&gt;A846,100,0)</f>
        <v>2.125</v>
      </c>
      <c r="D845" s="33">
        <f>INDEX('ZCB Curve - Payment Dates'!$D$2:$D$246,MATCH(B845,'ZCB Curve - Payment Dates'!$A$2:$A$246,0))</f>
        <v>0.91746393725908559</v>
      </c>
      <c r="E845" s="32">
        <f t="shared" si="13"/>
        <v>1.9496108666755569</v>
      </c>
    </row>
    <row r="846" spans="1:5" x14ac:dyDescent="0.25">
      <c r="A846" s="17">
        <v>194</v>
      </c>
      <c r="B846" s="31">
        <v>47177</v>
      </c>
      <c r="C846" s="32">
        <f>INDEX('Input Data'!$B:$B,A846)/2+IF(A846&lt;&gt;A847,100,0)</f>
        <v>2.125</v>
      </c>
      <c r="D846" s="33">
        <f>INDEX('ZCB Curve - Payment Dates'!$D$2:$D$246,MATCH(B846,'ZCB Curve - Payment Dates'!$A$2:$A$246,0))</f>
        <v>0.89669591867999909</v>
      </c>
      <c r="E846" s="32">
        <f t="shared" si="13"/>
        <v>1.9054788271949981</v>
      </c>
    </row>
    <row r="847" spans="1:5" x14ac:dyDescent="0.25">
      <c r="A847" s="17">
        <v>194</v>
      </c>
      <c r="B847" s="31">
        <v>47361</v>
      </c>
      <c r="C847" s="32">
        <f>INDEX('Input Data'!$B:$B,A847)/2+IF(A847&lt;&gt;A848,100,0)</f>
        <v>2.125</v>
      </c>
      <c r="D847" s="33">
        <f>INDEX('ZCB Curve - Payment Dates'!$D$2:$D$246,MATCH(B847,'ZCB Curve - Payment Dates'!$A$2:$A$246,0))</f>
        <v>0.87600023126237014</v>
      </c>
      <c r="E847" s="32">
        <f t="shared" si="13"/>
        <v>1.8615004914325366</v>
      </c>
    </row>
    <row r="848" spans="1:5" x14ac:dyDescent="0.25">
      <c r="A848" s="17">
        <v>194</v>
      </c>
      <c r="B848" s="31">
        <v>47542</v>
      </c>
      <c r="C848" s="32">
        <f>INDEX('Input Data'!$B:$B,A848)/2+IF(A848&lt;&gt;A849,100,0)</f>
        <v>2.125</v>
      </c>
      <c r="D848" s="33">
        <f>INDEX('ZCB Curve - Payment Dates'!$D$2:$D$246,MATCH(B848,'ZCB Curve - Payment Dates'!$A$2:$A$246,0))</f>
        <v>0.85609640433764933</v>
      </c>
      <c r="E848" s="32">
        <f t="shared" si="13"/>
        <v>1.8192048592175047</v>
      </c>
    </row>
    <row r="849" spans="1:5" x14ac:dyDescent="0.25">
      <c r="A849" s="17">
        <v>194</v>
      </c>
      <c r="B849" s="31">
        <v>47726</v>
      </c>
      <c r="C849" s="32">
        <f>INDEX('Input Data'!$B:$B,A849)/2+IF(A849&lt;&gt;A850,100,0)</f>
        <v>2.125</v>
      </c>
      <c r="D849" s="33">
        <f>INDEX('ZCB Curve - Payment Dates'!$D$2:$D$246,MATCH(B849,'ZCB Curve - Payment Dates'!$A$2:$A$246,0))</f>
        <v>0.8363193958894809</v>
      </c>
      <c r="E849" s="32">
        <f t="shared" si="13"/>
        <v>1.7771787162651469</v>
      </c>
    </row>
    <row r="850" spans="1:5" x14ac:dyDescent="0.25">
      <c r="A850" s="17">
        <v>194</v>
      </c>
      <c r="B850" s="31">
        <v>47907</v>
      </c>
      <c r="C850" s="32">
        <f>INDEX('Input Data'!$B:$B,A850)/2+IF(A850&lt;&gt;A851,100,0)</f>
        <v>102.125</v>
      </c>
      <c r="D850" s="33">
        <f>INDEX('ZCB Curve - Payment Dates'!$D$2:$D$246,MATCH(B850,'ZCB Curve - Payment Dates'!$A$2:$A$246,0))</f>
        <v>0.81727602093980778</v>
      </c>
      <c r="E850" s="32">
        <f t="shared" si="13"/>
        <v>83.464313638477876</v>
      </c>
    </row>
    <row r="851" spans="1:5" x14ac:dyDescent="0.25">
      <c r="A851" s="17">
        <v>195</v>
      </c>
      <c r="B851" s="31">
        <v>46295</v>
      </c>
      <c r="C851" s="32">
        <f>INDEX('Input Data'!$B:$B,A851)/2+IF(A851&lt;&gt;A852,100,0)</f>
        <v>1.9375</v>
      </c>
      <c r="D851" s="33">
        <f>INDEX('ZCB Curve - Payment Dates'!$D$2:$D$246,MATCH(B851,'ZCB Curve - Payment Dates'!$A$2:$A$246,0))</f>
        <v>0.9973127951237063</v>
      </c>
      <c r="E851" s="32">
        <f t="shared" si="13"/>
        <v>1.9322935405521811</v>
      </c>
    </row>
    <row r="852" spans="1:5" x14ac:dyDescent="0.25">
      <c r="A852" s="17">
        <v>195</v>
      </c>
      <c r="B852" s="31">
        <v>46477</v>
      </c>
      <c r="C852" s="32">
        <f>INDEX('Input Data'!$B:$B,A852)/2+IF(A852&lt;&gt;A853,100,0)</f>
        <v>1.9375</v>
      </c>
      <c r="D852" s="33">
        <f>INDEX('ZCB Curve - Payment Dates'!$D$2:$D$246,MATCH(B852,'ZCB Curve - Payment Dates'!$A$2:$A$246,0))</f>
        <v>0.97750981974188245</v>
      </c>
      <c r="E852" s="32">
        <f t="shared" si="13"/>
        <v>1.8939252757498972</v>
      </c>
    </row>
    <row r="853" spans="1:5" x14ac:dyDescent="0.25">
      <c r="A853" s="17">
        <v>195</v>
      </c>
      <c r="B853" s="31">
        <v>46660</v>
      </c>
      <c r="C853" s="32">
        <f>INDEX('Input Data'!$B:$B,A853)/2+IF(A853&lt;&gt;A854,100,0)</f>
        <v>1.9375</v>
      </c>
      <c r="D853" s="33">
        <f>INDEX('ZCB Curve - Payment Dates'!$D$2:$D$246,MATCH(B853,'ZCB Curve - Payment Dates'!$A$2:$A$246,0))</f>
        <v>0.95655761994841249</v>
      </c>
      <c r="E853" s="32">
        <f t="shared" si="13"/>
        <v>1.8533303886500492</v>
      </c>
    </row>
    <row r="854" spans="1:5" x14ac:dyDescent="0.25">
      <c r="A854" s="17">
        <v>195</v>
      </c>
      <c r="B854" s="31">
        <v>46843</v>
      </c>
      <c r="C854" s="32">
        <f>INDEX('Input Data'!$B:$B,A854)/2+IF(A854&lt;&gt;A855,100,0)</f>
        <v>1.9375</v>
      </c>
      <c r="D854" s="33">
        <f>INDEX('ZCB Curve - Payment Dates'!$D$2:$D$246,MATCH(B854,'ZCB Curve - Payment Dates'!$A$2:$A$246,0))</f>
        <v>0.93524308702159842</v>
      </c>
      <c r="E854" s="32">
        <f t="shared" si="13"/>
        <v>1.812033481104347</v>
      </c>
    </row>
    <row r="855" spans="1:5" x14ac:dyDescent="0.25">
      <c r="A855" s="17">
        <v>195</v>
      </c>
      <c r="B855" s="31">
        <v>47026</v>
      </c>
      <c r="C855" s="32">
        <f>INDEX('Input Data'!$B:$B,A855)/2+IF(A855&lt;&gt;A856,100,0)</f>
        <v>1.9375</v>
      </c>
      <c r="D855" s="33">
        <f>INDEX('ZCB Curve - Payment Dates'!$D$2:$D$246,MATCH(B855,'ZCB Curve - Payment Dates'!$A$2:$A$246,0))</f>
        <v>0.91399761223542642</v>
      </c>
      <c r="E855" s="32">
        <f t="shared" si="13"/>
        <v>1.7708703737061386</v>
      </c>
    </row>
    <row r="856" spans="1:5" x14ac:dyDescent="0.25">
      <c r="A856" s="17">
        <v>195</v>
      </c>
      <c r="B856" s="31">
        <v>47208</v>
      </c>
      <c r="C856" s="32">
        <f>INDEX('Input Data'!$B:$B,A856)/2+IF(A856&lt;&gt;A857,100,0)</f>
        <v>1.9375</v>
      </c>
      <c r="D856" s="33">
        <f>INDEX('ZCB Curve - Payment Dates'!$D$2:$D$246,MATCH(B856,'ZCB Curve - Payment Dates'!$A$2:$A$246,0))</f>
        <v>0.89317885092878757</v>
      </c>
      <c r="E856" s="32">
        <f t="shared" si="13"/>
        <v>1.7305340236745259</v>
      </c>
    </row>
    <row r="857" spans="1:5" x14ac:dyDescent="0.25">
      <c r="A857" s="17">
        <v>195</v>
      </c>
      <c r="B857" s="31">
        <v>47391</v>
      </c>
      <c r="C857" s="32">
        <f>INDEX('Input Data'!$B:$B,A857)/2+IF(A857&lt;&gt;A858,100,0)</f>
        <v>1.9375</v>
      </c>
      <c r="D857" s="33">
        <f>INDEX('ZCB Curve - Payment Dates'!$D$2:$D$246,MATCH(B857,'ZCB Curve - Payment Dates'!$A$2:$A$246,0))</f>
        <v>0.87266944281946834</v>
      </c>
      <c r="E857" s="32">
        <f t="shared" si="13"/>
        <v>1.6907970454627199</v>
      </c>
    </row>
    <row r="858" spans="1:5" x14ac:dyDescent="0.25">
      <c r="A858" s="17">
        <v>195</v>
      </c>
      <c r="B858" s="31">
        <v>47573</v>
      </c>
      <c r="C858" s="32">
        <f>INDEX('Input Data'!$B:$B,A858)/2+IF(A858&lt;&gt;A859,100,0)</f>
        <v>1.9375</v>
      </c>
      <c r="D858" s="33">
        <f>INDEX('ZCB Curve - Payment Dates'!$D$2:$D$246,MATCH(B858,'ZCB Curve - Payment Dates'!$A$2:$A$246,0))</f>
        <v>0.85273413261763187</v>
      </c>
      <c r="E858" s="32">
        <f t="shared" si="13"/>
        <v>1.6521723819466618</v>
      </c>
    </row>
    <row r="859" spans="1:5" x14ac:dyDescent="0.25">
      <c r="A859" s="17">
        <v>195</v>
      </c>
      <c r="B859" s="31">
        <v>47756</v>
      </c>
      <c r="C859" s="32">
        <f>INDEX('Input Data'!$B:$B,A859)/2+IF(A859&lt;&gt;A860,100,0)</f>
        <v>1.9375</v>
      </c>
      <c r="D859" s="33">
        <f>INDEX('ZCB Curve - Payment Dates'!$D$2:$D$246,MATCH(B859,'ZCB Curve - Payment Dates'!$A$2:$A$246,0))</f>
        <v>0.83313578966851842</v>
      </c>
      <c r="E859" s="32">
        <f t="shared" si="13"/>
        <v>1.6142005924827545</v>
      </c>
    </row>
    <row r="860" spans="1:5" x14ac:dyDescent="0.25">
      <c r="A860" s="17">
        <v>195</v>
      </c>
      <c r="B860" s="31">
        <v>47938</v>
      </c>
      <c r="C860" s="32">
        <f>INDEX('Input Data'!$B:$B,A860)/2+IF(A860&lt;&gt;A861,100,0)</f>
        <v>101.9375</v>
      </c>
      <c r="D860" s="33">
        <f>INDEX('ZCB Curve - Payment Dates'!$D$2:$D$246,MATCH(B860,'ZCB Curve - Payment Dates'!$A$2:$A$246,0))</f>
        <v>0.81405312340218006</v>
      </c>
      <c r="E860" s="32">
        <f t="shared" si="13"/>
        <v>82.982540266809735</v>
      </c>
    </row>
    <row r="861" spans="1:5" x14ac:dyDescent="0.25">
      <c r="A861" s="17">
        <v>196</v>
      </c>
      <c r="B861" s="31">
        <v>46295</v>
      </c>
      <c r="C861" s="32">
        <f>INDEX('Input Data'!$B:$B,A861)/2+IF(A861&lt;&gt;A862,100,0)</f>
        <v>2.0625</v>
      </c>
      <c r="D861" s="33">
        <f>INDEX('ZCB Curve - Payment Dates'!$D$2:$D$246,MATCH(B861,'ZCB Curve - Payment Dates'!$A$2:$A$246,0))</f>
        <v>0.9973127951237063</v>
      </c>
      <c r="E861" s="32">
        <f t="shared" si="13"/>
        <v>2.0569576399426444</v>
      </c>
    </row>
    <row r="862" spans="1:5" x14ac:dyDescent="0.25">
      <c r="A862" s="17">
        <v>196</v>
      </c>
      <c r="B862" s="31">
        <v>46477</v>
      </c>
      <c r="C862" s="32">
        <f>INDEX('Input Data'!$B:$B,A862)/2+IF(A862&lt;&gt;A863,100,0)</f>
        <v>2.0625</v>
      </c>
      <c r="D862" s="33">
        <f>INDEX('ZCB Curve - Payment Dates'!$D$2:$D$246,MATCH(B862,'ZCB Curve - Payment Dates'!$A$2:$A$246,0))</f>
        <v>0.97750981974188245</v>
      </c>
      <c r="E862" s="32">
        <f t="shared" si="13"/>
        <v>2.0161140032176323</v>
      </c>
    </row>
    <row r="863" spans="1:5" x14ac:dyDescent="0.25">
      <c r="A863" s="17">
        <v>196</v>
      </c>
      <c r="B863" s="31">
        <v>46660</v>
      </c>
      <c r="C863" s="32">
        <f>INDEX('Input Data'!$B:$B,A863)/2+IF(A863&lt;&gt;A864,100,0)</f>
        <v>2.0625</v>
      </c>
      <c r="D863" s="33">
        <f>INDEX('ZCB Curve - Payment Dates'!$D$2:$D$246,MATCH(B863,'ZCB Curve - Payment Dates'!$A$2:$A$246,0))</f>
        <v>0.95655761994841249</v>
      </c>
      <c r="E863" s="32">
        <f t="shared" si="13"/>
        <v>1.9729000911436008</v>
      </c>
    </row>
    <row r="864" spans="1:5" x14ac:dyDescent="0.25">
      <c r="A864" s="17">
        <v>196</v>
      </c>
      <c r="B864" s="31">
        <v>46843</v>
      </c>
      <c r="C864" s="32">
        <f>INDEX('Input Data'!$B:$B,A864)/2+IF(A864&lt;&gt;A865,100,0)</f>
        <v>2.0625</v>
      </c>
      <c r="D864" s="33">
        <f>INDEX('ZCB Curve - Payment Dates'!$D$2:$D$246,MATCH(B864,'ZCB Curve - Payment Dates'!$A$2:$A$246,0))</f>
        <v>0.93524308702159842</v>
      </c>
      <c r="E864" s="32">
        <f t="shared" si="13"/>
        <v>1.9289388669820466</v>
      </c>
    </row>
    <row r="865" spans="1:5" x14ac:dyDescent="0.25">
      <c r="A865" s="17">
        <v>196</v>
      </c>
      <c r="B865" s="31">
        <v>47026</v>
      </c>
      <c r="C865" s="32">
        <f>INDEX('Input Data'!$B:$B,A865)/2+IF(A865&lt;&gt;A866,100,0)</f>
        <v>2.0625</v>
      </c>
      <c r="D865" s="33">
        <f>INDEX('ZCB Curve - Payment Dates'!$D$2:$D$246,MATCH(B865,'ZCB Curve - Payment Dates'!$A$2:$A$246,0))</f>
        <v>0.91399761223542642</v>
      </c>
      <c r="E865" s="32">
        <f t="shared" si="13"/>
        <v>1.885120075235567</v>
      </c>
    </row>
    <row r="866" spans="1:5" x14ac:dyDescent="0.25">
      <c r="A866" s="17">
        <v>196</v>
      </c>
      <c r="B866" s="31">
        <v>47208</v>
      </c>
      <c r="C866" s="32">
        <f>INDEX('Input Data'!$B:$B,A866)/2+IF(A866&lt;&gt;A867,100,0)</f>
        <v>2.0625</v>
      </c>
      <c r="D866" s="33">
        <f>INDEX('ZCB Curve - Payment Dates'!$D$2:$D$246,MATCH(B866,'ZCB Curve - Payment Dates'!$A$2:$A$246,0))</f>
        <v>0.89317885092878757</v>
      </c>
      <c r="E866" s="32">
        <f t="shared" si="13"/>
        <v>1.8421813800406244</v>
      </c>
    </row>
    <row r="867" spans="1:5" x14ac:dyDescent="0.25">
      <c r="A867" s="17">
        <v>196</v>
      </c>
      <c r="B867" s="31">
        <v>47391</v>
      </c>
      <c r="C867" s="32">
        <f>INDEX('Input Data'!$B:$B,A867)/2+IF(A867&lt;&gt;A868,100,0)</f>
        <v>2.0625</v>
      </c>
      <c r="D867" s="33">
        <f>INDEX('ZCB Curve - Payment Dates'!$D$2:$D$246,MATCH(B867,'ZCB Curve - Payment Dates'!$A$2:$A$246,0))</f>
        <v>0.87266944281946834</v>
      </c>
      <c r="E867" s="32">
        <f t="shared" si="13"/>
        <v>1.7998807258151535</v>
      </c>
    </row>
    <row r="868" spans="1:5" x14ac:dyDescent="0.25">
      <c r="A868" s="17">
        <v>196</v>
      </c>
      <c r="B868" s="31">
        <v>47573</v>
      </c>
      <c r="C868" s="32">
        <f>INDEX('Input Data'!$B:$B,A868)/2+IF(A868&lt;&gt;A869,100,0)</f>
        <v>2.0625</v>
      </c>
      <c r="D868" s="33">
        <f>INDEX('ZCB Curve - Payment Dates'!$D$2:$D$246,MATCH(B868,'ZCB Curve - Payment Dates'!$A$2:$A$246,0))</f>
        <v>0.85273413261763187</v>
      </c>
      <c r="E868" s="32">
        <f t="shared" si="13"/>
        <v>1.7587641485238656</v>
      </c>
    </row>
    <row r="869" spans="1:5" x14ac:dyDescent="0.25">
      <c r="A869" s="17">
        <v>196</v>
      </c>
      <c r="B869" s="31">
        <v>47756</v>
      </c>
      <c r="C869" s="32">
        <f>INDEX('Input Data'!$B:$B,A869)/2+IF(A869&lt;&gt;A870,100,0)</f>
        <v>2.0625</v>
      </c>
      <c r="D869" s="33">
        <f>INDEX('ZCB Curve - Payment Dates'!$D$2:$D$246,MATCH(B869,'ZCB Curve - Payment Dates'!$A$2:$A$246,0))</f>
        <v>0.83313578966851842</v>
      </c>
      <c r="E869" s="32">
        <f t="shared" si="13"/>
        <v>1.7183425661913192</v>
      </c>
    </row>
    <row r="870" spans="1:5" x14ac:dyDescent="0.25">
      <c r="A870" s="17">
        <v>196</v>
      </c>
      <c r="B870" s="31">
        <v>47938</v>
      </c>
      <c r="C870" s="32">
        <f>INDEX('Input Data'!$B:$B,A870)/2+IF(A870&lt;&gt;A871,100,0)</f>
        <v>102.0625</v>
      </c>
      <c r="D870" s="33">
        <f>INDEX('ZCB Curve - Payment Dates'!$D$2:$D$246,MATCH(B870,'ZCB Curve - Payment Dates'!$A$2:$A$246,0))</f>
        <v>0.81405312340218006</v>
      </c>
      <c r="E870" s="32">
        <f t="shared" si="13"/>
        <v>83.084296907235</v>
      </c>
    </row>
    <row r="871" spans="1:5" x14ac:dyDescent="0.25">
      <c r="A871" s="17">
        <v>197</v>
      </c>
      <c r="B871" s="31">
        <v>46326</v>
      </c>
      <c r="C871" s="32">
        <f>INDEX('Input Data'!$B:$B,A871)/2+IF(A871&lt;&gt;A872,100,0)</f>
        <v>1.9375</v>
      </c>
      <c r="D871" s="33">
        <f>INDEX('ZCB Curve - Payment Dates'!$D$2:$D$246,MATCH(B871,'ZCB Curve - Payment Dates'!$A$2:$A$246,0))</f>
        <v>0.99405055111674689</v>
      </c>
      <c r="E871" s="32">
        <f t="shared" si="13"/>
        <v>1.9259729427886971</v>
      </c>
    </row>
    <row r="872" spans="1:5" x14ac:dyDescent="0.25">
      <c r="A872" s="17">
        <v>197</v>
      </c>
      <c r="B872" s="31">
        <v>46507</v>
      </c>
      <c r="C872" s="32">
        <f>INDEX('Input Data'!$B:$B,A872)/2+IF(A872&lt;&gt;A873,100,0)</f>
        <v>1.9375</v>
      </c>
      <c r="D872" s="33">
        <f>INDEX('ZCB Curve - Payment Dates'!$D$2:$D$246,MATCH(B872,'ZCB Curve - Payment Dates'!$A$2:$A$246,0))</f>
        <v>0.97412390690574091</v>
      </c>
      <c r="E872" s="32">
        <f t="shared" si="13"/>
        <v>1.8873650696298729</v>
      </c>
    </row>
    <row r="873" spans="1:5" x14ac:dyDescent="0.25">
      <c r="A873" s="17">
        <v>197</v>
      </c>
      <c r="B873" s="31">
        <v>46691</v>
      </c>
      <c r="C873" s="32">
        <f>INDEX('Input Data'!$B:$B,A873)/2+IF(A873&lt;&gt;A874,100,0)</f>
        <v>1.9375</v>
      </c>
      <c r="D873" s="33">
        <f>INDEX('ZCB Curve - Payment Dates'!$D$2:$D$246,MATCH(B873,'ZCB Curve - Payment Dates'!$A$2:$A$246,0))</f>
        <v>0.95295491595466364</v>
      </c>
      <c r="E873" s="32">
        <f t="shared" si="13"/>
        <v>1.8463501496621608</v>
      </c>
    </row>
    <row r="874" spans="1:5" x14ac:dyDescent="0.25">
      <c r="A874" s="17">
        <v>197</v>
      </c>
      <c r="B874" s="31">
        <v>46873</v>
      </c>
      <c r="C874" s="32">
        <f>INDEX('Input Data'!$B:$B,A874)/2+IF(A874&lt;&gt;A875,100,0)</f>
        <v>1.9375</v>
      </c>
      <c r="D874" s="33">
        <f>INDEX('ZCB Curve - Payment Dates'!$D$2:$D$246,MATCH(B874,'ZCB Curve - Payment Dates'!$A$2:$A$246,0))</f>
        <v>0.93174702042500246</v>
      </c>
      <c r="E874" s="32">
        <f t="shared" si="13"/>
        <v>1.8052598520734422</v>
      </c>
    </row>
    <row r="875" spans="1:5" x14ac:dyDescent="0.25">
      <c r="A875" s="17">
        <v>197</v>
      </c>
      <c r="B875" s="31">
        <v>47057</v>
      </c>
      <c r="C875" s="32">
        <f>INDEX('Input Data'!$B:$B,A875)/2+IF(A875&lt;&gt;A876,100,0)</f>
        <v>1.9375</v>
      </c>
      <c r="D875" s="33">
        <f>INDEX('ZCB Curve - Payment Dates'!$D$2:$D$246,MATCH(B875,'ZCB Curve - Payment Dates'!$A$2:$A$246,0))</f>
        <v>0.91042649241905782</v>
      </c>
      <c r="E875" s="32">
        <f t="shared" si="13"/>
        <v>1.7639513290619244</v>
      </c>
    </row>
    <row r="876" spans="1:5" x14ac:dyDescent="0.25">
      <c r="A876" s="17">
        <v>197</v>
      </c>
      <c r="B876" s="31">
        <v>47238</v>
      </c>
      <c r="C876" s="32">
        <f>INDEX('Input Data'!$B:$B,A876)/2+IF(A876&lt;&gt;A877,100,0)</f>
        <v>1.9375</v>
      </c>
      <c r="D876" s="33">
        <f>INDEX('ZCB Curve - Payment Dates'!$D$2:$D$246,MATCH(B876,'ZCB Curve - Payment Dates'!$A$2:$A$246,0))</f>
        <v>0.88978547878922043</v>
      </c>
      <c r="E876" s="32">
        <f t="shared" si="13"/>
        <v>1.7239593651541145</v>
      </c>
    </row>
    <row r="877" spans="1:5" x14ac:dyDescent="0.25">
      <c r="A877" s="17">
        <v>197</v>
      </c>
      <c r="B877" s="31">
        <v>47422</v>
      </c>
      <c r="C877" s="32">
        <f>INDEX('Input Data'!$B:$B,A877)/2+IF(A877&lt;&gt;A878,100,0)</f>
        <v>1.9375</v>
      </c>
      <c r="D877" s="33">
        <f>INDEX('ZCB Curve - Payment Dates'!$D$2:$D$246,MATCH(B877,'ZCB Curve - Payment Dates'!$A$2:$A$246,0))</f>
        <v>0.86924243542459101</v>
      </c>
      <c r="E877" s="32">
        <f t="shared" si="13"/>
        <v>1.684157218635145</v>
      </c>
    </row>
    <row r="878" spans="1:5" x14ac:dyDescent="0.25">
      <c r="A878" s="17">
        <v>197</v>
      </c>
      <c r="B878" s="31">
        <v>47603</v>
      </c>
      <c r="C878" s="32">
        <f>INDEX('Input Data'!$B:$B,A878)/2+IF(A878&lt;&gt;A879,100,0)</f>
        <v>1.9375</v>
      </c>
      <c r="D878" s="33">
        <f>INDEX('ZCB Curve - Payment Dates'!$D$2:$D$246,MATCH(B878,'ZCB Curve - Payment Dates'!$A$2:$A$246,0))</f>
        <v>0.84949114767876688</v>
      </c>
      <c r="E878" s="32">
        <f t="shared" si="13"/>
        <v>1.6458890986276109</v>
      </c>
    </row>
    <row r="879" spans="1:5" x14ac:dyDescent="0.25">
      <c r="A879" s="17">
        <v>197</v>
      </c>
      <c r="B879" s="31">
        <v>47787</v>
      </c>
      <c r="C879" s="32">
        <f>INDEX('Input Data'!$B:$B,A879)/2+IF(A879&lt;&gt;A880,100,0)</f>
        <v>1.9375</v>
      </c>
      <c r="D879" s="33">
        <f>INDEX('ZCB Curve - Payment Dates'!$D$2:$D$246,MATCH(B879,'ZCB Curve - Payment Dates'!$A$2:$A$246,0))</f>
        <v>0.82985919250556395</v>
      </c>
      <c r="E879" s="32">
        <f t="shared" si="13"/>
        <v>1.6078521854795302</v>
      </c>
    </row>
    <row r="880" spans="1:5" x14ac:dyDescent="0.25">
      <c r="A880" s="17">
        <v>197</v>
      </c>
      <c r="B880" s="31">
        <v>47968</v>
      </c>
      <c r="C880" s="32">
        <f>INDEX('Input Data'!$B:$B,A880)/2+IF(A880&lt;&gt;A881,100,0)</f>
        <v>101.9375</v>
      </c>
      <c r="D880" s="33">
        <f>INDEX('ZCB Curve - Payment Dates'!$D$2:$D$246,MATCH(B880,'ZCB Curve - Payment Dates'!$A$2:$A$246,0))</f>
        <v>0.81094247698820199</v>
      </c>
      <c r="E880" s="32">
        <f t="shared" si="13"/>
        <v>82.66544874798484</v>
      </c>
    </row>
    <row r="881" spans="1:5" x14ac:dyDescent="0.25">
      <c r="A881" s="17">
        <v>198</v>
      </c>
      <c r="B881" s="31">
        <v>46326</v>
      </c>
      <c r="C881" s="32">
        <f>INDEX('Input Data'!$B:$B,A881)/2+IF(A881&lt;&gt;A882,100,0)</f>
        <v>2.3125</v>
      </c>
      <c r="D881" s="33">
        <f>INDEX('ZCB Curve - Payment Dates'!$D$2:$D$246,MATCH(B881,'ZCB Curve - Payment Dates'!$A$2:$A$246,0))</f>
        <v>0.99405055111674689</v>
      </c>
      <c r="E881" s="32">
        <f t="shared" si="13"/>
        <v>2.2987418994574771</v>
      </c>
    </row>
    <row r="882" spans="1:5" x14ac:dyDescent="0.25">
      <c r="A882" s="17">
        <v>198</v>
      </c>
      <c r="B882" s="31">
        <v>46507</v>
      </c>
      <c r="C882" s="32">
        <f>INDEX('Input Data'!$B:$B,A882)/2+IF(A882&lt;&gt;A883,100,0)</f>
        <v>2.3125</v>
      </c>
      <c r="D882" s="33">
        <f>INDEX('ZCB Curve - Payment Dates'!$D$2:$D$246,MATCH(B882,'ZCB Curve - Payment Dates'!$A$2:$A$246,0))</f>
        <v>0.97412390690574091</v>
      </c>
      <c r="E882" s="32">
        <f t="shared" si="13"/>
        <v>2.2526615347195258</v>
      </c>
    </row>
    <row r="883" spans="1:5" x14ac:dyDescent="0.25">
      <c r="A883" s="17">
        <v>198</v>
      </c>
      <c r="B883" s="31">
        <v>46691</v>
      </c>
      <c r="C883" s="32">
        <f>INDEX('Input Data'!$B:$B,A883)/2+IF(A883&lt;&gt;A884,100,0)</f>
        <v>2.3125</v>
      </c>
      <c r="D883" s="33">
        <f>INDEX('ZCB Curve - Payment Dates'!$D$2:$D$246,MATCH(B883,'ZCB Curve - Payment Dates'!$A$2:$A$246,0))</f>
        <v>0.95295491595466364</v>
      </c>
      <c r="E883" s="32">
        <f t="shared" si="13"/>
        <v>2.2037082431451598</v>
      </c>
    </row>
    <row r="884" spans="1:5" x14ac:dyDescent="0.25">
      <c r="A884" s="17">
        <v>198</v>
      </c>
      <c r="B884" s="31">
        <v>46873</v>
      </c>
      <c r="C884" s="32">
        <f>INDEX('Input Data'!$B:$B,A884)/2+IF(A884&lt;&gt;A885,100,0)</f>
        <v>2.3125</v>
      </c>
      <c r="D884" s="33">
        <f>INDEX('ZCB Curve - Payment Dates'!$D$2:$D$246,MATCH(B884,'ZCB Curve - Payment Dates'!$A$2:$A$246,0))</f>
        <v>0.93174702042500246</v>
      </c>
      <c r="E884" s="32">
        <f t="shared" si="13"/>
        <v>2.1546649847328183</v>
      </c>
    </row>
    <row r="885" spans="1:5" x14ac:dyDescent="0.25">
      <c r="A885" s="17">
        <v>198</v>
      </c>
      <c r="B885" s="31">
        <v>47057</v>
      </c>
      <c r="C885" s="32">
        <f>INDEX('Input Data'!$B:$B,A885)/2+IF(A885&lt;&gt;A886,100,0)</f>
        <v>2.3125</v>
      </c>
      <c r="D885" s="33">
        <f>INDEX('ZCB Curve - Payment Dates'!$D$2:$D$246,MATCH(B885,'ZCB Curve - Payment Dates'!$A$2:$A$246,0))</f>
        <v>0.91042649241905782</v>
      </c>
      <c r="E885" s="32">
        <f t="shared" si="13"/>
        <v>2.1053612637190713</v>
      </c>
    </row>
    <row r="886" spans="1:5" x14ac:dyDescent="0.25">
      <c r="A886" s="17">
        <v>198</v>
      </c>
      <c r="B886" s="31">
        <v>47238</v>
      </c>
      <c r="C886" s="32">
        <f>INDEX('Input Data'!$B:$B,A886)/2+IF(A886&lt;&gt;A887,100,0)</f>
        <v>2.3125</v>
      </c>
      <c r="D886" s="33">
        <f>INDEX('ZCB Curve - Payment Dates'!$D$2:$D$246,MATCH(B886,'ZCB Curve - Payment Dates'!$A$2:$A$246,0))</f>
        <v>0.88978547878922043</v>
      </c>
      <c r="E886" s="32">
        <f t="shared" si="13"/>
        <v>2.0576289197000723</v>
      </c>
    </row>
    <row r="887" spans="1:5" x14ac:dyDescent="0.25">
      <c r="A887" s="17">
        <v>198</v>
      </c>
      <c r="B887" s="31">
        <v>47422</v>
      </c>
      <c r="C887" s="32">
        <f>INDEX('Input Data'!$B:$B,A887)/2+IF(A887&lt;&gt;A888,100,0)</f>
        <v>2.3125</v>
      </c>
      <c r="D887" s="33">
        <f>INDEX('ZCB Curve - Payment Dates'!$D$2:$D$246,MATCH(B887,'ZCB Curve - Payment Dates'!$A$2:$A$246,0))</f>
        <v>0.86924243542459101</v>
      </c>
      <c r="E887" s="32">
        <f t="shared" si="13"/>
        <v>2.0101231319193666</v>
      </c>
    </row>
    <row r="888" spans="1:5" x14ac:dyDescent="0.25">
      <c r="A888" s="17">
        <v>198</v>
      </c>
      <c r="B888" s="31">
        <v>47603</v>
      </c>
      <c r="C888" s="32">
        <f>INDEX('Input Data'!$B:$B,A888)/2+IF(A888&lt;&gt;A889,100,0)</f>
        <v>2.3125</v>
      </c>
      <c r="D888" s="33">
        <f>INDEX('ZCB Curve - Payment Dates'!$D$2:$D$246,MATCH(B888,'ZCB Curve - Payment Dates'!$A$2:$A$246,0))</f>
        <v>0.84949114767876688</v>
      </c>
      <c r="E888" s="32">
        <f t="shared" si="13"/>
        <v>1.9644482790071485</v>
      </c>
    </row>
    <row r="889" spans="1:5" x14ac:dyDescent="0.25">
      <c r="A889" s="17">
        <v>198</v>
      </c>
      <c r="B889" s="31">
        <v>47787</v>
      </c>
      <c r="C889" s="32">
        <f>INDEX('Input Data'!$B:$B,A889)/2+IF(A889&lt;&gt;A890,100,0)</f>
        <v>2.3125</v>
      </c>
      <c r="D889" s="33">
        <f>INDEX('ZCB Curve - Payment Dates'!$D$2:$D$246,MATCH(B889,'ZCB Curve - Payment Dates'!$A$2:$A$246,0))</f>
        <v>0.82985919250556395</v>
      </c>
      <c r="E889" s="32">
        <f t="shared" si="13"/>
        <v>1.9190493826691166</v>
      </c>
    </row>
    <row r="890" spans="1:5" x14ac:dyDescent="0.25">
      <c r="A890" s="17">
        <v>198</v>
      </c>
      <c r="B890" s="31">
        <v>47968</v>
      </c>
      <c r="C890" s="32">
        <f>INDEX('Input Data'!$B:$B,A890)/2+IF(A890&lt;&gt;A891,100,0)</f>
        <v>102.3125</v>
      </c>
      <c r="D890" s="33">
        <f>INDEX('ZCB Curve - Payment Dates'!$D$2:$D$246,MATCH(B890,'ZCB Curve - Payment Dates'!$A$2:$A$246,0))</f>
        <v>0.81094247698820199</v>
      </c>
      <c r="E890" s="32">
        <f t="shared" si="13"/>
        <v>82.969552176855416</v>
      </c>
    </row>
    <row r="891" spans="1:5" x14ac:dyDescent="0.25">
      <c r="A891" s="17">
        <v>199</v>
      </c>
      <c r="B891" s="31">
        <v>46341</v>
      </c>
      <c r="C891" s="32">
        <f>INDEX('Input Data'!$B:$B,A891)/2+IF(A891&lt;&gt;A892,100,0)</f>
        <v>0.8125</v>
      </c>
      <c r="D891" s="33">
        <f>INDEX('ZCB Curve - Payment Dates'!$D$2:$D$246,MATCH(B891,'ZCB Curve - Payment Dates'!$A$2:$A$246,0))</f>
        <v>0.99245367292309439</v>
      </c>
      <c r="E891" s="32">
        <f t="shared" si="13"/>
        <v>0.80636860925001419</v>
      </c>
    </row>
    <row r="892" spans="1:5" x14ac:dyDescent="0.25">
      <c r="A892" s="17">
        <v>199</v>
      </c>
      <c r="B892" s="31">
        <v>46522</v>
      </c>
      <c r="C892" s="32">
        <f>INDEX('Input Data'!$B:$B,A892)/2+IF(A892&lt;&gt;A893,100,0)</f>
        <v>0.8125</v>
      </c>
      <c r="D892" s="33">
        <f>INDEX('ZCB Curve - Payment Dates'!$D$2:$D$246,MATCH(B892,'ZCB Curve - Payment Dates'!$A$2:$A$246,0))</f>
        <v>0.97242179559611874</v>
      </c>
      <c r="E892" s="32">
        <f t="shared" si="13"/>
        <v>0.79009270892184646</v>
      </c>
    </row>
    <row r="893" spans="1:5" x14ac:dyDescent="0.25">
      <c r="A893" s="17">
        <v>199</v>
      </c>
      <c r="B893" s="31">
        <v>46706</v>
      </c>
      <c r="C893" s="32">
        <f>INDEX('Input Data'!$B:$B,A893)/2+IF(A893&lt;&gt;A894,100,0)</f>
        <v>0.8125</v>
      </c>
      <c r="D893" s="33">
        <f>INDEX('ZCB Curve - Payment Dates'!$D$2:$D$246,MATCH(B893,'ZCB Curve - Payment Dates'!$A$2:$A$246,0))</f>
        <v>0.95121018311627348</v>
      </c>
      <c r="E893" s="32">
        <f t="shared" si="13"/>
        <v>0.77285827378197225</v>
      </c>
    </row>
    <row r="894" spans="1:5" x14ac:dyDescent="0.25">
      <c r="A894" s="17">
        <v>199</v>
      </c>
      <c r="B894" s="31">
        <v>46888</v>
      </c>
      <c r="C894" s="32">
        <f>INDEX('Input Data'!$B:$B,A894)/2+IF(A894&lt;&gt;A895,100,0)</f>
        <v>0.8125</v>
      </c>
      <c r="D894" s="33">
        <f>INDEX('ZCB Curve - Payment Dates'!$D$2:$D$246,MATCH(B894,'ZCB Curve - Payment Dates'!$A$2:$A$246,0))</f>
        <v>0.93000025435083566</v>
      </c>
      <c r="E894" s="32">
        <f t="shared" si="13"/>
        <v>0.75562520666005395</v>
      </c>
    </row>
    <row r="895" spans="1:5" x14ac:dyDescent="0.25">
      <c r="A895" s="17">
        <v>199</v>
      </c>
      <c r="B895" s="31">
        <v>47072</v>
      </c>
      <c r="C895" s="32">
        <f>INDEX('Input Data'!$B:$B,A895)/2+IF(A895&lt;&gt;A896,100,0)</f>
        <v>0.8125</v>
      </c>
      <c r="D895" s="33">
        <f>INDEX('ZCB Curve - Payment Dates'!$D$2:$D$246,MATCH(B895,'ZCB Curve - Payment Dates'!$A$2:$A$246,0))</f>
        <v>0.90870125167038918</v>
      </c>
      <c r="E895" s="32">
        <f t="shared" si="13"/>
        <v>0.73831976698219126</v>
      </c>
    </row>
    <row r="896" spans="1:5" x14ac:dyDescent="0.25">
      <c r="A896" s="17">
        <v>199</v>
      </c>
      <c r="B896" s="31">
        <v>47253</v>
      </c>
      <c r="C896" s="32">
        <f>INDEX('Input Data'!$B:$B,A896)/2+IF(A896&lt;&gt;A897,100,0)</f>
        <v>0.8125</v>
      </c>
      <c r="D896" s="33">
        <f>INDEX('ZCB Curve - Payment Dates'!$D$2:$D$246,MATCH(B896,'ZCB Curve - Payment Dates'!$A$2:$A$246,0))</f>
        <v>0.88809325063638844</v>
      </c>
      <c r="E896" s="32">
        <f t="shared" si="13"/>
        <v>0.72157576614206564</v>
      </c>
    </row>
    <row r="897" spans="1:5" x14ac:dyDescent="0.25">
      <c r="A897" s="17">
        <v>199</v>
      </c>
      <c r="B897" s="31">
        <v>47437</v>
      </c>
      <c r="C897" s="32">
        <f>INDEX('Input Data'!$B:$B,A897)/2+IF(A897&lt;&gt;A898,100,0)</f>
        <v>0.8125</v>
      </c>
      <c r="D897" s="33">
        <f>INDEX('ZCB Curve - Payment Dates'!$D$2:$D$246,MATCH(B897,'ZCB Curve - Payment Dates'!$A$2:$A$246,0))</f>
        <v>0.86758824089536279</v>
      </c>
      <c r="E897" s="32">
        <f t="shared" si="13"/>
        <v>0.70491544572748221</v>
      </c>
    </row>
    <row r="898" spans="1:5" x14ac:dyDescent="0.25">
      <c r="A898" s="17">
        <v>199</v>
      </c>
      <c r="B898" s="31">
        <v>47618</v>
      </c>
      <c r="C898" s="32">
        <f>INDEX('Input Data'!$B:$B,A898)/2+IF(A898&lt;&gt;A899,100,0)</f>
        <v>0.8125</v>
      </c>
      <c r="D898" s="33">
        <f>INDEX('ZCB Curve - Payment Dates'!$D$2:$D$246,MATCH(B898,'ZCB Curve - Payment Dates'!$A$2:$A$246,0))</f>
        <v>0.84787416911783064</v>
      </c>
      <c r="E898" s="32">
        <f t="shared" ref="E898:E961" si="14">C898*D898</f>
        <v>0.68889776240823741</v>
      </c>
    </row>
    <row r="899" spans="1:5" x14ac:dyDescent="0.25">
      <c r="A899" s="17">
        <v>199</v>
      </c>
      <c r="B899" s="31">
        <v>47802</v>
      </c>
      <c r="C899" s="32">
        <f>INDEX('Input Data'!$B:$B,A899)/2+IF(A899&lt;&gt;A900,100,0)</f>
        <v>0.8125</v>
      </c>
      <c r="D899" s="33">
        <f>INDEX('ZCB Curve - Payment Dates'!$D$2:$D$246,MATCH(B899,'ZCB Curve - Payment Dates'!$A$2:$A$246,0))</f>
        <v>0.82827715028796722</v>
      </c>
      <c r="E899" s="32">
        <f t="shared" si="14"/>
        <v>0.67297518460897332</v>
      </c>
    </row>
    <row r="900" spans="1:5" x14ac:dyDescent="0.25">
      <c r="A900" s="17">
        <v>199</v>
      </c>
      <c r="B900" s="31">
        <v>47983</v>
      </c>
      <c r="C900" s="32">
        <f>INDEX('Input Data'!$B:$B,A900)/2+IF(A900&lt;&gt;A901,100,0)</f>
        <v>100.8125</v>
      </c>
      <c r="D900" s="33">
        <f>INDEX('ZCB Curve - Payment Dates'!$D$2:$D$246,MATCH(B900,'ZCB Curve - Payment Dates'!$A$2:$A$246,0))</f>
        <v>0.80939067484273564</v>
      </c>
      <c r="E900" s="32">
        <f t="shared" si="14"/>
        <v>81.596697407583292</v>
      </c>
    </row>
    <row r="901" spans="1:5" x14ac:dyDescent="0.25">
      <c r="A901" s="17">
        <v>200</v>
      </c>
      <c r="B901" s="31">
        <v>46356</v>
      </c>
      <c r="C901" s="32">
        <f>INDEX('Input Data'!$B:$B,A901)/2+IF(A901&lt;&gt;A902,100,0)</f>
        <v>2.0625</v>
      </c>
      <c r="D901" s="33">
        <f>INDEX('ZCB Curve - Payment Dates'!$D$2:$D$246,MATCH(B901,'ZCB Curve - Payment Dates'!$A$2:$A$246,0))</f>
        <v>0.99084497326382592</v>
      </c>
      <c r="E901" s="32">
        <f t="shared" si="14"/>
        <v>2.0436177573566408</v>
      </c>
    </row>
    <row r="902" spans="1:5" x14ac:dyDescent="0.25">
      <c r="A902" s="17">
        <v>200</v>
      </c>
      <c r="B902" s="31">
        <v>46538</v>
      </c>
      <c r="C902" s="32">
        <f>INDEX('Input Data'!$B:$B,A902)/2+IF(A902&lt;&gt;A903,100,0)</f>
        <v>2.0625</v>
      </c>
      <c r="D902" s="33">
        <f>INDEX('ZCB Curve - Payment Dates'!$D$2:$D$246,MATCH(B902,'ZCB Curve - Payment Dates'!$A$2:$A$246,0))</f>
        <v>0.97060179184855555</v>
      </c>
      <c r="E902" s="32">
        <f t="shared" si="14"/>
        <v>2.0018661956876458</v>
      </c>
    </row>
    <row r="903" spans="1:5" x14ac:dyDescent="0.25">
      <c r="A903" s="17">
        <v>200</v>
      </c>
      <c r="B903" s="31">
        <v>46721</v>
      </c>
      <c r="C903" s="32">
        <f>INDEX('Input Data'!$B:$B,A903)/2+IF(A903&lt;&gt;A904,100,0)</f>
        <v>2.0625</v>
      </c>
      <c r="D903" s="33">
        <f>INDEX('ZCB Curve - Payment Dates'!$D$2:$D$246,MATCH(B903,'ZCB Curve - Payment Dates'!$A$2:$A$246,0))</f>
        <v>0.94946404326393219</v>
      </c>
      <c r="E903" s="32">
        <f t="shared" si="14"/>
        <v>1.9582695892318602</v>
      </c>
    </row>
    <row r="904" spans="1:5" x14ac:dyDescent="0.25">
      <c r="A904" s="17">
        <v>200</v>
      </c>
      <c r="B904" s="31">
        <v>46904</v>
      </c>
      <c r="C904" s="32">
        <f>INDEX('Input Data'!$B:$B,A904)/2+IF(A904&lt;&gt;A905,100,0)</f>
        <v>2.0625</v>
      </c>
      <c r="D904" s="33">
        <f>INDEX('ZCB Curve - Payment Dates'!$D$2:$D$246,MATCH(B904,'ZCB Curve - Payment Dates'!$A$2:$A$246,0))</f>
        <v>0.92813990099508414</v>
      </c>
      <c r="E904" s="32">
        <f t="shared" si="14"/>
        <v>1.9142885458023611</v>
      </c>
    </row>
    <row r="905" spans="1:5" x14ac:dyDescent="0.25">
      <c r="A905" s="17">
        <v>200</v>
      </c>
      <c r="B905" s="31">
        <v>47087</v>
      </c>
      <c r="C905" s="32">
        <f>INDEX('Input Data'!$B:$B,A905)/2+IF(A905&lt;&gt;A906,100,0)</f>
        <v>2.0625</v>
      </c>
      <c r="D905" s="33">
        <f>INDEX('ZCB Curve - Payment Dates'!$D$2:$D$246,MATCH(B905,'ZCB Curve - Payment Dates'!$A$2:$A$246,0))</f>
        <v>0.90697842456009181</v>
      </c>
      <c r="E905" s="32">
        <f t="shared" si="14"/>
        <v>1.8706430006551893</v>
      </c>
    </row>
    <row r="906" spans="1:5" x14ac:dyDescent="0.25">
      <c r="A906" s="17">
        <v>200</v>
      </c>
      <c r="B906" s="31">
        <v>47269</v>
      </c>
      <c r="C906" s="32">
        <f>INDEX('Input Data'!$B:$B,A906)/2+IF(A906&lt;&gt;A907,100,0)</f>
        <v>2.0625</v>
      </c>
      <c r="D906" s="33">
        <f>INDEX('ZCB Curve - Payment Dates'!$D$2:$D$246,MATCH(B906,'ZCB Curve - Payment Dates'!$A$2:$A$246,0))</f>
        <v>0.88629316931415014</v>
      </c>
      <c r="E906" s="32">
        <f t="shared" si="14"/>
        <v>1.8279796617104347</v>
      </c>
    </row>
    <row r="907" spans="1:5" x14ac:dyDescent="0.25">
      <c r="A907" s="17">
        <v>200</v>
      </c>
      <c r="B907" s="31">
        <v>47452</v>
      </c>
      <c r="C907" s="32">
        <f>INDEX('Input Data'!$B:$B,A907)/2+IF(A907&lt;&gt;A908,100,0)</f>
        <v>2.0625</v>
      </c>
      <c r="D907" s="33">
        <f>INDEX('ZCB Curve - Payment Dates'!$D$2:$D$246,MATCH(B907,'ZCB Curve - Payment Dates'!$A$2:$A$246,0))</f>
        <v>0.86593718552386212</v>
      </c>
      <c r="E907" s="32">
        <f t="shared" si="14"/>
        <v>1.7859954451429656</v>
      </c>
    </row>
    <row r="908" spans="1:5" x14ac:dyDescent="0.25">
      <c r="A908" s="17">
        <v>200</v>
      </c>
      <c r="B908" s="31">
        <v>47634</v>
      </c>
      <c r="C908" s="32">
        <f>INDEX('Input Data'!$B:$B,A908)/2+IF(A908&lt;&gt;A909,100,0)</f>
        <v>2.0625</v>
      </c>
      <c r="D908" s="33">
        <f>INDEX('ZCB Curve - Payment Dates'!$D$2:$D$246,MATCH(B908,'ZCB Curve - Payment Dates'!$A$2:$A$246,0))</f>
        <v>0.84615424839536502</v>
      </c>
      <c r="E908" s="32">
        <f t="shared" si="14"/>
        <v>1.7451931373154403</v>
      </c>
    </row>
    <row r="909" spans="1:5" x14ac:dyDescent="0.25">
      <c r="A909" s="17">
        <v>200</v>
      </c>
      <c r="B909" s="31">
        <v>47817</v>
      </c>
      <c r="C909" s="32">
        <f>INDEX('Input Data'!$B:$B,A909)/2+IF(A909&lt;&gt;A910,100,0)</f>
        <v>2.0625</v>
      </c>
      <c r="D909" s="33">
        <f>INDEX('ZCB Curve - Payment Dates'!$D$2:$D$246,MATCH(B909,'ZCB Curve - Payment Dates'!$A$2:$A$246,0))</f>
        <v>0.82669778003432226</v>
      </c>
      <c r="E909" s="32">
        <f t="shared" si="14"/>
        <v>1.7050641713207897</v>
      </c>
    </row>
    <row r="910" spans="1:5" x14ac:dyDescent="0.25">
      <c r="A910" s="17">
        <v>200</v>
      </c>
      <c r="B910" s="31">
        <v>47999</v>
      </c>
      <c r="C910" s="32">
        <f>INDEX('Input Data'!$B:$B,A910)/2+IF(A910&lt;&gt;A911,100,0)</f>
        <v>102.0625</v>
      </c>
      <c r="D910" s="33">
        <f>INDEX('ZCB Curve - Payment Dates'!$D$2:$D$246,MATCH(B910,'ZCB Curve - Payment Dates'!$A$2:$A$246,0))</f>
        <v>0.80773946698731602</v>
      </c>
      <c r="E910" s="32">
        <f t="shared" si="14"/>
        <v>82.439909349392948</v>
      </c>
    </row>
    <row r="911" spans="1:5" x14ac:dyDescent="0.25">
      <c r="A911" s="17">
        <v>201</v>
      </c>
      <c r="B911" s="31">
        <v>46356</v>
      </c>
      <c r="C911" s="32">
        <f>INDEX('Input Data'!$B:$B,A911)/2+IF(A911&lt;&gt;A912,100,0)</f>
        <v>2.3125</v>
      </c>
      <c r="D911" s="33">
        <f>INDEX('ZCB Curve - Payment Dates'!$D$2:$D$246,MATCH(B911,'ZCB Curve - Payment Dates'!$A$2:$A$246,0))</f>
        <v>0.99084497326382592</v>
      </c>
      <c r="E911" s="32">
        <f t="shared" si="14"/>
        <v>2.2913290006725973</v>
      </c>
    </row>
    <row r="912" spans="1:5" x14ac:dyDescent="0.25">
      <c r="A912" s="17">
        <v>201</v>
      </c>
      <c r="B912" s="31">
        <v>46538</v>
      </c>
      <c r="C912" s="32">
        <f>INDEX('Input Data'!$B:$B,A912)/2+IF(A912&lt;&gt;A913,100,0)</f>
        <v>2.3125</v>
      </c>
      <c r="D912" s="33">
        <f>INDEX('ZCB Curve - Payment Dates'!$D$2:$D$246,MATCH(B912,'ZCB Curve - Payment Dates'!$A$2:$A$246,0))</f>
        <v>0.97060179184855555</v>
      </c>
      <c r="E912" s="32">
        <f t="shared" si="14"/>
        <v>2.2445166436497845</v>
      </c>
    </row>
    <row r="913" spans="1:5" x14ac:dyDescent="0.25">
      <c r="A913" s="17">
        <v>201</v>
      </c>
      <c r="B913" s="31">
        <v>46721</v>
      </c>
      <c r="C913" s="32">
        <f>INDEX('Input Data'!$B:$B,A913)/2+IF(A913&lt;&gt;A914,100,0)</f>
        <v>2.3125</v>
      </c>
      <c r="D913" s="33">
        <f>INDEX('ZCB Curve - Payment Dates'!$D$2:$D$246,MATCH(B913,'ZCB Curve - Payment Dates'!$A$2:$A$246,0))</f>
        <v>0.94946404326393219</v>
      </c>
      <c r="E913" s="32">
        <f t="shared" si="14"/>
        <v>2.1956356000478432</v>
      </c>
    </row>
    <row r="914" spans="1:5" x14ac:dyDescent="0.25">
      <c r="A914" s="17">
        <v>201</v>
      </c>
      <c r="B914" s="31">
        <v>46904</v>
      </c>
      <c r="C914" s="32">
        <f>INDEX('Input Data'!$B:$B,A914)/2+IF(A914&lt;&gt;A915,100,0)</f>
        <v>2.3125</v>
      </c>
      <c r="D914" s="33">
        <f>INDEX('ZCB Curve - Payment Dates'!$D$2:$D$246,MATCH(B914,'ZCB Curve - Payment Dates'!$A$2:$A$246,0))</f>
        <v>0.92813990099508414</v>
      </c>
      <c r="E914" s="32">
        <f t="shared" si="14"/>
        <v>2.1463235210511322</v>
      </c>
    </row>
    <row r="915" spans="1:5" x14ac:dyDescent="0.25">
      <c r="A915" s="17">
        <v>201</v>
      </c>
      <c r="B915" s="31">
        <v>47087</v>
      </c>
      <c r="C915" s="32">
        <f>INDEX('Input Data'!$B:$B,A915)/2+IF(A915&lt;&gt;A916,100,0)</f>
        <v>2.3125</v>
      </c>
      <c r="D915" s="33">
        <f>INDEX('ZCB Curve - Payment Dates'!$D$2:$D$246,MATCH(B915,'ZCB Curve - Payment Dates'!$A$2:$A$246,0))</f>
        <v>0.90697842456009181</v>
      </c>
      <c r="E915" s="32">
        <f t="shared" si="14"/>
        <v>2.0973876067952122</v>
      </c>
    </row>
    <row r="916" spans="1:5" x14ac:dyDescent="0.25">
      <c r="A916" s="17">
        <v>201</v>
      </c>
      <c r="B916" s="31">
        <v>47269</v>
      </c>
      <c r="C916" s="32">
        <f>INDEX('Input Data'!$B:$B,A916)/2+IF(A916&lt;&gt;A917,100,0)</f>
        <v>2.3125</v>
      </c>
      <c r="D916" s="33">
        <f>INDEX('ZCB Curve - Payment Dates'!$D$2:$D$246,MATCH(B916,'ZCB Curve - Payment Dates'!$A$2:$A$246,0))</f>
        <v>0.88629316931415014</v>
      </c>
      <c r="E916" s="32">
        <f t="shared" si="14"/>
        <v>2.0495529540389721</v>
      </c>
    </row>
    <row r="917" spans="1:5" x14ac:dyDescent="0.25">
      <c r="A917" s="17">
        <v>201</v>
      </c>
      <c r="B917" s="31">
        <v>47452</v>
      </c>
      <c r="C917" s="32">
        <f>INDEX('Input Data'!$B:$B,A917)/2+IF(A917&lt;&gt;A918,100,0)</f>
        <v>2.3125</v>
      </c>
      <c r="D917" s="33">
        <f>INDEX('ZCB Curve - Payment Dates'!$D$2:$D$246,MATCH(B917,'ZCB Curve - Payment Dates'!$A$2:$A$246,0))</f>
        <v>0.86593718552386212</v>
      </c>
      <c r="E917" s="32">
        <f t="shared" si="14"/>
        <v>2.0024797415239313</v>
      </c>
    </row>
    <row r="918" spans="1:5" x14ac:dyDescent="0.25">
      <c r="A918" s="17">
        <v>201</v>
      </c>
      <c r="B918" s="31">
        <v>47634</v>
      </c>
      <c r="C918" s="32">
        <f>INDEX('Input Data'!$B:$B,A918)/2+IF(A918&lt;&gt;A919,100,0)</f>
        <v>2.3125</v>
      </c>
      <c r="D918" s="33">
        <f>INDEX('ZCB Curve - Payment Dates'!$D$2:$D$246,MATCH(B918,'ZCB Curve - Payment Dates'!$A$2:$A$246,0))</f>
        <v>0.84615424839536502</v>
      </c>
      <c r="E918" s="32">
        <f t="shared" si="14"/>
        <v>1.9567316994142816</v>
      </c>
    </row>
    <row r="919" spans="1:5" x14ac:dyDescent="0.25">
      <c r="A919" s="17">
        <v>201</v>
      </c>
      <c r="B919" s="31">
        <v>47817</v>
      </c>
      <c r="C919" s="32">
        <f>INDEX('Input Data'!$B:$B,A919)/2+IF(A919&lt;&gt;A920,100,0)</f>
        <v>2.3125</v>
      </c>
      <c r="D919" s="33">
        <f>INDEX('ZCB Curve - Payment Dates'!$D$2:$D$246,MATCH(B919,'ZCB Curve - Payment Dates'!$A$2:$A$246,0))</f>
        <v>0.82669778003432226</v>
      </c>
      <c r="E919" s="32">
        <f t="shared" si="14"/>
        <v>1.9117386163293701</v>
      </c>
    </row>
    <row r="920" spans="1:5" x14ac:dyDescent="0.25">
      <c r="A920" s="17">
        <v>201</v>
      </c>
      <c r="B920" s="31">
        <v>47999</v>
      </c>
      <c r="C920" s="32">
        <f>INDEX('Input Data'!$B:$B,A920)/2+IF(A920&lt;&gt;A921,100,0)</f>
        <v>102.3125</v>
      </c>
      <c r="D920" s="33">
        <f>INDEX('ZCB Curve - Payment Dates'!$D$2:$D$246,MATCH(B920,'ZCB Curve - Payment Dates'!$A$2:$A$246,0))</f>
        <v>0.80773946698731602</v>
      </c>
      <c r="E920" s="32">
        <f t="shared" si="14"/>
        <v>82.641844216139773</v>
      </c>
    </row>
    <row r="921" spans="1:5" x14ac:dyDescent="0.25">
      <c r="A921" s="17">
        <v>202</v>
      </c>
      <c r="B921" s="31">
        <v>46387</v>
      </c>
      <c r="C921" s="32">
        <f>INDEX('Input Data'!$B:$B,A921)/2+IF(A921&lt;&gt;A922,100,0)</f>
        <v>2.0625</v>
      </c>
      <c r="D921" s="33">
        <f>INDEX('ZCB Curve - Payment Dates'!$D$2:$D$246,MATCH(B921,'ZCB Curve - Payment Dates'!$A$2:$A$246,0))</f>
        <v>0.987487116303851</v>
      </c>
      <c r="E921" s="32">
        <f t="shared" si="14"/>
        <v>2.0366921773766928</v>
      </c>
    </row>
    <row r="922" spans="1:5" x14ac:dyDescent="0.25">
      <c r="A922" s="17">
        <v>202</v>
      </c>
      <c r="B922" s="31">
        <v>46568</v>
      </c>
      <c r="C922" s="32">
        <f>INDEX('Input Data'!$B:$B,A922)/2+IF(A922&lt;&gt;A923,100,0)</f>
        <v>2.0625</v>
      </c>
      <c r="D922" s="33">
        <f>INDEX('ZCB Curve - Payment Dates'!$D$2:$D$246,MATCH(B922,'ZCB Curve - Payment Dates'!$A$2:$A$246,0))</f>
        <v>0.96717094344557664</v>
      </c>
      <c r="E922" s="32">
        <f t="shared" si="14"/>
        <v>1.9947900708565018</v>
      </c>
    </row>
    <row r="923" spans="1:5" x14ac:dyDescent="0.25">
      <c r="A923" s="17">
        <v>202</v>
      </c>
      <c r="B923" s="31">
        <v>46752</v>
      </c>
      <c r="C923" s="32">
        <f>INDEX('Input Data'!$B:$B,A923)/2+IF(A923&lt;&gt;A924,100,0)</f>
        <v>2.0625</v>
      </c>
      <c r="D923" s="33">
        <f>INDEX('ZCB Curve - Payment Dates'!$D$2:$D$246,MATCH(B923,'ZCB Curve - Payment Dates'!$A$2:$A$246,0))</f>
        <v>0.94585368463190456</v>
      </c>
      <c r="E923" s="32">
        <f t="shared" si="14"/>
        <v>1.9508232245533033</v>
      </c>
    </row>
    <row r="924" spans="1:5" x14ac:dyDescent="0.25">
      <c r="A924" s="17">
        <v>202</v>
      </c>
      <c r="B924" s="31">
        <v>46934</v>
      </c>
      <c r="C924" s="32">
        <f>INDEX('Input Data'!$B:$B,A924)/2+IF(A924&lt;&gt;A925,100,0)</f>
        <v>2.0625</v>
      </c>
      <c r="D924" s="33">
        <f>INDEX('ZCB Curve - Payment Dates'!$D$2:$D$246,MATCH(B924,'ZCB Curve - Payment Dates'!$A$2:$A$246,0))</f>
        <v>0.92465239860805604</v>
      </c>
      <c r="E924" s="32">
        <f t="shared" si="14"/>
        <v>1.9070955721291156</v>
      </c>
    </row>
    <row r="925" spans="1:5" x14ac:dyDescent="0.25">
      <c r="A925" s="17">
        <v>202</v>
      </c>
      <c r="B925" s="31">
        <v>47118</v>
      </c>
      <c r="C925" s="32">
        <f>INDEX('Input Data'!$B:$B,A925)/2+IF(A925&lt;&gt;A926,100,0)</f>
        <v>2.0625</v>
      </c>
      <c r="D925" s="33">
        <f>INDEX('ZCB Curve - Payment Dates'!$D$2:$D$246,MATCH(B925,'ZCB Curve - Payment Dates'!$A$2:$A$246,0))</f>
        <v>0.90342754291436123</v>
      </c>
      <c r="E925" s="32">
        <f t="shared" si="14"/>
        <v>1.86331930726087</v>
      </c>
    </row>
    <row r="926" spans="1:5" x14ac:dyDescent="0.25">
      <c r="A926" s="17">
        <v>202</v>
      </c>
      <c r="B926" s="31">
        <v>47299</v>
      </c>
      <c r="C926" s="32">
        <f>INDEX('Input Data'!$B:$B,A926)/2+IF(A926&lt;&gt;A927,100,0)</f>
        <v>2.0625</v>
      </c>
      <c r="D926" s="33">
        <f>INDEX('ZCB Curve - Payment Dates'!$D$2:$D$246,MATCH(B926,'ZCB Curve - Payment Dates'!$A$2:$A$246,0))</f>
        <v>0.88292427004927643</v>
      </c>
      <c r="E926" s="32">
        <f t="shared" si="14"/>
        <v>1.8210313069766326</v>
      </c>
    </row>
    <row r="927" spans="1:5" x14ac:dyDescent="0.25">
      <c r="A927" s="17">
        <v>202</v>
      </c>
      <c r="B927" s="31">
        <v>47483</v>
      </c>
      <c r="C927" s="32">
        <f>INDEX('Input Data'!$B:$B,A927)/2+IF(A927&lt;&gt;A928,100,0)</f>
        <v>2.0625</v>
      </c>
      <c r="D927" s="33">
        <f>INDEX('ZCB Curve - Payment Dates'!$D$2:$D$246,MATCH(B927,'ZCB Curve - Payment Dates'!$A$2:$A$246,0))</f>
        <v>0.86253652987508767</v>
      </c>
      <c r="E927" s="32">
        <f t="shared" si="14"/>
        <v>1.7789815928673682</v>
      </c>
    </row>
    <row r="928" spans="1:5" x14ac:dyDescent="0.25">
      <c r="A928" s="17">
        <v>202</v>
      </c>
      <c r="B928" s="31">
        <v>47664</v>
      </c>
      <c r="C928" s="32">
        <f>INDEX('Input Data'!$B:$B,A928)/2+IF(A928&lt;&gt;A929,100,0)</f>
        <v>2.0625</v>
      </c>
      <c r="D928" s="33">
        <f>INDEX('ZCB Curve - Payment Dates'!$D$2:$D$246,MATCH(B928,'ZCB Curve - Payment Dates'!$A$2:$A$246,0))</f>
        <v>0.84293550634880554</v>
      </c>
      <c r="E928" s="32">
        <f t="shared" si="14"/>
        <v>1.7385544818444114</v>
      </c>
    </row>
    <row r="929" spans="1:5" x14ac:dyDescent="0.25">
      <c r="A929" s="17">
        <v>202</v>
      </c>
      <c r="B929" s="31">
        <v>47848</v>
      </c>
      <c r="C929" s="32">
        <f>INDEX('Input Data'!$B:$B,A929)/2+IF(A929&lt;&gt;A930,100,0)</f>
        <v>2.0625</v>
      </c>
      <c r="D929" s="33">
        <f>INDEX('ZCB Curve - Payment Dates'!$D$2:$D$246,MATCH(B929,'ZCB Curve - Payment Dates'!$A$2:$A$246,0))</f>
        <v>0.82344362073276389</v>
      </c>
      <c r="E929" s="32">
        <f t="shared" si="14"/>
        <v>1.6983524677613255</v>
      </c>
    </row>
    <row r="930" spans="1:5" x14ac:dyDescent="0.25">
      <c r="A930" s="17">
        <v>202</v>
      </c>
      <c r="B930" s="31">
        <v>48029</v>
      </c>
      <c r="C930" s="32">
        <f>INDEX('Input Data'!$B:$B,A930)/2+IF(A930&lt;&gt;A931,100,0)</f>
        <v>102.0625</v>
      </c>
      <c r="D930" s="33">
        <f>INDEX('ZCB Curve - Payment Dates'!$D$2:$D$246,MATCH(B930,'ZCB Curve - Payment Dates'!$A$2:$A$246,0))</f>
        <v>0.80464756354162947</v>
      </c>
      <c r="E930" s="32">
        <f t="shared" si="14"/>
        <v>82.124341953967559</v>
      </c>
    </row>
    <row r="931" spans="1:5" x14ac:dyDescent="0.25">
      <c r="A931" s="17">
        <v>203</v>
      </c>
      <c r="B931" s="31">
        <v>46387</v>
      </c>
      <c r="C931" s="32">
        <f>INDEX('Input Data'!$B:$B,A931)/2+IF(A931&lt;&gt;A932,100,0)</f>
        <v>2.125</v>
      </c>
      <c r="D931" s="33">
        <f>INDEX('ZCB Curve - Payment Dates'!$D$2:$D$246,MATCH(B931,'ZCB Curve - Payment Dates'!$A$2:$A$246,0))</f>
        <v>0.987487116303851</v>
      </c>
      <c r="E931" s="32">
        <f t="shared" si="14"/>
        <v>2.0984101221456832</v>
      </c>
    </row>
    <row r="932" spans="1:5" x14ac:dyDescent="0.25">
      <c r="A932" s="17">
        <v>203</v>
      </c>
      <c r="B932" s="31">
        <v>46568</v>
      </c>
      <c r="C932" s="32">
        <f>INDEX('Input Data'!$B:$B,A932)/2+IF(A932&lt;&gt;A933,100,0)</f>
        <v>2.125</v>
      </c>
      <c r="D932" s="33">
        <f>INDEX('ZCB Curve - Payment Dates'!$D$2:$D$246,MATCH(B932,'ZCB Curve - Payment Dates'!$A$2:$A$246,0))</f>
        <v>0.96717094344557664</v>
      </c>
      <c r="E932" s="32">
        <f t="shared" si="14"/>
        <v>2.0552382548218504</v>
      </c>
    </row>
    <row r="933" spans="1:5" x14ac:dyDescent="0.25">
      <c r="A933" s="17">
        <v>203</v>
      </c>
      <c r="B933" s="31">
        <v>46752</v>
      </c>
      <c r="C933" s="32">
        <f>INDEX('Input Data'!$B:$B,A933)/2+IF(A933&lt;&gt;A934,100,0)</f>
        <v>2.125</v>
      </c>
      <c r="D933" s="33">
        <f>INDEX('ZCB Curve - Payment Dates'!$D$2:$D$246,MATCH(B933,'ZCB Curve - Payment Dates'!$A$2:$A$246,0))</f>
        <v>0.94585368463190456</v>
      </c>
      <c r="E933" s="32">
        <f t="shared" si="14"/>
        <v>2.0099390798427974</v>
      </c>
    </row>
    <row r="934" spans="1:5" x14ac:dyDescent="0.25">
      <c r="A934" s="17">
        <v>203</v>
      </c>
      <c r="B934" s="31">
        <v>46934</v>
      </c>
      <c r="C934" s="32">
        <f>INDEX('Input Data'!$B:$B,A934)/2+IF(A934&lt;&gt;A935,100,0)</f>
        <v>2.125</v>
      </c>
      <c r="D934" s="33">
        <f>INDEX('ZCB Curve - Payment Dates'!$D$2:$D$246,MATCH(B934,'ZCB Curve - Payment Dates'!$A$2:$A$246,0))</f>
        <v>0.92465239860805604</v>
      </c>
      <c r="E934" s="32">
        <f t="shared" si="14"/>
        <v>1.9648863470421192</v>
      </c>
    </row>
    <row r="935" spans="1:5" x14ac:dyDescent="0.25">
      <c r="A935" s="17">
        <v>203</v>
      </c>
      <c r="B935" s="31">
        <v>47118</v>
      </c>
      <c r="C935" s="32">
        <f>INDEX('Input Data'!$B:$B,A935)/2+IF(A935&lt;&gt;A936,100,0)</f>
        <v>2.125</v>
      </c>
      <c r="D935" s="33">
        <f>INDEX('ZCB Curve - Payment Dates'!$D$2:$D$246,MATCH(B935,'ZCB Curve - Payment Dates'!$A$2:$A$246,0))</f>
        <v>0.90342754291436123</v>
      </c>
      <c r="E935" s="32">
        <f t="shared" si="14"/>
        <v>1.9197835286930176</v>
      </c>
    </row>
    <row r="936" spans="1:5" x14ac:dyDescent="0.25">
      <c r="A936" s="17">
        <v>203</v>
      </c>
      <c r="B936" s="31">
        <v>47299</v>
      </c>
      <c r="C936" s="32">
        <f>INDEX('Input Data'!$B:$B,A936)/2+IF(A936&lt;&gt;A937,100,0)</f>
        <v>2.125</v>
      </c>
      <c r="D936" s="33">
        <f>INDEX('ZCB Curve - Payment Dates'!$D$2:$D$246,MATCH(B936,'ZCB Curve - Payment Dates'!$A$2:$A$246,0))</f>
        <v>0.88292427004927643</v>
      </c>
      <c r="E936" s="32">
        <f t="shared" si="14"/>
        <v>1.8762140738547124</v>
      </c>
    </row>
    <row r="937" spans="1:5" x14ac:dyDescent="0.25">
      <c r="A937" s="17">
        <v>203</v>
      </c>
      <c r="B937" s="31">
        <v>47483</v>
      </c>
      <c r="C937" s="32">
        <f>INDEX('Input Data'!$B:$B,A937)/2+IF(A937&lt;&gt;A938,100,0)</f>
        <v>2.125</v>
      </c>
      <c r="D937" s="33">
        <f>INDEX('ZCB Curve - Payment Dates'!$D$2:$D$246,MATCH(B937,'ZCB Curve - Payment Dates'!$A$2:$A$246,0))</f>
        <v>0.86253652987508767</v>
      </c>
      <c r="E937" s="32">
        <f t="shared" si="14"/>
        <v>1.8328901259845614</v>
      </c>
    </row>
    <row r="938" spans="1:5" x14ac:dyDescent="0.25">
      <c r="A938" s="17">
        <v>203</v>
      </c>
      <c r="B938" s="31">
        <v>47664</v>
      </c>
      <c r="C938" s="32">
        <f>INDEX('Input Data'!$B:$B,A938)/2+IF(A938&lt;&gt;A939,100,0)</f>
        <v>2.125</v>
      </c>
      <c r="D938" s="33">
        <f>INDEX('ZCB Curve - Payment Dates'!$D$2:$D$246,MATCH(B938,'ZCB Curve - Payment Dates'!$A$2:$A$246,0))</f>
        <v>0.84293550634880554</v>
      </c>
      <c r="E938" s="32">
        <f t="shared" si="14"/>
        <v>1.7912379509912117</v>
      </c>
    </row>
    <row r="939" spans="1:5" x14ac:dyDescent="0.25">
      <c r="A939" s="17">
        <v>203</v>
      </c>
      <c r="B939" s="31">
        <v>47848</v>
      </c>
      <c r="C939" s="32">
        <f>INDEX('Input Data'!$B:$B,A939)/2+IF(A939&lt;&gt;A940,100,0)</f>
        <v>2.125</v>
      </c>
      <c r="D939" s="33">
        <f>INDEX('ZCB Curve - Payment Dates'!$D$2:$D$246,MATCH(B939,'ZCB Curve - Payment Dates'!$A$2:$A$246,0))</f>
        <v>0.82344362073276389</v>
      </c>
      <c r="E939" s="32">
        <f t="shared" si="14"/>
        <v>1.7498176940571233</v>
      </c>
    </row>
    <row r="940" spans="1:5" x14ac:dyDescent="0.25">
      <c r="A940" s="17">
        <v>203</v>
      </c>
      <c r="B940" s="31">
        <v>48029</v>
      </c>
      <c r="C940" s="32">
        <f>INDEX('Input Data'!$B:$B,A940)/2+IF(A940&lt;&gt;A941,100,0)</f>
        <v>102.125</v>
      </c>
      <c r="D940" s="33">
        <f>INDEX('ZCB Curve - Payment Dates'!$D$2:$D$246,MATCH(B940,'ZCB Curve - Payment Dates'!$A$2:$A$246,0))</f>
        <v>0.80464756354162947</v>
      </c>
      <c r="E940" s="32">
        <f t="shared" si="14"/>
        <v>82.174632426688916</v>
      </c>
    </row>
    <row r="941" spans="1:5" x14ac:dyDescent="0.25">
      <c r="A941" s="17">
        <v>204</v>
      </c>
      <c r="B941" s="31">
        <v>46418</v>
      </c>
      <c r="C941" s="32">
        <f>INDEX('Input Data'!$B:$B,A941)/2+IF(A941&lt;&gt;A942,100,0)</f>
        <v>2.0625</v>
      </c>
      <c r="D941" s="33">
        <f>INDEX('ZCB Curve - Payment Dates'!$D$2:$D$246,MATCH(B941,'ZCB Curve - Payment Dates'!$A$2:$A$246,0))</f>
        <v>0.98408668818349121</v>
      </c>
      <c r="E941" s="32">
        <f t="shared" si="14"/>
        <v>2.0296787943784507</v>
      </c>
    </row>
    <row r="942" spans="1:5" x14ac:dyDescent="0.25">
      <c r="A942" s="17">
        <v>204</v>
      </c>
      <c r="B942" s="31">
        <v>46599</v>
      </c>
      <c r="C942" s="32">
        <f>INDEX('Input Data'!$B:$B,A942)/2+IF(A942&lt;&gt;A943,100,0)</f>
        <v>2.0625</v>
      </c>
      <c r="D942" s="33">
        <f>INDEX('ZCB Curve - Payment Dates'!$D$2:$D$246,MATCH(B942,'ZCB Curve - Payment Dates'!$A$2:$A$246,0))</f>
        <v>0.96360931883583933</v>
      </c>
      <c r="E942" s="32">
        <f t="shared" si="14"/>
        <v>1.9874442200989186</v>
      </c>
    </row>
    <row r="943" spans="1:5" x14ac:dyDescent="0.25">
      <c r="A943" s="17">
        <v>204</v>
      </c>
      <c r="B943" s="31">
        <v>46783</v>
      </c>
      <c r="C943" s="32">
        <f>INDEX('Input Data'!$B:$B,A943)/2+IF(A943&lt;&gt;A944,100,0)</f>
        <v>2.0625</v>
      </c>
      <c r="D943" s="33">
        <f>INDEX('ZCB Curve - Payment Dates'!$D$2:$D$246,MATCH(B943,'ZCB Curve - Payment Dates'!$A$2:$A$246,0))</f>
        <v>0.94224051785347052</v>
      </c>
      <c r="E943" s="32">
        <f t="shared" si="14"/>
        <v>1.9433710680727829</v>
      </c>
    </row>
    <row r="944" spans="1:5" x14ac:dyDescent="0.25">
      <c r="A944" s="17">
        <v>204</v>
      </c>
      <c r="B944" s="31">
        <v>46965</v>
      </c>
      <c r="C944" s="32">
        <f>INDEX('Input Data'!$B:$B,A944)/2+IF(A944&lt;&gt;A945,100,0)</f>
        <v>2.0625</v>
      </c>
      <c r="D944" s="33">
        <f>INDEX('ZCB Curve - Payment Dates'!$D$2:$D$246,MATCH(B944,'ZCB Curve - Payment Dates'!$A$2:$A$246,0))</f>
        <v>0.92105657743562108</v>
      </c>
      <c r="E944" s="32">
        <f t="shared" si="14"/>
        <v>1.8996791909609685</v>
      </c>
    </row>
    <row r="945" spans="1:5" x14ac:dyDescent="0.25">
      <c r="A945" s="17">
        <v>204</v>
      </c>
      <c r="B945" s="31">
        <v>47149</v>
      </c>
      <c r="C945" s="32">
        <f>INDEX('Input Data'!$B:$B,A945)/2+IF(A945&lt;&gt;A946,100,0)</f>
        <v>2.0625</v>
      </c>
      <c r="D945" s="33">
        <f>INDEX('ZCB Curve - Payment Dates'!$D$2:$D$246,MATCH(B945,'ZCB Curve - Payment Dates'!$A$2:$A$246,0))</f>
        <v>0.89988368588562773</v>
      </c>
      <c r="E945" s="32">
        <f t="shared" si="14"/>
        <v>1.8560101021391071</v>
      </c>
    </row>
    <row r="946" spans="1:5" x14ac:dyDescent="0.25">
      <c r="A946" s="17">
        <v>204</v>
      </c>
      <c r="B946" s="31">
        <v>47330</v>
      </c>
      <c r="C946" s="32">
        <f>INDEX('Input Data'!$B:$B,A946)/2+IF(A946&lt;&gt;A947,100,0)</f>
        <v>2.0625</v>
      </c>
      <c r="D946" s="33">
        <f>INDEX('ZCB Curve - Payment Dates'!$D$2:$D$246,MATCH(B946,'ZCB Curve - Payment Dates'!$A$2:$A$246,0))</f>
        <v>0.87945764483737499</v>
      </c>
      <c r="E946" s="32">
        <f t="shared" si="14"/>
        <v>1.8138813924770858</v>
      </c>
    </row>
    <row r="947" spans="1:5" x14ac:dyDescent="0.25">
      <c r="A947" s="17">
        <v>204</v>
      </c>
      <c r="B947" s="31">
        <v>47514</v>
      </c>
      <c r="C947" s="32">
        <f>INDEX('Input Data'!$B:$B,A947)/2+IF(A947&lt;&gt;A948,100,0)</f>
        <v>2.0625</v>
      </c>
      <c r="D947" s="33">
        <f>INDEX('ZCB Curve - Payment Dates'!$D$2:$D$246,MATCH(B947,'ZCB Curve - Payment Dates'!$A$2:$A$246,0))</f>
        <v>0.8591452031111062</v>
      </c>
      <c r="E947" s="32">
        <f t="shared" si="14"/>
        <v>1.7719869814166564</v>
      </c>
    </row>
    <row r="948" spans="1:5" x14ac:dyDescent="0.25">
      <c r="A948" s="17">
        <v>204</v>
      </c>
      <c r="B948" s="31">
        <v>47695</v>
      </c>
      <c r="C948" s="32">
        <f>INDEX('Input Data'!$B:$B,A948)/2+IF(A948&lt;&gt;A949,100,0)</f>
        <v>2.0625</v>
      </c>
      <c r="D948" s="33">
        <f>INDEX('ZCB Curve - Payment Dates'!$D$2:$D$246,MATCH(B948,'ZCB Curve - Payment Dates'!$A$2:$A$246,0))</f>
        <v>0.83962327815837468</v>
      </c>
      <c r="E948" s="32">
        <f t="shared" si="14"/>
        <v>1.7317230112016477</v>
      </c>
    </row>
    <row r="949" spans="1:5" x14ac:dyDescent="0.25">
      <c r="A949" s="17">
        <v>204</v>
      </c>
      <c r="B949" s="31">
        <v>47879</v>
      </c>
      <c r="C949" s="32">
        <f>INDEX('Input Data'!$B:$B,A949)/2+IF(A949&lt;&gt;A950,100,0)</f>
        <v>2.0625</v>
      </c>
      <c r="D949" s="33">
        <f>INDEX('ZCB Curve - Payment Dates'!$D$2:$D$246,MATCH(B949,'ZCB Curve - Payment Dates'!$A$2:$A$246,0))</f>
        <v>0.82019666458416451</v>
      </c>
      <c r="E949" s="32">
        <f t="shared" si="14"/>
        <v>1.6916556207048392</v>
      </c>
    </row>
    <row r="950" spans="1:5" x14ac:dyDescent="0.25">
      <c r="A950" s="17">
        <v>204</v>
      </c>
      <c r="B950" s="31">
        <v>48060</v>
      </c>
      <c r="C950" s="32">
        <f>INDEX('Input Data'!$B:$B,A950)/2+IF(A950&lt;&gt;A951,100,0)</f>
        <v>102.0625</v>
      </c>
      <c r="D950" s="33">
        <f>INDEX('ZCB Curve - Payment Dates'!$D$2:$D$246,MATCH(B950,'ZCB Curve - Payment Dates'!$A$2:$A$246,0))</f>
        <v>0.80146338329804601</v>
      </c>
      <c r="E950" s="32">
        <f t="shared" si="14"/>
        <v>81.799356557856825</v>
      </c>
    </row>
    <row r="951" spans="1:5" x14ac:dyDescent="0.25">
      <c r="A951" s="17">
        <v>205</v>
      </c>
      <c r="B951" s="31">
        <v>46418</v>
      </c>
      <c r="C951" s="32">
        <f>INDEX('Input Data'!$B:$B,A951)/2+IF(A951&lt;&gt;A952,100,0)</f>
        <v>2.1875</v>
      </c>
      <c r="D951" s="33">
        <f>INDEX('ZCB Curve - Payment Dates'!$D$2:$D$246,MATCH(B951,'ZCB Curve - Payment Dates'!$A$2:$A$246,0))</f>
        <v>0.98408668818349121</v>
      </c>
      <c r="E951" s="32">
        <f t="shared" si="14"/>
        <v>2.1526896304013872</v>
      </c>
    </row>
    <row r="952" spans="1:5" x14ac:dyDescent="0.25">
      <c r="A952" s="17">
        <v>205</v>
      </c>
      <c r="B952" s="31">
        <v>46599</v>
      </c>
      <c r="C952" s="32">
        <f>INDEX('Input Data'!$B:$B,A952)/2+IF(A952&lt;&gt;A953,100,0)</f>
        <v>2.1875</v>
      </c>
      <c r="D952" s="33">
        <f>INDEX('ZCB Curve - Payment Dates'!$D$2:$D$246,MATCH(B952,'ZCB Curve - Payment Dates'!$A$2:$A$246,0))</f>
        <v>0.96360931883583933</v>
      </c>
      <c r="E952" s="32">
        <f t="shared" si="14"/>
        <v>2.1078953849533986</v>
      </c>
    </row>
    <row r="953" spans="1:5" x14ac:dyDescent="0.25">
      <c r="A953" s="17">
        <v>205</v>
      </c>
      <c r="B953" s="31">
        <v>46783</v>
      </c>
      <c r="C953" s="32">
        <f>INDEX('Input Data'!$B:$B,A953)/2+IF(A953&lt;&gt;A954,100,0)</f>
        <v>2.1875</v>
      </c>
      <c r="D953" s="33">
        <f>INDEX('ZCB Curve - Payment Dates'!$D$2:$D$246,MATCH(B953,'ZCB Curve - Payment Dates'!$A$2:$A$246,0))</f>
        <v>0.94224051785347052</v>
      </c>
      <c r="E953" s="32">
        <f t="shared" si="14"/>
        <v>2.0611511328044667</v>
      </c>
    </row>
    <row r="954" spans="1:5" x14ac:dyDescent="0.25">
      <c r="A954" s="17">
        <v>205</v>
      </c>
      <c r="B954" s="31">
        <v>46965</v>
      </c>
      <c r="C954" s="32">
        <f>INDEX('Input Data'!$B:$B,A954)/2+IF(A954&lt;&gt;A955,100,0)</f>
        <v>2.1875</v>
      </c>
      <c r="D954" s="33">
        <f>INDEX('ZCB Curve - Payment Dates'!$D$2:$D$246,MATCH(B954,'ZCB Curve - Payment Dates'!$A$2:$A$246,0))</f>
        <v>0.92105657743562108</v>
      </c>
      <c r="E954" s="32">
        <f t="shared" si="14"/>
        <v>2.0148112631404209</v>
      </c>
    </row>
    <row r="955" spans="1:5" x14ac:dyDescent="0.25">
      <c r="A955" s="17">
        <v>205</v>
      </c>
      <c r="B955" s="31">
        <v>47149</v>
      </c>
      <c r="C955" s="32">
        <f>INDEX('Input Data'!$B:$B,A955)/2+IF(A955&lt;&gt;A956,100,0)</f>
        <v>2.1875</v>
      </c>
      <c r="D955" s="33">
        <f>INDEX('ZCB Curve - Payment Dates'!$D$2:$D$246,MATCH(B955,'ZCB Curve - Payment Dates'!$A$2:$A$246,0))</f>
        <v>0.89988368588562773</v>
      </c>
      <c r="E955" s="32">
        <f t="shared" si="14"/>
        <v>1.9684955628748106</v>
      </c>
    </row>
    <row r="956" spans="1:5" x14ac:dyDescent="0.25">
      <c r="A956" s="17">
        <v>205</v>
      </c>
      <c r="B956" s="31">
        <v>47330</v>
      </c>
      <c r="C956" s="32">
        <f>INDEX('Input Data'!$B:$B,A956)/2+IF(A956&lt;&gt;A957,100,0)</f>
        <v>2.1875</v>
      </c>
      <c r="D956" s="33">
        <f>INDEX('ZCB Curve - Payment Dates'!$D$2:$D$246,MATCH(B956,'ZCB Curve - Payment Dates'!$A$2:$A$246,0))</f>
        <v>0.87945764483737499</v>
      </c>
      <c r="E956" s="32">
        <f t="shared" si="14"/>
        <v>1.9238135980817579</v>
      </c>
    </row>
    <row r="957" spans="1:5" x14ac:dyDescent="0.25">
      <c r="A957" s="17">
        <v>205</v>
      </c>
      <c r="B957" s="31">
        <v>47514</v>
      </c>
      <c r="C957" s="32">
        <f>INDEX('Input Data'!$B:$B,A957)/2+IF(A957&lt;&gt;A958,100,0)</f>
        <v>2.1875</v>
      </c>
      <c r="D957" s="33">
        <f>INDEX('ZCB Curve - Payment Dates'!$D$2:$D$246,MATCH(B957,'ZCB Curve - Payment Dates'!$A$2:$A$246,0))</f>
        <v>0.8591452031111062</v>
      </c>
      <c r="E957" s="32">
        <f t="shared" si="14"/>
        <v>1.8793801318055448</v>
      </c>
    </row>
    <row r="958" spans="1:5" x14ac:dyDescent="0.25">
      <c r="A958" s="17">
        <v>205</v>
      </c>
      <c r="B958" s="31">
        <v>47695</v>
      </c>
      <c r="C958" s="32">
        <f>INDEX('Input Data'!$B:$B,A958)/2+IF(A958&lt;&gt;A959,100,0)</f>
        <v>2.1875</v>
      </c>
      <c r="D958" s="33">
        <f>INDEX('ZCB Curve - Payment Dates'!$D$2:$D$246,MATCH(B958,'ZCB Curve - Payment Dates'!$A$2:$A$246,0))</f>
        <v>0.83962327815837468</v>
      </c>
      <c r="E958" s="32">
        <f t="shared" si="14"/>
        <v>1.8366759209714445</v>
      </c>
    </row>
    <row r="959" spans="1:5" x14ac:dyDescent="0.25">
      <c r="A959" s="17">
        <v>205</v>
      </c>
      <c r="B959" s="31">
        <v>47879</v>
      </c>
      <c r="C959" s="32">
        <f>INDEX('Input Data'!$B:$B,A959)/2+IF(A959&lt;&gt;A960,100,0)</f>
        <v>2.1875</v>
      </c>
      <c r="D959" s="33">
        <f>INDEX('ZCB Curve - Payment Dates'!$D$2:$D$246,MATCH(B959,'ZCB Curve - Payment Dates'!$A$2:$A$246,0))</f>
        <v>0.82019666458416451</v>
      </c>
      <c r="E959" s="32">
        <f t="shared" si="14"/>
        <v>1.7941802037778598</v>
      </c>
    </row>
    <row r="960" spans="1:5" x14ac:dyDescent="0.25">
      <c r="A960" s="17">
        <v>205</v>
      </c>
      <c r="B960" s="31">
        <v>48060</v>
      </c>
      <c r="C960" s="32">
        <f>INDEX('Input Data'!$B:$B,A960)/2+IF(A960&lt;&gt;A961,100,0)</f>
        <v>102.1875</v>
      </c>
      <c r="D960" s="33">
        <f>INDEX('ZCB Curve - Payment Dates'!$D$2:$D$246,MATCH(B960,'ZCB Curve - Payment Dates'!$A$2:$A$246,0))</f>
        <v>0.80146338329804601</v>
      </c>
      <c r="E960" s="32">
        <f t="shared" si="14"/>
        <v>81.899539480769079</v>
      </c>
    </row>
    <row r="961" spans="1:5" x14ac:dyDescent="0.25">
      <c r="A961" s="17">
        <v>206</v>
      </c>
      <c r="B961" s="31">
        <v>46433</v>
      </c>
      <c r="C961" s="32">
        <f>INDEX('Input Data'!$B:$B,A961)/2+IF(A961&lt;&gt;A962,100,0)</f>
        <v>0.625</v>
      </c>
      <c r="D961" s="33">
        <f>INDEX('ZCB Curve - Payment Dates'!$D$2:$D$246,MATCH(B961,'ZCB Curve - Payment Dates'!$A$2:$A$246,0))</f>
        <v>0.98242671792446301</v>
      </c>
      <c r="E961" s="32">
        <f t="shared" si="14"/>
        <v>0.61401669870278941</v>
      </c>
    </row>
    <row r="962" spans="1:5" x14ac:dyDescent="0.25">
      <c r="A962" s="17">
        <v>206</v>
      </c>
      <c r="B962" s="31">
        <v>46614</v>
      </c>
      <c r="C962" s="32">
        <f>INDEX('Input Data'!$B:$B,A962)/2+IF(A962&lt;&gt;A963,100,0)</f>
        <v>0.625</v>
      </c>
      <c r="D962" s="33">
        <f>INDEX('ZCB Curve - Payment Dates'!$D$2:$D$246,MATCH(B962,'ZCB Curve - Payment Dates'!$A$2:$A$246,0))</f>
        <v>0.96187948164765535</v>
      </c>
      <c r="E962" s="32">
        <f t="shared" ref="E962:E1025" si="15">C962*D962</f>
        <v>0.60117467602978458</v>
      </c>
    </row>
    <row r="963" spans="1:5" x14ac:dyDescent="0.25">
      <c r="A963" s="17">
        <v>206</v>
      </c>
      <c r="B963" s="31">
        <v>46798</v>
      </c>
      <c r="C963" s="32">
        <f>INDEX('Input Data'!$B:$B,A963)/2+IF(A963&lt;&gt;A964,100,0)</f>
        <v>0.625</v>
      </c>
      <c r="D963" s="33">
        <f>INDEX('ZCB Curve - Payment Dates'!$D$2:$D$246,MATCH(B963,'ZCB Curve - Payment Dates'!$A$2:$A$246,0))</f>
        <v>0.94049096132648802</v>
      </c>
      <c r="E963" s="32">
        <f t="shared" si="15"/>
        <v>0.58780685082905504</v>
      </c>
    </row>
    <row r="964" spans="1:5" x14ac:dyDescent="0.25">
      <c r="A964" s="17">
        <v>206</v>
      </c>
      <c r="B964" s="31">
        <v>46980</v>
      </c>
      <c r="C964" s="32">
        <f>INDEX('Input Data'!$B:$B,A964)/2+IF(A964&lt;&gt;A965,100,0)</f>
        <v>0.625</v>
      </c>
      <c r="D964" s="33">
        <f>INDEX('ZCB Curve - Payment Dates'!$D$2:$D$246,MATCH(B964,'ZCB Curve - Payment Dates'!$A$2:$A$246,0))</f>
        <v>0.91931844130238327</v>
      </c>
      <c r="E964" s="32">
        <f t="shared" si="15"/>
        <v>0.57457402581398953</v>
      </c>
    </row>
    <row r="965" spans="1:5" x14ac:dyDescent="0.25">
      <c r="A965" s="17">
        <v>206</v>
      </c>
      <c r="B965" s="31">
        <v>47164</v>
      </c>
      <c r="C965" s="32">
        <f>INDEX('Input Data'!$B:$B,A965)/2+IF(A965&lt;&gt;A966,100,0)</f>
        <v>0.625</v>
      </c>
      <c r="D965" s="33">
        <f>INDEX('ZCB Curve - Payment Dates'!$D$2:$D$246,MATCH(B965,'ZCB Curve - Payment Dates'!$A$2:$A$246,0))</f>
        <v>0.89817430058086534</v>
      </c>
      <c r="E965" s="32">
        <f t="shared" si="15"/>
        <v>0.56135893786304081</v>
      </c>
    </row>
    <row r="966" spans="1:5" x14ac:dyDescent="0.25">
      <c r="A966" s="17">
        <v>206</v>
      </c>
      <c r="B966" s="31">
        <v>47345</v>
      </c>
      <c r="C966" s="32">
        <f>INDEX('Input Data'!$B:$B,A966)/2+IF(A966&lt;&gt;A967,100,0)</f>
        <v>0.625</v>
      </c>
      <c r="D966" s="33">
        <f>INDEX('ZCB Curve - Payment Dates'!$D$2:$D$246,MATCH(B966,'ZCB Curve - Payment Dates'!$A$2:$A$246,0))</f>
        <v>0.87778421628860481</v>
      </c>
      <c r="E966" s="32">
        <f t="shared" si="15"/>
        <v>0.54861513518037797</v>
      </c>
    </row>
    <row r="967" spans="1:5" x14ac:dyDescent="0.25">
      <c r="A967" s="17">
        <v>206</v>
      </c>
      <c r="B967" s="31">
        <v>47529</v>
      </c>
      <c r="C967" s="32">
        <f>INDEX('Input Data'!$B:$B,A967)/2+IF(A967&lt;&gt;A968,100,0)</f>
        <v>0.625</v>
      </c>
      <c r="D967" s="33">
        <f>INDEX('ZCB Curve - Payment Dates'!$D$2:$D$246,MATCH(B967,'ZCB Curve - Payment Dates'!$A$2:$A$246,0))</f>
        <v>0.85751015570959666</v>
      </c>
      <c r="E967" s="32">
        <f t="shared" si="15"/>
        <v>0.53594384731849787</v>
      </c>
    </row>
    <row r="968" spans="1:5" x14ac:dyDescent="0.25">
      <c r="A968" s="17">
        <v>206</v>
      </c>
      <c r="B968" s="31">
        <v>47710</v>
      </c>
      <c r="C968" s="32">
        <f>INDEX('Input Data'!$B:$B,A968)/2+IF(A968&lt;&gt;A969,100,0)</f>
        <v>0.625</v>
      </c>
      <c r="D968" s="33">
        <f>INDEX('ZCB Curve - Payment Dates'!$D$2:$D$246,MATCH(B968,'ZCB Curve - Payment Dates'!$A$2:$A$246,0))</f>
        <v>0.83802423748211174</v>
      </c>
      <c r="E968" s="32">
        <f t="shared" si="15"/>
        <v>0.52376514842631983</v>
      </c>
    </row>
    <row r="969" spans="1:5" x14ac:dyDescent="0.25">
      <c r="A969" s="17">
        <v>206</v>
      </c>
      <c r="B969" s="31">
        <v>47894</v>
      </c>
      <c r="C969" s="32">
        <f>INDEX('Input Data'!$B:$B,A969)/2+IF(A969&lt;&gt;A970,100,0)</f>
        <v>0.625</v>
      </c>
      <c r="D969" s="33">
        <f>INDEX('ZCB Curve - Payment Dates'!$D$2:$D$246,MATCH(B969,'ZCB Curve - Payment Dates'!$A$2:$A$246,0))</f>
        <v>0.8186305474741673</v>
      </c>
      <c r="E969" s="32">
        <f t="shared" si="15"/>
        <v>0.51164409217135454</v>
      </c>
    </row>
    <row r="970" spans="1:5" x14ac:dyDescent="0.25">
      <c r="A970" s="17">
        <v>206</v>
      </c>
      <c r="B970" s="31">
        <v>48075</v>
      </c>
      <c r="C970" s="32">
        <f>INDEX('Input Data'!$B:$B,A970)/2+IF(A970&lt;&gt;A971,100,0)</f>
        <v>100.625</v>
      </c>
      <c r="D970" s="33">
        <f>INDEX('ZCB Curve - Payment Dates'!$D$2:$D$246,MATCH(B970,'ZCB Curve - Payment Dates'!$A$2:$A$246,0))</f>
        <v>0.7999252334775927</v>
      </c>
      <c r="E970" s="32">
        <f t="shared" si="15"/>
        <v>80.492476618682772</v>
      </c>
    </row>
    <row r="971" spans="1:5" x14ac:dyDescent="0.25">
      <c r="A971" s="17">
        <v>207</v>
      </c>
      <c r="B971" s="31">
        <v>46446</v>
      </c>
      <c r="C971" s="32">
        <f>INDEX('Input Data'!$B:$B,A971)/2+IF(A971&lt;&gt;A972,100,0)</f>
        <v>1.875</v>
      </c>
      <c r="D971" s="33">
        <f>INDEX('ZCB Curve - Payment Dates'!$D$2:$D$246,MATCH(B971,'ZCB Curve - Payment Dates'!$A$2:$A$246,0))</f>
        <v>0.98098215746395478</v>
      </c>
      <c r="E971" s="32">
        <f t="shared" si="15"/>
        <v>1.8393415452449151</v>
      </c>
    </row>
    <row r="972" spans="1:5" x14ac:dyDescent="0.25">
      <c r="A972" s="17">
        <v>207</v>
      </c>
      <c r="B972" s="31">
        <v>46630</v>
      </c>
      <c r="C972" s="32">
        <f>INDEX('Input Data'!$B:$B,A972)/2+IF(A972&lt;&gt;A973,100,0)</f>
        <v>1.875</v>
      </c>
      <c r="D972" s="33">
        <f>INDEX('ZCB Curve - Payment Dates'!$D$2:$D$246,MATCH(B972,'ZCB Curve - Payment Dates'!$A$2:$A$246,0))</f>
        <v>0.96003246313192503</v>
      </c>
      <c r="E972" s="32">
        <f t="shared" si="15"/>
        <v>1.8000608683723593</v>
      </c>
    </row>
    <row r="973" spans="1:5" x14ac:dyDescent="0.25">
      <c r="A973" s="17">
        <v>207</v>
      </c>
      <c r="B973" s="31">
        <v>46812</v>
      </c>
      <c r="C973" s="32">
        <f>INDEX('Input Data'!$B:$B,A973)/2+IF(A973&lt;&gt;A974,100,0)</f>
        <v>1.875</v>
      </c>
      <c r="D973" s="33">
        <f>INDEX('ZCB Curve - Payment Dates'!$D$2:$D$246,MATCH(B973,'ZCB Curve - Payment Dates'!$A$2:$A$246,0))</f>
        <v>0.938856338180596</v>
      </c>
      <c r="E973" s="32">
        <f t="shared" si="15"/>
        <v>1.7603556340886175</v>
      </c>
    </row>
    <row r="974" spans="1:5" x14ac:dyDescent="0.25">
      <c r="A974" s="17">
        <v>207</v>
      </c>
      <c r="B974" s="31">
        <v>46996</v>
      </c>
      <c r="C974" s="32">
        <f>INDEX('Input Data'!$B:$B,A974)/2+IF(A974&lt;&gt;A975,100,0)</f>
        <v>1.875</v>
      </c>
      <c r="D974" s="33">
        <f>INDEX('ZCB Curve - Payment Dates'!$D$2:$D$246,MATCH(B974,'ZCB Curve - Payment Dates'!$A$2:$A$246,0))</f>
        <v>0.91746393725908559</v>
      </c>
      <c r="E974" s="32">
        <f t="shared" si="15"/>
        <v>1.7202448823607854</v>
      </c>
    </row>
    <row r="975" spans="1:5" x14ac:dyDescent="0.25">
      <c r="A975" s="17">
        <v>207</v>
      </c>
      <c r="B975" s="31">
        <v>47177</v>
      </c>
      <c r="C975" s="32">
        <f>INDEX('Input Data'!$B:$B,A975)/2+IF(A975&lt;&gt;A976,100,0)</f>
        <v>1.875</v>
      </c>
      <c r="D975" s="33">
        <f>INDEX('ZCB Curve - Payment Dates'!$D$2:$D$246,MATCH(B975,'ZCB Curve - Payment Dates'!$A$2:$A$246,0))</f>
        <v>0.89669591867999909</v>
      </c>
      <c r="E975" s="32">
        <f t="shared" si="15"/>
        <v>1.6813048475249983</v>
      </c>
    </row>
    <row r="976" spans="1:5" x14ac:dyDescent="0.25">
      <c r="A976" s="17">
        <v>207</v>
      </c>
      <c r="B976" s="31">
        <v>47361</v>
      </c>
      <c r="C976" s="32">
        <f>INDEX('Input Data'!$B:$B,A976)/2+IF(A976&lt;&gt;A977,100,0)</f>
        <v>1.875</v>
      </c>
      <c r="D976" s="33">
        <f>INDEX('ZCB Curve - Payment Dates'!$D$2:$D$246,MATCH(B976,'ZCB Curve - Payment Dates'!$A$2:$A$246,0))</f>
        <v>0.87600023126237014</v>
      </c>
      <c r="E976" s="32">
        <f t="shared" si="15"/>
        <v>1.642500433616944</v>
      </c>
    </row>
    <row r="977" spans="1:5" x14ac:dyDescent="0.25">
      <c r="A977" s="17">
        <v>207</v>
      </c>
      <c r="B977" s="31">
        <v>47542</v>
      </c>
      <c r="C977" s="32">
        <f>INDEX('Input Data'!$B:$B,A977)/2+IF(A977&lt;&gt;A978,100,0)</f>
        <v>1.875</v>
      </c>
      <c r="D977" s="33">
        <f>INDEX('ZCB Curve - Payment Dates'!$D$2:$D$246,MATCH(B977,'ZCB Curve - Payment Dates'!$A$2:$A$246,0))</f>
        <v>0.85609640433764933</v>
      </c>
      <c r="E977" s="32">
        <f t="shared" si="15"/>
        <v>1.6051807581330926</v>
      </c>
    </row>
    <row r="978" spans="1:5" x14ac:dyDescent="0.25">
      <c r="A978" s="17">
        <v>207</v>
      </c>
      <c r="B978" s="31">
        <v>47726</v>
      </c>
      <c r="C978" s="32">
        <f>INDEX('Input Data'!$B:$B,A978)/2+IF(A978&lt;&gt;A979,100,0)</f>
        <v>1.875</v>
      </c>
      <c r="D978" s="33">
        <f>INDEX('ZCB Curve - Payment Dates'!$D$2:$D$246,MATCH(B978,'ZCB Curve - Payment Dates'!$A$2:$A$246,0))</f>
        <v>0.8363193958894809</v>
      </c>
      <c r="E978" s="32">
        <f t="shared" si="15"/>
        <v>1.5680988672927767</v>
      </c>
    </row>
    <row r="979" spans="1:5" x14ac:dyDescent="0.25">
      <c r="A979" s="17">
        <v>207</v>
      </c>
      <c r="B979" s="31">
        <v>47907</v>
      </c>
      <c r="C979" s="32">
        <f>INDEX('Input Data'!$B:$B,A979)/2+IF(A979&lt;&gt;A980,100,0)</f>
        <v>1.875</v>
      </c>
      <c r="D979" s="33">
        <f>INDEX('ZCB Curve - Payment Dates'!$D$2:$D$246,MATCH(B979,'ZCB Curve - Payment Dates'!$A$2:$A$246,0))</f>
        <v>0.81727602093980778</v>
      </c>
      <c r="E979" s="32">
        <f t="shared" si="15"/>
        <v>1.5323925392621396</v>
      </c>
    </row>
    <row r="980" spans="1:5" x14ac:dyDescent="0.25">
      <c r="A980" s="17">
        <v>207</v>
      </c>
      <c r="B980" s="31">
        <v>48091</v>
      </c>
      <c r="C980" s="32">
        <f>INDEX('Input Data'!$B:$B,A980)/2+IF(A980&lt;&gt;A981,100,0)</f>
        <v>101.875</v>
      </c>
      <c r="D980" s="33">
        <f>INDEX('ZCB Curve - Payment Dates'!$D$2:$D$246,MATCH(B980,'ZCB Curve - Payment Dates'!$A$2:$A$246,0))</f>
        <v>0.79828463215547174</v>
      </c>
      <c r="E980" s="32">
        <f t="shared" si="15"/>
        <v>81.325246900838678</v>
      </c>
    </row>
    <row r="981" spans="1:5" x14ac:dyDescent="0.25">
      <c r="A981" s="17">
        <v>208</v>
      </c>
      <c r="B981" s="31">
        <v>46446</v>
      </c>
      <c r="C981" s="32">
        <f>INDEX('Input Data'!$B:$B,A981)/2+IF(A981&lt;&gt;A982,100,0)</f>
        <v>2.1875</v>
      </c>
      <c r="D981" s="33">
        <f>INDEX('ZCB Curve - Payment Dates'!$D$2:$D$246,MATCH(B981,'ZCB Curve - Payment Dates'!$A$2:$A$246,0))</f>
        <v>0.98098215746395478</v>
      </c>
      <c r="E981" s="32">
        <f t="shared" si="15"/>
        <v>2.1458984694524013</v>
      </c>
    </row>
    <row r="982" spans="1:5" x14ac:dyDescent="0.25">
      <c r="A982" s="17">
        <v>208</v>
      </c>
      <c r="B982" s="31">
        <v>46630</v>
      </c>
      <c r="C982" s="32">
        <f>INDEX('Input Data'!$B:$B,A982)/2+IF(A982&lt;&gt;A983,100,0)</f>
        <v>2.1875</v>
      </c>
      <c r="D982" s="33">
        <f>INDEX('ZCB Curve - Payment Dates'!$D$2:$D$246,MATCH(B982,'ZCB Curve - Payment Dates'!$A$2:$A$246,0))</f>
        <v>0.96003246313192503</v>
      </c>
      <c r="E982" s="32">
        <f t="shared" si="15"/>
        <v>2.1000710131010858</v>
      </c>
    </row>
    <row r="983" spans="1:5" x14ac:dyDescent="0.25">
      <c r="A983" s="17">
        <v>208</v>
      </c>
      <c r="B983" s="31">
        <v>46812</v>
      </c>
      <c r="C983" s="32">
        <f>INDEX('Input Data'!$B:$B,A983)/2+IF(A983&lt;&gt;A984,100,0)</f>
        <v>2.1875</v>
      </c>
      <c r="D983" s="33">
        <f>INDEX('ZCB Curve - Payment Dates'!$D$2:$D$246,MATCH(B983,'ZCB Curve - Payment Dates'!$A$2:$A$246,0))</f>
        <v>0.938856338180596</v>
      </c>
      <c r="E983" s="32">
        <f t="shared" si="15"/>
        <v>2.0537482397700537</v>
      </c>
    </row>
    <row r="984" spans="1:5" x14ac:dyDescent="0.25">
      <c r="A984" s="17">
        <v>208</v>
      </c>
      <c r="B984" s="31">
        <v>46996</v>
      </c>
      <c r="C984" s="32">
        <f>INDEX('Input Data'!$B:$B,A984)/2+IF(A984&lt;&gt;A985,100,0)</f>
        <v>2.1875</v>
      </c>
      <c r="D984" s="33">
        <f>INDEX('ZCB Curve - Payment Dates'!$D$2:$D$246,MATCH(B984,'ZCB Curve - Payment Dates'!$A$2:$A$246,0))</f>
        <v>0.91746393725908559</v>
      </c>
      <c r="E984" s="32">
        <f t="shared" si="15"/>
        <v>2.0069523627542498</v>
      </c>
    </row>
    <row r="985" spans="1:5" x14ac:dyDescent="0.25">
      <c r="A985" s="17">
        <v>208</v>
      </c>
      <c r="B985" s="31">
        <v>47177</v>
      </c>
      <c r="C985" s="32">
        <f>INDEX('Input Data'!$B:$B,A985)/2+IF(A985&lt;&gt;A986,100,0)</f>
        <v>2.1875</v>
      </c>
      <c r="D985" s="33">
        <f>INDEX('ZCB Curve - Payment Dates'!$D$2:$D$246,MATCH(B985,'ZCB Curve - Payment Dates'!$A$2:$A$246,0))</f>
        <v>0.89669591867999909</v>
      </c>
      <c r="E985" s="32">
        <f t="shared" si="15"/>
        <v>1.961522322112498</v>
      </c>
    </row>
    <row r="986" spans="1:5" x14ac:dyDescent="0.25">
      <c r="A986" s="17">
        <v>208</v>
      </c>
      <c r="B986" s="31">
        <v>47361</v>
      </c>
      <c r="C986" s="32">
        <f>INDEX('Input Data'!$B:$B,A986)/2+IF(A986&lt;&gt;A987,100,0)</f>
        <v>2.1875</v>
      </c>
      <c r="D986" s="33">
        <f>INDEX('ZCB Curve - Payment Dates'!$D$2:$D$246,MATCH(B986,'ZCB Curve - Payment Dates'!$A$2:$A$246,0))</f>
        <v>0.87600023126237014</v>
      </c>
      <c r="E986" s="32">
        <f t="shared" si="15"/>
        <v>1.9162505058864348</v>
      </c>
    </row>
    <row r="987" spans="1:5" x14ac:dyDescent="0.25">
      <c r="A987" s="17">
        <v>208</v>
      </c>
      <c r="B987" s="31">
        <v>47542</v>
      </c>
      <c r="C987" s="32">
        <f>INDEX('Input Data'!$B:$B,A987)/2+IF(A987&lt;&gt;A988,100,0)</f>
        <v>2.1875</v>
      </c>
      <c r="D987" s="33">
        <f>INDEX('ZCB Curve - Payment Dates'!$D$2:$D$246,MATCH(B987,'ZCB Curve - Payment Dates'!$A$2:$A$246,0))</f>
        <v>0.85609640433764933</v>
      </c>
      <c r="E987" s="32">
        <f t="shared" si="15"/>
        <v>1.872710884488608</v>
      </c>
    </row>
    <row r="988" spans="1:5" x14ac:dyDescent="0.25">
      <c r="A988" s="17">
        <v>208</v>
      </c>
      <c r="B988" s="31">
        <v>47726</v>
      </c>
      <c r="C988" s="32">
        <f>INDEX('Input Data'!$B:$B,A988)/2+IF(A988&lt;&gt;A989,100,0)</f>
        <v>2.1875</v>
      </c>
      <c r="D988" s="33">
        <f>INDEX('ZCB Curve - Payment Dates'!$D$2:$D$246,MATCH(B988,'ZCB Curve - Payment Dates'!$A$2:$A$246,0))</f>
        <v>0.8363193958894809</v>
      </c>
      <c r="E988" s="32">
        <f t="shared" si="15"/>
        <v>1.8294486785082396</v>
      </c>
    </row>
    <row r="989" spans="1:5" x14ac:dyDescent="0.25">
      <c r="A989" s="17">
        <v>208</v>
      </c>
      <c r="B989" s="31">
        <v>47907</v>
      </c>
      <c r="C989" s="32">
        <f>INDEX('Input Data'!$B:$B,A989)/2+IF(A989&lt;&gt;A990,100,0)</f>
        <v>2.1875</v>
      </c>
      <c r="D989" s="33">
        <f>INDEX('ZCB Curve - Payment Dates'!$D$2:$D$246,MATCH(B989,'ZCB Curve - Payment Dates'!$A$2:$A$246,0))</f>
        <v>0.81727602093980778</v>
      </c>
      <c r="E989" s="32">
        <f t="shared" si="15"/>
        <v>1.7877912958058295</v>
      </c>
    </row>
    <row r="990" spans="1:5" x14ac:dyDescent="0.25">
      <c r="A990" s="17">
        <v>208</v>
      </c>
      <c r="B990" s="31">
        <v>48091</v>
      </c>
      <c r="C990" s="32">
        <f>INDEX('Input Data'!$B:$B,A990)/2+IF(A990&lt;&gt;A991,100,0)</f>
        <v>102.1875</v>
      </c>
      <c r="D990" s="33">
        <f>INDEX('ZCB Curve - Payment Dates'!$D$2:$D$246,MATCH(B990,'ZCB Curve - Payment Dates'!$A$2:$A$246,0))</f>
        <v>0.79828463215547174</v>
      </c>
      <c r="E990" s="32">
        <f t="shared" si="15"/>
        <v>81.574710848387269</v>
      </c>
    </row>
    <row r="991" spans="1:5" x14ac:dyDescent="0.25">
      <c r="A991" s="17">
        <v>209</v>
      </c>
      <c r="B991" s="31">
        <v>46295</v>
      </c>
      <c r="C991" s="32">
        <f>INDEX('Input Data'!$B:$B,A991)/2+IF(A991&lt;&gt;A992,100,0)</f>
        <v>1.8125</v>
      </c>
      <c r="D991" s="33">
        <f>INDEX('ZCB Curve - Payment Dates'!$D$2:$D$246,MATCH(B991,'ZCB Curve - Payment Dates'!$A$2:$A$246,0))</f>
        <v>0.9973127951237063</v>
      </c>
      <c r="E991" s="32">
        <f t="shared" si="15"/>
        <v>1.8076294411617178</v>
      </c>
    </row>
    <row r="992" spans="1:5" x14ac:dyDescent="0.25">
      <c r="A992" s="17">
        <v>209</v>
      </c>
      <c r="B992" s="31">
        <v>46477</v>
      </c>
      <c r="C992" s="32">
        <f>INDEX('Input Data'!$B:$B,A992)/2+IF(A992&lt;&gt;A993,100,0)</f>
        <v>1.8125</v>
      </c>
      <c r="D992" s="33">
        <f>INDEX('ZCB Curve - Payment Dates'!$D$2:$D$246,MATCH(B992,'ZCB Curve - Payment Dates'!$A$2:$A$246,0))</f>
        <v>0.97750981974188245</v>
      </c>
      <c r="E992" s="32">
        <f t="shared" si="15"/>
        <v>1.7717365482821619</v>
      </c>
    </row>
    <row r="993" spans="1:5" x14ac:dyDescent="0.25">
      <c r="A993" s="17">
        <v>209</v>
      </c>
      <c r="B993" s="31">
        <v>46660</v>
      </c>
      <c r="C993" s="32">
        <f>INDEX('Input Data'!$B:$B,A993)/2+IF(A993&lt;&gt;A994,100,0)</f>
        <v>1.8125</v>
      </c>
      <c r="D993" s="33">
        <f>INDEX('ZCB Curve - Payment Dates'!$D$2:$D$246,MATCH(B993,'ZCB Curve - Payment Dates'!$A$2:$A$246,0))</f>
        <v>0.95655761994841249</v>
      </c>
      <c r="E993" s="32">
        <f t="shared" si="15"/>
        <v>1.7337606861564976</v>
      </c>
    </row>
    <row r="994" spans="1:5" x14ac:dyDescent="0.25">
      <c r="A994" s="17">
        <v>209</v>
      </c>
      <c r="B994" s="31">
        <v>46843</v>
      </c>
      <c r="C994" s="32">
        <f>INDEX('Input Data'!$B:$B,A994)/2+IF(A994&lt;&gt;A995,100,0)</f>
        <v>1.8125</v>
      </c>
      <c r="D994" s="33">
        <f>INDEX('ZCB Curve - Payment Dates'!$D$2:$D$246,MATCH(B994,'ZCB Curve - Payment Dates'!$A$2:$A$246,0))</f>
        <v>0.93524308702159842</v>
      </c>
      <c r="E994" s="32">
        <f t="shared" si="15"/>
        <v>1.6951280952266472</v>
      </c>
    </row>
    <row r="995" spans="1:5" x14ac:dyDescent="0.25">
      <c r="A995" s="17">
        <v>209</v>
      </c>
      <c r="B995" s="31">
        <v>47026</v>
      </c>
      <c r="C995" s="32">
        <f>INDEX('Input Data'!$B:$B,A995)/2+IF(A995&lt;&gt;A996,100,0)</f>
        <v>1.8125</v>
      </c>
      <c r="D995" s="33">
        <f>INDEX('ZCB Curve - Payment Dates'!$D$2:$D$246,MATCH(B995,'ZCB Curve - Payment Dates'!$A$2:$A$246,0))</f>
        <v>0.91399761223542642</v>
      </c>
      <c r="E995" s="32">
        <f t="shared" si="15"/>
        <v>1.6566206721767103</v>
      </c>
    </row>
    <row r="996" spans="1:5" x14ac:dyDescent="0.25">
      <c r="A996" s="17">
        <v>209</v>
      </c>
      <c r="B996" s="31">
        <v>47208</v>
      </c>
      <c r="C996" s="32">
        <f>INDEX('Input Data'!$B:$B,A996)/2+IF(A996&lt;&gt;A997,100,0)</f>
        <v>1.8125</v>
      </c>
      <c r="D996" s="33">
        <f>INDEX('ZCB Curve - Payment Dates'!$D$2:$D$246,MATCH(B996,'ZCB Curve - Payment Dates'!$A$2:$A$246,0))</f>
        <v>0.89317885092878757</v>
      </c>
      <c r="E996" s="32">
        <f t="shared" si="15"/>
        <v>1.6188866673084275</v>
      </c>
    </row>
    <row r="997" spans="1:5" x14ac:dyDescent="0.25">
      <c r="A997" s="17">
        <v>209</v>
      </c>
      <c r="B997" s="31">
        <v>47391</v>
      </c>
      <c r="C997" s="32">
        <f>INDEX('Input Data'!$B:$B,A997)/2+IF(A997&lt;&gt;A998,100,0)</f>
        <v>1.8125</v>
      </c>
      <c r="D997" s="33">
        <f>INDEX('ZCB Curve - Payment Dates'!$D$2:$D$246,MATCH(B997,'ZCB Curve - Payment Dates'!$A$2:$A$246,0))</f>
        <v>0.87266944281946834</v>
      </c>
      <c r="E997" s="32">
        <f t="shared" si="15"/>
        <v>1.5817133651102864</v>
      </c>
    </row>
    <row r="998" spans="1:5" x14ac:dyDescent="0.25">
      <c r="A998" s="17">
        <v>209</v>
      </c>
      <c r="B998" s="31">
        <v>47573</v>
      </c>
      <c r="C998" s="32">
        <f>INDEX('Input Data'!$B:$B,A998)/2+IF(A998&lt;&gt;A999,100,0)</f>
        <v>1.8125</v>
      </c>
      <c r="D998" s="33">
        <f>INDEX('ZCB Curve - Payment Dates'!$D$2:$D$246,MATCH(B998,'ZCB Curve - Payment Dates'!$A$2:$A$246,0))</f>
        <v>0.85273413261763187</v>
      </c>
      <c r="E998" s="32">
        <f t="shared" si="15"/>
        <v>1.5455806153694578</v>
      </c>
    </row>
    <row r="999" spans="1:5" x14ac:dyDescent="0.25">
      <c r="A999" s="17">
        <v>209</v>
      </c>
      <c r="B999" s="31">
        <v>47756</v>
      </c>
      <c r="C999" s="32">
        <f>INDEX('Input Data'!$B:$B,A999)/2+IF(A999&lt;&gt;A1000,100,0)</f>
        <v>1.8125</v>
      </c>
      <c r="D999" s="33">
        <f>INDEX('ZCB Curve - Payment Dates'!$D$2:$D$246,MATCH(B999,'ZCB Curve - Payment Dates'!$A$2:$A$246,0))</f>
        <v>0.83313578966851842</v>
      </c>
      <c r="E999" s="32">
        <f t="shared" si="15"/>
        <v>1.5100586187741896</v>
      </c>
    </row>
    <row r="1000" spans="1:5" x14ac:dyDescent="0.25">
      <c r="A1000" s="17">
        <v>209</v>
      </c>
      <c r="B1000" s="31">
        <v>47938</v>
      </c>
      <c r="C1000" s="32">
        <f>INDEX('Input Data'!$B:$B,A1000)/2+IF(A1000&lt;&gt;A1001,100,0)</f>
        <v>1.8125</v>
      </c>
      <c r="D1000" s="33">
        <f>INDEX('ZCB Curve - Payment Dates'!$D$2:$D$246,MATCH(B1000,'ZCB Curve - Payment Dates'!$A$2:$A$246,0))</f>
        <v>0.81405312340218006</v>
      </c>
      <c r="E1000" s="32">
        <f t="shared" si="15"/>
        <v>1.4754712861664514</v>
      </c>
    </row>
    <row r="1001" spans="1:5" x14ac:dyDescent="0.25">
      <c r="A1001" s="17">
        <v>209</v>
      </c>
      <c r="B1001" s="31">
        <v>48121</v>
      </c>
      <c r="C1001" s="32">
        <f>INDEX('Input Data'!$B:$B,A1001)/2+IF(A1001&lt;&gt;A1002,100,0)</f>
        <v>101.8125</v>
      </c>
      <c r="D1001" s="33">
        <f>INDEX('ZCB Curve - Payment Dates'!$D$2:$D$246,MATCH(B1001,'ZCB Curve - Payment Dates'!$A$2:$A$246,0))</f>
        <v>0.79521907488715848</v>
      </c>
      <c r="E1001" s="32">
        <f t="shared" si="15"/>
        <v>80.963242061948819</v>
      </c>
    </row>
    <row r="1002" spans="1:5" x14ac:dyDescent="0.25">
      <c r="A1002" s="17">
        <v>210</v>
      </c>
      <c r="B1002" s="31">
        <v>46326</v>
      </c>
      <c r="C1002" s="32">
        <f>INDEX('Input Data'!$B:$B,A1002)/2+IF(A1002&lt;&gt;A1003,100,0)</f>
        <v>2.0625</v>
      </c>
      <c r="D1002" s="33">
        <f>INDEX('ZCB Curve - Payment Dates'!$D$2:$D$246,MATCH(B1002,'ZCB Curve - Payment Dates'!$A$2:$A$246,0))</f>
        <v>0.99405055111674689</v>
      </c>
      <c r="E1002" s="32">
        <f t="shared" si="15"/>
        <v>2.0502292616782904</v>
      </c>
    </row>
    <row r="1003" spans="1:5" x14ac:dyDescent="0.25">
      <c r="A1003" s="17">
        <v>210</v>
      </c>
      <c r="B1003" s="31">
        <v>46507</v>
      </c>
      <c r="C1003" s="32">
        <f>INDEX('Input Data'!$B:$B,A1003)/2+IF(A1003&lt;&gt;A1004,100,0)</f>
        <v>2.0625</v>
      </c>
      <c r="D1003" s="33">
        <f>INDEX('ZCB Curve - Payment Dates'!$D$2:$D$246,MATCH(B1003,'ZCB Curve - Payment Dates'!$A$2:$A$246,0))</f>
        <v>0.97412390690574091</v>
      </c>
      <c r="E1003" s="32">
        <f t="shared" si="15"/>
        <v>2.0091305579930907</v>
      </c>
    </row>
    <row r="1004" spans="1:5" x14ac:dyDescent="0.25">
      <c r="A1004" s="17">
        <v>210</v>
      </c>
      <c r="B1004" s="31">
        <v>46691</v>
      </c>
      <c r="C1004" s="32">
        <f>INDEX('Input Data'!$B:$B,A1004)/2+IF(A1004&lt;&gt;A1005,100,0)</f>
        <v>2.0625</v>
      </c>
      <c r="D1004" s="33">
        <f>INDEX('ZCB Curve - Payment Dates'!$D$2:$D$246,MATCH(B1004,'ZCB Curve - Payment Dates'!$A$2:$A$246,0))</f>
        <v>0.95295491595466364</v>
      </c>
      <c r="E1004" s="32">
        <f t="shared" si="15"/>
        <v>1.9654695141564937</v>
      </c>
    </row>
    <row r="1005" spans="1:5" x14ac:dyDescent="0.25">
      <c r="A1005" s="17">
        <v>210</v>
      </c>
      <c r="B1005" s="31">
        <v>46873</v>
      </c>
      <c r="C1005" s="32">
        <f>INDEX('Input Data'!$B:$B,A1005)/2+IF(A1005&lt;&gt;A1006,100,0)</f>
        <v>2.0625</v>
      </c>
      <c r="D1005" s="33">
        <f>INDEX('ZCB Curve - Payment Dates'!$D$2:$D$246,MATCH(B1005,'ZCB Curve - Payment Dates'!$A$2:$A$246,0))</f>
        <v>0.93174702042500246</v>
      </c>
      <c r="E1005" s="32">
        <f t="shared" si="15"/>
        <v>1.9217282296265676</v>
      </c>
    </row>
    <row r="1006" spans="1:5" x14ac:dyDescent="0.25">
      <c r="A1006" s="17">
        <v>210</v>
      </c>
      <c r="B1006" s="31">
        <v>47057</v>
      </c>
      <c r="C1006" s="32">
        <f>INDEX('Input Data'!$B:$B,A1006)/2+IF(A1006&lt;&gt;A1007,100,0)</f>
        <v>2.0625</v>
      </c>
      <c r="D1006" s="33">
        <f>INDEX('ZCB Curve - Payment Dates'!$D$2:$D$246,MATCH(B1006,'ZCB Curve - Payment Dates'!$A$2:$A$246,0))</f>
        <v>0.91042649241905782</v>
      </c>
      <c r="E1006" s="32">
        <f t="shared" si="15"/>
        <v>1.8777546406143069</v>
      </c>
    </row>
    <row r="1007" spans="1:5" x14ac:dyDescent="0.25">
      <c r="A1007" s="17">
        <v>210</v>
      </c>
      <c r="B1007" s="31">
        <v>47238</v>
      </c>
      <c r="C1007" s="32">
        <f>INDEX('Input Data'!$B:$B,A1007)/2+IF(A1007&lt;&gt;A1008,100,0)</f>
        <v>2.0625</v>
      </c>
      <c r="D1007" s="33">
        <f>INDEX('ZCB Curve - Payment Dates'!$D$2:$D$246,MATCH(B1007,'ZCB Curve - Payment Dates'!$A$2:$A$246,0))</f>
        <v>0.88978547878922043</v>
      </c>
      <c r="E1007" s="32">
        <f t="shared" si="15"/>
        <v>1.8351825500027672</v>
      </c>
    </row>
    <row r="1008" spans="1:5" x14ac:dyDescent="0.25">
      <c r="A1008" s="17">
        <v>210</v>
      </c>
      <c r="B1008" s="31">
        <v>47422</v>
      </c>
      <c r="C1008" s="32">
        <f>INDEX('Input Data'!$B:$B,A1008)/2+IF(A1008&lt;&gt;A1009,100,0)</f>
        <v>2.0625</v>
      </c>
      <c r="D1008" s="33">
        <f>INDEX('ZCB Curve - Payment Dates'!$D$2:$D$246,MATCH(B1008,'ZCB Curve - Payment Dates'!$A$2:$A$246,0))</f>
        <v>0.86924243542459101</v>
      </c>
      <c r="E1008" s="32">
        <f t="shared" si="15"/>
        <v>1.792812523063219</v>
      </c>
    </row>
    <row r="1009" spans="1:5" x14ac:dyDescent="0.25">
      <c r="A1009" s="17">
        <v>210</v>
      </c>
      <c r="B1009" s="31">
        <v>47603</v>
      </c>
      <c r="C1009" s="32">
        <f>INDEX('Input Data'!$B:$B,A1009)/2+IF(A1009&lt;&gt;A1010,100,0)</f>
        <v>2.0625</v>
      </c>
      <c r="D1009" s="33">
        <f>INDEX('ZCB Curve - Payment Dates'!$D$2:$D$246,MATCH(B1009,'ZCB Curve - Payment Dates'!$A$2:$A$246,0))</f>
        <v>0.84949114767876688</v>
      </c>
      <c r="E1009" s="32">
        <f t="shared" si="15"/>
        <v>1.7520754920874566</v>
      </c>
    </row>
    <row r="1010" spans="1:5" x14ac:dyDescent="0.25">
      <c r="A1010" s="17">
        <v>210</v>
      </c>
      <c r="B1010" s="31">
        <v>47787</v>
      </c>
      <c r="C1010" s="32">
        <f>INDEX('Input Data'!$B:$B,A1010)/2+IF(A1010&lt;&gt;A1011,100,0)</f>
        <v>2.0625</v>
      </c>
      <c r="D1010" s="33">
        <f>INDEX('ZCB Curve - Payment Dates'!$D$2:$D$246,MATCH(B1010,'ZCB Curve - Payment Dates'!$A$2:$A$246,0))</f>
        <v>0.82985919250556395</v>
      </c>
      <c r="E1010" s="32">
        <f t="shared" si="15"/>
        <v>1.7115845845427256</v>
      </c>
    </row>
    <row r="1011" spans="1:5" x14ac:dyDescent="0.25">
      <c r="A1011" s="17">
        <v>210</v>
      </c>
      <c r="B1011" s="31">
        <v>47968</v>
      </c>
      <c r="C1011" s="32">
        <f>INDEX('Input Data'!$B:$B,A1011)/2+IF(A1011&lt;&gt;A1012,100,0)</f>
        <v>2.0625</v>
      </c>
      <c r="D1011" s="33">
        <f>INDEX('ZCB Curve - Payment Dates'!$D$2:$D$246,MATCH(B1011,'ZCB Curve - Payment Dates'!$A$2:$A$246,0))</f>
        <v>0.81094247698820199</v>
      </c>
      <c r="E1011" s="32">
        <f t="shared" si="15"/>
        <v>1.6725688587881666</v>
      </c>
    </row>
    <row r="1012" spans="1:5" x14ac:dyDescent="0.25">
      <c r="A1012" s="17">
        <v>210</v>
      </c>
      <c r="B1012" s="31">
        <v>48152</v>
      </c>
      <c r="C1012" s="32">
        <f>INDEX('Input Data'!$B:$B,A1012)/2+IF(A1012&lt;&gt;A1013,100,0)</f>
        <v>102.0625</v>
      </c>
      <c r="D1012" s="33">
        <f>INDEX('ZCB Curve - Payment Dates'!$D$2:$D$246,MATCH(B1012,'ZCB Curve - Payment Dates'!$A$2:$A$246,0))</f>
        <v>0.79206132015103392</v>
      </c>
      <c r="E1012" s="32">
        <f t="shared" si="15"/>
        <v>80.839758487914906</v>
      </c>
    </row>
    <row r="1013" spans="1:5" x14ac:dyDescent="0.25">
      <c r="A1013" s="17">
        <v>211</v>
      </c>
      <c r="B1013" s="31">
        <v>46341</v>
      </c>
      <c r="C1013" s="32">
        <f>INDEX('Input Data'!$B:$B,A1013)/2+IF(A1013&lt;&gt;A1014,100,0)</f>
        <v>0.6875</v>
      </c>
      <c r="D1013" s="33">
        <f>INDEX('ZCB Curve - Payment Dates'!$D$2:$D$246,MATCH(B1013,'ZCB Curve - Payment Dates'!$A$2:$A$246,0))</f>
        <v>0.99245367292309439</v>
      </c>
      <c r="E1013" s="32">
        <f t="shared" si="15"/>
        <v>0.68231190013462739</v>
      </c>
    </row>
    <row r="1014" spans="1:5" x14ac:dyDescent="0.25">
      <c r="A1014" s="17">
        <v>211</v>
      </c>
      <c r="B1014" s="31">
        <v>46522</v>
      </c>
      <c r="C1014" s="32">
        <f>INDEX('Input Data'!$B:$B,A1014)/2+IF(A1014&lt;&gt;A1015,100,0)</f>
        <v>0.6875</v>
      </c>
      <c r="D1014" s="33">
        <f>INDEX('ZCB Curve - Payment Dates'!$D$2:$D$246,MATCH(B1014,'ZCB Curve - Payment Dates'!$A$2:$A$246,0))</f>
        <v>0.97242179559611874</v>
      </c>
      <c r="E1014" s="32">
        <f t="shared" si="15"/>
        <v>0.66853998447233165</v>
      </c>
    </row>
    <row r="1015" spans="1:5" x14ac:dyDescent="0.25">
      <c r="A1015" s="17">
        <v>211</v>
      </c>
      <c r="B1015" s="31">
        <v>46706</v>
      </c>
      <c r="C1015" s="32">
        <f>INDEX('Input Data'!$B:$B,A1015)/2+IF(A1015&lt;&gt;A1016,100,0)</f>
        <v>0.6875</v>
      </c>
      <c r="D1015" s="33">
        <f>INDEX('ZCB Curve - Payment Dates'!$D$2:$D$246,MATCH(B1015,'ZCB Curve - Payment Dates'!$A$2:$A$246,0))</f>
        <v>0.95121018311627348</v>
      </c>
      <c r="E1015" s="32">
        <f t="shared" si="15"/>
        <v>0.65395700089243802</v>
      </c>
    </row>
    <row r="1016" spans="1:5" x14ac:dyDescent="0.25">
      <c r="A1016" s="17">
        <v>211</v>
      </c>
      <c r="B1016" s="31">
        <v>46888</v>
      </c>
      <c r="C1016" s="32">
        <f>INDEX('Input Data'!$B:$B,A1016)/2+IF(A1016&lt;&gt;A1017,100,0)</f>
        <v>0.6875</v>
      </c>
      <c r="D1016" s="33">
        <f>INDEX('ZCB Curve - Payment Dates'!$D$2:$D$246,MATCH(B1016,'ZCB Curve - Payment Dates'!$A$2:$A$246,0))</f>
        <v>0.93000025435083566</v>
      </c>
      <c r="E1016" s="32">
        <f t="shared" si="15"/>
        <v>0.63937517486619955</v>
      </c>
    </row>
    <row r="1017" spans="1:5" x14ac:dyDescent="0.25">
      <c r="A1017" s="17">
        <v>211</v>
      </c>
      <c r="B1017" s="31">
        <v>47072</v>
      </c>
      <c r="C1017" s="32">
        <f>INDEX('Input Data'!$B:$B,A1017)/2+IF(A1017&lt;&gt;A1018,100,0)</f>
        <v>0.6875</v>
      </c>
      <c r="D1017" s="33">
        <f>INDEX('ZCB Curve - Payment Dates'!$D$2:$D$246,MATCH(B1017,'ZCB Curve - Payment Dates'!$A$2:$A$246,0))</f>
        <v>0.90870125167038918</v>
      </c>
      <c r="E1017" s="32">
        <f t="shared" si="15"/>
        <v>0.6247321105233925</v>
      </c>
    </row>
    <row r="1018" spans="1:5" x14ac:dyDescent="0.25">
      <c r="A1018" s="17">
        <v>211</v>
      </c>
      <c r="B1018" s="31">
        <v>47253</v>
      </c>
      <c r="C1018" s="32">
        <f>INDEX('Input Data'!$B:$B,A1018)/2+IF(A1018&lt;&gt;A1019,100,0)</f>
        <v>0.6875</v>
      </c>
      <c r="D1018" s="33">
        <f>INDEX('ZCB Curve - Payment Dates'!$D$2:$D$246,MATCH(B1018,'ZCB Curve - Payment Dates'!$A$2:$A$246,0))</f>
        <v>0.88809325063638844</v>
      </c>
      <c r="E1018" s="32">
        <f t="shared" si="15"/>
        <v>0.61056410981251708</v>
      </c>
    </row>
    <row r="1019" spans="1:5" x14ac:dyDescent="0.25">
      <c r="A1019" s="17">
        <v>211</v>
      </c>
      <c r="B1019" s="31">
        <v>47437</v>
      </c>
      <c r="C1019" s="32">
        <f>INDEX('Input Data'!$B:$B,A1019)/2+IF(A1019&lt;&gt;A1020,100,0)</f>
        <v>0.6875</v>
      </c>
      <c r="D1019" s="33">
        <f>INDEX('ZCB Curve - Payment Dates'!$D$2:$D$246,MATCH(B1019,'ZCB Curve - Payment Dates'!$A$2:$A$246,0))</f>
        <v>0.86758824089536279</v>
      </c>
      <c r="E1019" s="32">
        <f t="shared" si="15"/>
        <v>0.59646691561556198</v>
      </c>
    </row>
    <row r="1020" spans="1:5" x14ac:dyDescent="0.25">
      <c r="A1020" s="17">
        <v>211</v>
      </c>
      <c r="B1020" s="31">
        <v>47618</v>
      </c>
      <c r="C1020" s="32">
        <f>INDEX('Input Data'!$B:$B,A1020)/2+IF(A1020&lt;&gt;A1021,100,0)</f>
        <v>0.6875</v>
      </c>
      <c r="D1020" s="33">
        <f>INDEX('ZCB Curve - Payment Dates'!$D$2:$D$246,MATCH(B1020,'ZCB Curve - Payment Dates'!$A$2:$A$246,0))</f>
        <v>0.84787416911783064</v>
      </c>
      <c r="E1020" s="32">
        <f t="shared" si="15"/>
        <v>0.58291349126850855</v>
      </c>
    </row>
    <row r="1021" spans="1:5" x14ac:dyDescent="0.25">
      <c r="A1021" s="17">
        <v>211</v>
      </c>
      <c r="B1021" s="31">
        <v>47802</v>
      </c>
      <c r="C1021" s="32">
        <f>INDEX('Input Data'!$B:$B,A1021)/2+IF(A1021&lt;&gt;A1022,100,0)</f>
        <v>0.6875</v>
      </c>
      <c r="D1021" s="33">
        <f>INDEX('ZCB Curve - Payment Dates'!$D$2:$D$246,MATCH(B1021,'ZCB Curve - Payment Dates'!$A$2:$A$246,0))</f>
        <v>0.82827715028796722</v>
      </c>
      <c r="E1021" s="32">
        <f t="shared" si="15"/>
        <v>0.56944054082297746</v>
      </c>
    </row>
    <row r="1022" spans="1:5" x14ac:dyDescent="0.25">
      <c r="A1022" s="17">
        <v>211</v>
      </c>
      <c r="B1022" s="31">
        <v>47983</v>
      </c>
      <c r="C1022" s="32">
        <f>INDEX('Input Data'!$B:$B,A1022)/2+IF(A1022&lt;&gt;A1023,100,0)</f>
        <v>0.6875</v>
      </c>
      <c r="D1022" s="33">
        <f>INDEX('ZCB Curve - Payment Dates'!$D$2:$D$246,MATCH(B1022,'ZCB Curve - Payment Dates'!$A$2:$A$246,0))</f>
        <v>0.80939067484273564</v>
      </c>
      <c r="E1022" s="32">
        <f t="shared" si="15"/>
        <v>0.5564560889543807</v>
      </c>
    </row>
    <row r="1023" spans="1:5" x14ac:dyDescent="0.25">
      <c r="A1023" s="17">
        <v>211</v>
      </c>
      <c r="B1023" s="31">
        <v>48167</v>
      </c>
      <c r="C1023" s="32">
        <f>INDEX('Input Data'!$B:$B,A1023)/2+IF(A1023&lt;&gt;A1024,100,0)</f>
        <v>100.6875</v>
      </c>
      <c r="D1023" s="33">
        <f>INDEX('ZCB Curve - Payment Dates'!$D$2:$D$246,MATCH(B1023,'ZCB Curve - Payment Dates'!$A$2:$A$246,0))</f>
        <v>0.79053567842581962</v>
      </c>
      <c r="E1023" s="32">
        <f t="shared" si="15"/>
        <v>79.597061121499706</v>
      </c>
    </row>
    <row r="1024" spans="1:5" x14ac:dyDescent="0.25">
      <c r="A1024" s="17">
        <v>212</v>
      </c>
      <c r="B1024" s="31">
        <v>46356</v>
      </c>
      <c r="C1024" s="32">
        <f>INDEX('Input Data'!$B:$B,A1024)/2+IF(A1024&lt;&gt;A1025,100,0)</f>
        <v>2.0625</v>
      </c>
      <c r="D1024" s="33">
        <f>INDEX('ZCB Curve - Payment Dates'!$D$2:$D$246,MATCH(B1024,'ZCB Curve - Payment Dates'!$A$2:$A$246,0))</f>
        <v>0.99084497326382592</v>
      </c>
      <c r="E1024" s="32">
        <f t="shared" si="15"/>
        <v>2.0436177573566408</v>
      </c>
    </row>
    <row r="1025" spans="1:5" x14ac:dyDescent="0.25">
      <c r="A1025" s="17">
        <v>212</v>
      </c>
      <c r="B1025" s="31">
        <v>46538</v>
      </c>
      <c r="C1025" s="32">
        <f>INDEX('Input Data'!$B:$B,A1025)/2+IF(A1025&lt;&gt;A1026,100,0)</f>
        <v>2.0625</v>
      </c>
      <c r="D1025" s="33">
        <f>INDEX('ZCB Curve - Payment Dates'!$D$2:$D$246,MATCH(B1025,'ZCB Curve - Payment Dates'!$A$2:$A$246,0))</f>
        <v>0.97060179184855555</v>
      </c>
      <c r="E1025" s="32">
        <f t="shared" si="15"/>
        <v>2.0018661956876458</v>
      </c>
    </row>
    <row r="1026" spans="1:5" x14ac:dyDescent="0.25">
      <c r="A1026" s="17">
        <v>212</v>
      </c>
      <c r="B1026" s="31">
        <v>46721</v>
      </c>
      <c r="C1026" s="32">
        <f>INDEX('Input Data'!$B:$B,A1026)/2+IF(A1026&lt;&gt;A1027,100,0)</f>
        <v>2.0625</v>
      </c>
      <c r="D1026" s="33">
        <f>INDEX('ZCB Curve - Payment Dates'!$D$2:$D$246,MATCH(B1026,'ZCB Curve - Payment Dates'!$A$2:$A$246,0))</f>
        <v>0.94946404326393219</v>
      </c>
      <c r="E1026" s="32">
        <f t="shared" ref="E1026:E1089" si="16">C1026*D1026</f>
        <v>1.9582695892318602</v>
      </c>
    </row>
    <row r="1027" spans="1:5" x14ac:dyDescent="0.25">
      <c r="A1027" s="17">
        <v>212</v>
      </c>
      <c r="B1027" s="31">
        <v>46904</v>
      </c>
      <c r="C1027" s="32">
        <f>INDEX('Input Data'!$B:$B,A1027)/2+IF(A1027&lt;&gt;A1028,100,0)</f>
        <v>2.0625</v>
      </c>
      <c r="D1027" s="33">
        <f>INDEX('ZCB Curve - Payment Dates'!$D$2:$D$246,MATCH(B1027,'ZCB Curve - Payment Dates'!$A$2:$A$246,0))</f>
        <v>0.92813990099508414</v>
      </c>
      <c r="E1027" s="32">
        <f t="shared" si="16"/>
        <v>1.9142885458023611</v>
      </c>
    </row>
    <row r="1028" spans="1:5" x14ac:dyDescent="0.25">
      <c r="A1028" s="17">
        <v>212</v>
      </c>
      <c r="B1028" s="31">
        <v>47087</v>
      </c>
      <c r="C1028" s="32">
        <f>INDEX('Input Data'!$B:$B,A1028)/2+IF(A1028&lt;&gt;A1029,100,0)</f>
        <v>2.0625</v>
      </c>
      <c r="D1028" s="33">
        <f>INDEX('ZCB Curve - Payment Dates'!$D$2:$D$246,MATCH(B1028,'ZCB Curve - Payment Dates'!$A$2:$A$246,0))</f>
        <v>0.90697842456009181</v>
      </c>
      <c r="E1028" s="32">
        <f t="shared" si="16"/>
        <v>1.8706430006551893</v>
      </c>
    </row>
    <row r="1029" spans="1:5" x14ac:dyDescent="0.25">
      <c r="A1029" s="17">
        <v>212</v>
      </c>
      <c r="B1029" s="31">
        <v>47269</v>
      </c>
      <c r="C1029" s="32">
        <f>INDEX('Input Data'!$B:$B,A1029)/2+IF(A1029&lt;&gt;A1030,100,0)</f>
        <v>2.0625</v>
      </c>
      <c r="D1029" s="33">
        <f>INDEX('ZCB Curve - Payment Dates'!$D$2:$D$246,MATCH(B1029,'ZCB Curve - Payment Dates'!$A$2:$A$246,0))</f>
        <v>0.88629316931415014</v>
      </c>
      <c r="E1029" s="32">
        <f t="shared" si="16"/>
        <v>1.8279796617104347</v>
      </c>
    </row>
    <row r="1030" spans="1:5" x14ac:dyDescent="0.25">
      <c r="A1030" s="17">
        <v>212</v>
      </c>
      <c r="B1030" s="31">
        <v>47452</v>
      </c>
      <c r="C1030" s="32">
        <f>INDEX('Input Data'!$B:$B,A1030)/2+IF(A1030&lt;&gt;A1031,100,0)</f>
        <v>2.0625</v>
      </c>
      <c r="D1030" s="33">
        <f>INDEX('ZCB Curve - Payment Dates'!$D$2:$D$246,MATCH(B1030,'ZCB Curve - Payment Dates'!$A$2:$A$246,0))</f>
        <v>0.86593718552386212</v>
      </c>
      <c r="E1030" s="32">
        <f t="shared" si="16"/>
        <v>1.7859954451429656</v>
      </c>
    </row>
    <row r="1031" spans="1:5" x14ac:dyDescent="0.25">
      <c r="A1031" s="17">
        <v>212</v>
      </c>
      <c r="B1031" s="31">
        <v>47634</v>
      </c>
      <c r="C1031" s="32">
        <f>INDEX('Input Data'!$B:$B,A1031)/2+IF(A1031&lt;&gt;A1032,100,0)</f>
        <v>2.0625</v>
      </c>
      <c r="D1031" s="33">
        <f>INDEX('ZCB Curve - Payment Dates'!$D$2:$D$246,MATCH(B1031,'ZCB Curve - Payment Dates'!$A$2:$A$246,0))</f>
        <v>0.84615424839536502</v>
      </c>
      <c r="E1031" s="32">
        <f t="shared" si="16"/>
        <v>1.7451931373154403</v>
      </c>
    </row>
    <row r="1032" spans="1:5" x14ac:dyDescent="0.25">
      <c r="A1032" s="17">
        <v>212</v>
      </c>
      <c r="B1032" s="31">
        <v>47817</v>
      </c>
      <c r="C1032" s="32">
        <f>INDEX('Input Data'!$B:$B,A1032)/2+IF(A1032&lt;&gt;A1033,100,0)</f>
        <v>2.0625</v>
      </c>
      <c r="D1032" s="33">
        <f>INDEX('ZCB Curve - Payment Dates'!$D$2:$D$246,MATCH(B1032,'ZCB Curve - Payment Dates'!$A$2:$A$246,0))</f>
        <v>0.82669778003432226</v>
      </c>
      <c r="E1032" s="32">
        <f t="shared" si="16"/>
        <v>1.7050641713207897</v>
      </c>
    </row>
    <row r="1033" spans="1:5" x14ac:dyDescent="0.25">
      <c r="A1033" s="17">
        <v>212</v>
      </c>
      <c r="B1033" s="31">
        <v>47999</v>
      </c>
      <c r="C1033" s="32">
        <f>INDEX('Input Data'!$B:$B,A1033)/2+IF(A1033&lt;&gt;A1034,100,0)</f>
        <v>2.0625</v>
      </c>
      <c r="D1033" s="33">
        <f>INDEX('ZCB Curve - Payment Dates'!$D$2:$D$246,MATCH(B1033,'ZCB Curve - Payment Dates'!$A$2:$A$246,0))</f>
        <v>0.80773946698731602</v>
      </c>
      <c r="E1033" s="32">
        <f t="shared" si="16"/>
        <v>1.6659626506613392</v>
      </c>
    </row>
    <row r="1034" spans="1:5" x14ac:dyDescent="0.25">
      <c r="A1034" s="17">
        <v>212</v>
      </c>
      <c r="B1034" s="31">
        <v>48182</v>
      </c>
      <c r="C1034" s="32">
        <f>INDEX('Input Data'!$B:$B,A1034)/2+IF(A1034&lt;&gt;A1035,100,0)</f>
        <v>102.0625</v>
      </c>
      <c r="D1034" s="33">
        <f>INDEX('ZCB Curve - Payment Dates'!$D$2:$D$246,MATCH(B1034,'ZCB Curve - Payment Dates'!$A$2:$A$246,0))</f>
        <v>0.78901196947977614</v>
      </c>
      <c r="E1034" s="32">
        <f t="shared" si="16"/>
        <v>80.528534135029659</v>
      </c>
    </row>
    <row r="1035" spans="1:5" x14ac:dyDescent="0.25">
      <c r="A1035" s="17">
        <v>213</v>
      </c>
      <c r="B1035" s="31">
        <v>46387</v>
      </c>
      <c r="C1035" s="32">
        <f>INDEX('Input Data'!$B:$B,A1035)/2+IF(A1035&lt;&gt;A1036,100,0)</f>
        <v>2.25</v>
      </c>
      <c r="D1035" s="33">
        <f>INDEX('ZCB Curve - Payment Dates'!$D$2:$D$246,MATCH(B1035,'ZCB Curve - Payment Dates'!$A$2:$A$246,0))</f>
        <v>0.987487116303851</v>
      </c>
      <c r="E1035" s="32">
        <f t="shared" si="16"/>
        <v>2.2218460116836649</v>
      </c>
    </row>
    <row r="1036" spans="1:5" x14ac:dyDescent="0.25">
      <c r="A1036" s="17">
        <v>213</v>
      </c>
      <c r="B1036" s="31">
        <v>46568</v>
      </c>
      <c r="C1036" s="32">
        <f>INDEX('Input Data'!$B:$B,A1036)/2+IF(A1036&lt;&gt;A1037,100,0)</f>
        <v>2.25</v>
      </c>
      <c r="D1036" s="33">
        <f>INDEX('ZCB Curve - Payment Dates'!$D$2:$D$246,MATCH(B1036,'ZCB Curve - Payment Dates'!$A$2:$A$246,0))</f>
        <v>0.96717094344557664</v>
      </c>
      <c r="E1036" s="32">
        <f t="shared" si="16"/>
        <v>2.1761346227525475</v>
      </c>
    </row>
    <row r="1037" spans="1:5" x14ac:dyDescent="0.25">
      <c r="A1037" s="17">
        <v>213</v>
      </c>
      <c r="B1037" s="31">
        <v>46752</v>
      </c>
      <c r="C1037" s="32">
        <f>INDEX('Input Data'!$B:$B,A1037)/2+IF(A1037&lt;&gt;A1038,100,0)</f>
        <v>2.25</v>
      </c>
      <c r="D1037" s="33">
        <f>INDEX('ZCB Curve - Payment Dates'!$D$2:$D$246,MATCH(B1037,'ZCB Curve - Payment Dates'!$A$2:$A$246,0))</f>
        <v>0.94585368463190456</v>
      </c>
      <c r="E1037" s="32">
        <f t="shared" si="16"/>
        <v>2.1281707904217853</v>
      </c>
    </row>
    <row r="1038" spans="1:5" x14ac:dyDescent="0.25">
      <c r="A1038" s="17">
        <v>213</v>
      </c>
      <c r="B1038" s="31">
        <v>46934</v>
      </c>
      <c r="C1038" s="32">
        <f>INDEX('Input Data'!$B:$B,A1038)/2+IF(A1038&lt;&gt;A1039,100,0)</f>
        <v>2.25</v>
      </c>
      <c r="D1038" s="33">
        <f>INDEX('ZCB Curve - Payment Dates'!$D$2:$D$246,MATCH(B1038,'ZCB Curve - Payment Dates'!$A$2:$A$246,0))</f>
        <v>0.92465239860805604</v>
      </c>
      <c r="E1038" s="32">
        <f t="shared" si="16"/>
        <v>2.0804678968681261</v>
      </c>
    </row>
    <row r="1039" spans="1:5" x14ac:dyDescent="0.25">
      <c r="A1039" s="17">
        <v>213</v>
      </c>
      <c r="B1039" s="31">
        <v>47118</v>
      </c>
      <c r="C1039" s="32">
        <f>INDEX('Input Data'!$B:$B,A1039)/2+IF(A1039&lt;&gt;A1040,100,0)</f>
        <v>2.25</v>
      </c>
      <c r="D1039" s="33">
        <f>INDEX('ZCB Curve - Payment Dates'!$D$2:$D$246,MATCH(B1039,'ZCB Curve - Payment Dates'!$A$2:$A$246,0))</f>
        <v>0.90342754291436123</v>
      </c>
      <c r="E1039" s="32">
        <f t="shared" si="16"/>
        <v>2.0327119715573128</v>
      </c>
    </row>
    <row r="1040" spans="1:5" x14ac:dyDescent="0.25">
      <c r="A1040" s="17">
        <v>213</v>
      </c>
      <c r="B1040" s="31">
        <v>47299</v>
      </c>
      <c r="C1040" s="32">
        <f>INDEX('Input Data'!$B:$B,A1040)/2+IF(A1040&lt;&gt;A1041,100,0)</f>
        <v>2.25</v>
      </c>
      <c r="D1040" s="33">
        <f>INDEX('ZCB Curve - Payment Dates'!$D$2:$D$246,MATCH(B1040,'ZCB Curve - Payment Dates'!$A$2:$A$246,0))</f>
        <v>0.88292427004927643</v>
      </c>
      <c r="E1040" s="32">
        <f t="shared" si="16"/>
        <v>1.9865796076108719</v>
      </c>
    </row>
    <row r="1041" spans="1:5" x14ac:dyDescent="0.25">
      <c r="A1041" s="17">
        <v>213</v>
      </c>
      <c r="B1041" s="31">
        <v>47483</v>
      </c>
      <c r="C1041" s="32">
        <f>INDEX('Input Data'!$B:$B,A1041)/2+IF(A1041&lt;&gt;A1042,100,0)</f>
        <v>2.25</v>
      </c>
      <c r="D1041" s="33">
        <f>INDEX('ZCB Curve - Payment Dates'!$D$2:$D$246,MATCH(B1041,'ZCB Curve - Payment Dates'!$A$2:$A$246,0))</f>
        <v>0.86253652987508767</v>
      </c>
      <c r="E1041" s="32">
        <f t="shared" si="16"/>
        <v>1.9407071922189472</v>
      </c>
    </row>
    <row r="1042" spans="1:5" x14ac:dyDescent="0.25">
      <c r="A1042" s="17">
        <v>213</v>
      </c>
      <c r="B1042" s="31">
        <v>47664</v>
      </c>
      <c r="C1042" s="32">
        <f>INDEX('Input Data'!$B:$B,A1042)/2+IF(A1042&lt;&gt;A1043,100,0)</f>
        <v>2.25</v>
      </c>
      <c r="D1042" s="33">
        <f>INDEX('ZCB Curve - Payment Dates'!$D$2:$D$246,MATCH(B1042,'ZCB Curve - Payment Dates'!$A$2:$A$246,0))</f>
        <v>0.84293550634880554</v>
      </c>
      <c r="E1042" s="32">
        <f t="shared" si="16"/>
        <v>1.8966048892848124</v>
      </c>
    </row>
    <row r="1043" spans="1:5" x14ac:dyDescent="0.25">
      <c r="A1043" s="17">
        <v>213</v>
      </c>
      <c r="B1043" s="31">
        <v>47848</v>
      </c>
      <c r="C1043" s="32">
        <f>INDEX('Input Data'!$B:$B,A1043)/2+IF(A1043&lt;&gt;A1044,100,0)</f>
        <v>2.25</v>
      </c>
      <c r="D1043" s="33">
        <f>INDEX('ZCB Curve - Payment Dates'!$D$2:$D$246,MATCH(B1043,'ZCB Curve - Payment Dates'!$A$2:$A$246,0))</f>
        <v>0.82344362073276389</v>
      </c>
      <c r="E1043" s="32">
        <f t="shared" si="16"/>
        <v>1.8527481466487188</v>
      </c>
    </row>
    <row r="1044" spans="1:5" x14ac:dyDescent="0.25">
      <c r="A1044" s="17">
        <v>213</v>
      </c>
      <c r="B1044" s="31">
        <v>48029</v>
      </c>
      <c r="C1044" s="32">
        <f>INDEX('Input Data'!$B:$B,A1044)/2+IF(A1044&lt;&gt;A1045,100,0)</f>
        <v>2.25</v>
      </c>
      <c r="D1044" s="33">
        <f>INDEX('ZCB Curve - Payment Dates'!$D$2:$D$246,MATCH(B1044,'ZCB Curve - Payment Dates'!$A$2:$A$246,0))</f>
        <v>0.80464756354162947</v>
      </c>
      <c r="E1044" s="32">
        <f t="shared" si="16"/>
        <v>1.8104570179686663</v>
      </c>
    </row>
    <row r="1045" spans="1:5" x14ac:dyDescent="0.25">
      <c r="A1045" s="17">
        <v>213</v>
      </c>
      <c r="B1045" s="31">
        <v>48213</v>
      </c>
      <c r="C1045" s="32">
        <f>INDEX('Input Data'!$B:$B,A1045)/2+IF(A1045&lt;&gt;A1046,100,0)</f>
        <v>102.25</v>
      </c>
      <c r="D1045" s="33">
        <f>INDEX('ZCB Curve - Payment Dates'!$D$2:$D$246,MATCH(B1045,'ZCB Curve - Payment Dates'!$A$2:$A$246,0))</f>
        <v>0.78587044878095313</v>
      </c>
      <c r="E1045" s="32">
        <f t="shared" si="16"/>
        <v>80.355253387852457</v>
      </c>
    </row>
    <row r="1046" spans="1:5" x14ac:dyDescent="0.25">
      <c r="A1046" s="17">
        <v>214</v>
      </c>
      <c r="B1046" s="31">
        <v>46418</v>
      </c>
      <c r="C1046" s="32">
        <f>INDEX('Input Data'!$B:$B,A1046)/2+IF(A1046&lt;&gt;A1047,100,0)</f>
        <v>2.1875</v>
      </c>
      <c r="D1046" s="33">
        <f>INDEX('ZCB Curve - Payment Dates'!$D$2:$D$246,MATCH(B1046,'ZCB Curve - Payment Dates'!$A$2:$A$246,0))</f>
        <v>0.98408668818349121</v>
      </c>
      <c r="E1046" s="32">
        <f t="shared" si="16"/>
        <v>2.1526896304013872</v>
      </c>
    </row>
    <row r="1047" spans="1:5" x14ac:dyDescent="0.25">
      <c r="A1047" s="17">
        <v>214</v>
      </c>
      <c r="B1047" s="31">
        <v>46599</v>
      </c>
      <c r="C1047" s="32">
        <f>INDEX('Input Data'!$B:$B,A1047)/2+IF(A1047&lt;&gt;A1048,100,0)</f>
        <v>2.1875</v>
      </c>
      <c r="D1047" s="33">
        <f>INDEX('ZCB Curve - Payment Dates'!$D$2:$D$246,MATCH(B1047,'ZCB Curve - Payment Dates'!$A$2:$A$246,0))</f>
        <v>0.96360931883583933</v>
      </c>
      <c r="E1047" s="32">
        <f t="shared" si="16"/>
        <v>2.1078953849533986</v>
      </c>
    </row>
    <row r="1048" spans="1:5" x14ac:dyDescent="0.25">
      <c r="A1048" s="17">
        <v>214</v>
      </c>
      <c r="B1048" s="31">
        <v>46783</v>
      </c>
      <c r="C1048" s="32">
        <f>INDEX('Input Data'!$B:$B,A1048)/2+IF(A1048&lt;&gt;A1049,100,0)</f>
        <v>2.1875</v>
      </c>
      <c r="D1048" s="33">
        <f>INDEX('ZCB Curve - Payment Dates'!$D$2:$D$246,MATCH(B1048,'ZCB Curve - Payment Dates'!$A$2:$A$246,0))</f>
        <v>0.94224051785347052</v>
      </c>
      <c r="E1048" s="32">
        <f t="shared" si="16"/>
        <v>2.0611511328044667</v>
      </c>
    </row>
    <row r="1049" spans="1:5" x14ac:dyDescent="0.25">
      <c r="A1049" s="17">
        <v>214</v>
      </c>
      <c r="B1049" s="31">
        <v>46965</v>
      </c>
      <c r="C1049" s="32">
        <f>INDEX('Input Data'!$B:$B,A1049)/2+IF(A1049&lt;&gt;A1050,100,0)</f>
        <v>2.1875</v>
      </c>
      <c r="D1049" s="33">
        <f>INDEX('ZCB Curve - Payment Dates'!$D$2:$D$246,MATCH(B1049,'ZCB Curve - Payment Dates'!$A$2:$A$246,0))</f>
        <v>0.92105657743562108</v>
      </c>
      <c r="E1049" s="32">
        <f t="shared" si="16"/>
        <v>2.0148112631404209</v>
      </c>
    </row>
    <row r="1050" spans="1:5" x14ac:dyDescent="0.25">
      <c r="A1050" s="17">
        <v>214</v>
      </c>
      <c r="B1050" s="31">
        <v>47149</v>
      </c>
      <c r="C1050" s="32">
        <f>INDEX('Input Data'!$B:$B,A1050)/2+IF(A1050&lt;&gt;A1051,100,0)</f>
        <v>2.1875</v>
      </c>
      <c r="D1050" s="33">
        <f>INDEX('ZCB Curve - Payment Dates'!$D$2:$D$246,MATCH(B1050,'ZCB Curve - Payment Dates'!$A$2:$A$246,0))</f>
        <v>0.89988368588562773</v>
      </c>
      <c r="E1050" s="32">
        <f t="shared" si="16"/>
        <v>1.9684955628748106</v>
      </c>
    </row>
    <row r="1051" spans="1:5" x14ac:dyDescent="0.25">
      <c r="A1051" s="17">
        <v>214</v>
      </c>
      <c r="B1051" s="31">
        <v>47330</v>
      </c>
      <c r="C1051" s="32">
        <f>INDEX('Input Data'!$B:$B,A1051)/2+IF(A1051&lt;&gt;A1052,100,0)</f>
        <v>2.1875</v>
      </c>
      <c r="D1051" s="33">
        <f>INDEX('ZCB Curve - Payment Dates'!$D$2:$D$246,MATCH(B1051,'ZCB Curve - Payment Dates'!$A$2:$A$246,0))</f>
        <v>0.87945764483737499</v>
      </c>
      <c r="E1051" s="32">
        <f t="shared" si="16"/>
        <v>1.9238135980817579</v>
      </c>
    </row>
    <row r="1052" spans="1:5" x14ac:dyDescent="0.25">
      <c r="A1052" s="17">
        <v>214</v>
      </c>
      <c r="B1052" s="31">
        <v>47514</v>
      </c>
      <c r="C1052" s="32">
        <f>INDEX('Input Data'!$B:$B,A1052)/2+IF(A1052&lt;&gt;A1053,100,0)</f>
        <v>2.1875</v>
      </c>
      <c r="D1052" s="33">
        <f>INDEX('ZCB Curve - Payment Dates'!$D$2:$D$246,MATCH(B1052,'ZCB Curve - Payment Dates'!$A$2:$A$246,0))</f>
        <v>0.8591452031111062</v>
      </c>
      <c r="E1052" s="32">
        <f t="shared" si="16"/>
        <v>1.8793801318055448</v>
      </c>
    </row>
    <row r="1053" spans="1:5" x14ac:dyDescent="0.25">
      <c r="A1053" s="17">
        <v>214</v>
      </c>
      <c r="B1053" s="31">
        <v>47695</v>
      </c>
      <c r="C1053" s="32">
        <f>INDEX('Input Data'!$B:$B,A1053)/2+IF(A1053&lt;&gt;A1054,100,0)</f>
        <v>2.1875</v>
      </c>
      <c r="D1053" s="33">
        <f>INDEX('ZCB Curve - Payment Dates'!$D$2:$D$246,MATCH(B1053,'ZCB Curve - Payment Dates'!$A$2:$A$246,0))</f>
        <v>0.83962327815837468</v>
      </c>
      <c r="E1053" s="32">
        <f t="shared" si="16"/>
        <v>1.8366759209714445</v>
      </c>
    </row>
    <row r="1054" spans="1:5" x14ac:dyDescent="0.25">
      <c r="A1054" s="17">
        <v>214</v>
      </c>
      <c r="B1054" s="31">
        <v>47879</v>
      </c>
      <c r="C1054" s="32">
        <f>INDEX('Input Data'!$B:$B,A1054)/2+IF(A1054&lt;&gt;A1055,100,0)</f>
        <v>2.1875</v>
      </c>
      <c r="D1054" s="33">
        <f>INDEX('ZCB Curve - Payment Dates'!$D$2:$D$246,MATCH(B1054,'ZCB Curve - Payment Dates'!$A$2:$A$246,0))</f>
        <v>0.82019666458416451</v>
      </c>
      <c r="E1054" s="32">
        <f t="shared" si="16"/>
        <v>1.7941802037778598</v>
      </c>
    </row>
    <row r="1055" spans="1:5" x14ac:dyDescent="0.25">
      <c r="A1055" s="17">
        <v>214</v>
      </c>
      <c r="B1055" s="31">
        <v>48060</v>
      </c>
      <c r="C1055" s="32">
        <f>INDEX('Input Data'!$B:$B,A1055)/2+IF(A1055&lt;&gt;A1056,100,0)</f>
        <v>2.1875</v>
      </c>
      <c r="D1055" s="33">
        <f>INDEX('ZCB Curve - Payment Dates'!$D$2:$D$246,MATCH(B1055,'ZCB Curve - Payment Dates'!$A$2:$A$246,0))</f>
        <v>0.80146338329804601</v>
      </c>
      <c r="E1055" s="32">
        <f t="shared" si="16"/>
        <v>1.7532011509644756</v>
      </c>
    </row>
    <row r="1056" spans="1:5" x14ac:dyDescent="0.25">
      <c r="A1056" s="17">
        <v>214</v>
      </c>
      <c r="B1056" s="31">
        <v>48244</v>
      </c>
      <c r="C1056" s="32">
        <f>INDEX('Input Data'!$B:$B,A1056)/2+IF(A1056&lt;&gt;A1057,100,0)</f>
        <v>102.1875</v>
      </c>
      <c r="D1056" s="33">
        <f>INDEX('ZCB Curve - Payment Dates'!$D$2:$D$246,MATCH(B1056,'ZCB Curve - Payment Dates'!$A$2:$A$246,0))</f>
        <v>0.78273311074172958</v>
      </c>
      <c r="E1056" s="32">
        <f t="shared" si="16"/>
        <v>79.985539753920492</v>
      </c>
    </row>
    <row r="1057" spans="1:5" x14ac:dyDescent="0.25">
      <c r="A1057" s="17">
        <v>215</v>
      </c>
      <c r="B1057" s="31">
        <v>46433</v>
      </c>
      <c r="C1057" s="32">
        <f>INDEX('Input Data'!$B:$B,A1057)/2+IF(A1057&lt;&gt;A1058,100,0)</f>
        <v>0.9375</v>
      </c>
      <c r="D1057" s="33">
        <f>INDEX('ZCB Curve - Payment Dates'!$D$2:$D$246,MATCH(B1057,'ZCB Curve - Payment Dates'!$A$2:$A$246,0))</f>
        <v>0.98242671792446301</v>
      </c>
      <c r="E1057" s="32">
        <f t="shared" si="16"/>
        <v>0.92102504805418406</v>
      </c>
    </row>
    <row r="1058" spans="1:5" x14ac:dyDescent="0.25">
      <c r="A1058" s="17">
        <v>215</v>
      </c>
      <c r="B1058" s="31">
        <v>46614</v>
      </c>
      <c r="C1058" s="32">
        <f>INDEX('Input Data'!$B:$B,A1058)/2+IF(A1058&lt;&gt;A1059,100,0)</f>
        <v>0.9375</v>
      </c>
      <c r="D1058" s="33">
        <f>INDEX('ZCB Curve - Payment Dates'!$D$2:$D$246,MATCH(B1058,'ZCB Curve - Payment Dates'!$A$2:$A$246,0))</f>
        <v>0.96187948164765535</v>
      </c>
      <c r="E1058" s="32">
        <f t="shared" si="16"/>
        <v>0.90176201404467693</v>
      </c>
    </row>
    <row r="1059" spans="1:5" x14ac:dyDescent="0.25">
      <c r="A1059" s="17">
        <v>215</v>
      </c>
      <c r="B1059" s="31">
        <v>46798</v>
      </c>
      <c r="C1059" s="32">
        <f>INDEX('Input Data'!$B:$B,A1059)/2+IF(A1059&lt;&gt;A1060,100,0)</f>
        <v>0.9375</v>
      </c>
      <c r="D1059" s="33">
        <f>INDEX('ZCB Curve - Payment Dates'!$D$2:$D$246,MATCH(B1059,'ZCB Curve - Payment Dates'!$A$2:$A$246,0))</f>
        <v>0.94049096132648802</v>
      </c>
      <c r="E1059" s="32">
        <f t="shared" si="16"/>
        <v>0.88171027624358256</v>
      </c>
    </row>
    <row r="1060" spans="1:5" x14ac:dyDescent="0.25">
      <c r="A1060" s="17">
        <v>215</v>
      </c>
      <c r="B1060" s="31">
        <v>46980</v>
      </c>
      <c r="C1060" s="32">
        <f>INDEX('Input Data'!$B:$B,A1060)/2+IF(A1060&lt;&gt;A1061,100,0)</f>
        <v>0.9375</v>
      </c>
      <c r="D1060" s="33">
        <f>INDEX('ZCB Curve - Payment Dates'!$D$2:$D$246,MATCH(B1060,'ZCB Curve - Payment Dates'!$A$2:$A$246,0))</f>
        <v>0.91931844130238327</v>
      </c>
      <c r="E1060" s="32">
        <f t="shared" si="16"/>
        <v>0.8618610387209843</v>
      </c>
    </row>
    <row r="1061" spans="1:5" x14ac:dyDescent="0.25">
      <c r="A1061" s="17">
        <v>215</v>
      </c>
      <c r="B1061" s="31">
        <v>47164</v>
      </c>
      <c r="C1061" s="32">
        <f>INDEX('Input Data'!$B:$B,A1061)/2+IF(A1061&lt;&gt;A1062,100,0)</f>
        <v>0.9375</v>
      </c>
      <c r="D1061" s="33">
        <f>INDEX('ZCB Curve - Payment Dates'!$D$2:$D$246,MATCH(B1061,'ZCB Curve - Payment Dates'!$A$2:$A$246,0))</f>
        <v>0.89817430058086534</v>
      </c>
      <c r="E1061" s="32">
        <f t="shared" si="16"/>
        <v>0.84203840679456121</v>
      </c>
    </row>
    <row r="1062" spans="1:5" x14ac:dyDescent="0.25">
      <c r="A1062" s="17">
        <v>215</v>
      </c>
      <c r="B1062" s="31">
        <v>47345</v>
      </c>
      <c r="C1062" s="32">
        <f>INDEX('Input Data'!$B:$B,A1062)/2+IF(A1062&lt;&gt;A1063,100,0)</f>
        <v>0.9375</v>
      </c>
      <c r="D1062" s="33">
        <f>INDEX('ZCB Curve - Payment Dates'!$D$2:$D$246,MATCH(B1062,'ZCB Curve - Payment Dates'!$A$2:$A$246,0))</f>
        <v>0.87778421628860481</v>
      </c>
      <c r="E1062" s="32">
        <f t="shared" si="16"/>
        <v>0.82292270277056701</v>
      </c>
    </row>
    <row r="1063" spans="1:5" x14ac:dyDescent="0.25">
      <c r="A1063" s="17">
        <v>215</v>
      </c>
      <c r="B1063" s="31">
        <v>47529</v>
      </c>
      <c r="C1063" s="32">
        <f>INDEX('Input Data'!$B:$B,A1063)/2+IF(A1063&lt;&gt;A1064,100,0)</f>
        <v>0.9375</v>
      </c>
      <c r="D1063" s="33">
        <f>INDEX('ZCB Curve - Payment Dates'!$D$2:$D$246,MATCH(B1063,'ZCB Curve - Payment Dates'!$A$2:$A$246,0))</f>
        <v>0.85751015570959666</v>
      </c>
      <c r="E1063" s="32">
        <f t="shared" si="16"/>
        <v>0.80391577097774691</v>
      </c>
    </row>
    <row r="1064" spans="1:5" x14ac:dyDescent="0.25">
      <c r="A1064" s="17">
        <v>215</v>
      </c>
      <c r="B1064" s="31">
        <v>47710</v>
      </c>
      <c r="C1064" s="32">
        <f>INDEX('Input Data'!$B:$B,A1064)/2+IF(A1064&lt;&gt;A1065,100,0)</f>
        <v>0.9375</v>
      </c>
      <c r="D1064" s="33">
        <f>INDEX('ZCB Curve - Payment Dates'!$D$2:$D$246,MATCH(B1064,'ZCB Curve - Payment Dates'!$A$2:$A$246,0))</f>
        <v>0.83802423748211174</v>
      </c>
      <c r="E1064" s="32">
        <f t="shared" si="16"/>
        <v>0.7856477226394798</v>
      </c>
    </row>
    <row r="1065" spans="1:5" x14ac:dyDescent="0.25">
      <c r="A1065" s="17">
        <v>215</v>
      </c>
      <c r="B1065" s="31">
        <v>47894</v>
      </c>
      <c r="C1065" s="32">
        <f>INDEX('Input Data'!$B:$B,A1065)/2+IF(A1065&lt;&gt;A1066,100,0)</f>
        <v>0.9375</v>
      </c>
      <c r="D1065" s="33">
        <f>INDEX('ZCB Curve - Payment Dates'!$D$2:$D$246,MATCH(B1065,'ZCB Curve - Payment Dates'!$A$2:$A$246,0))</f>
        <v>0.8186305474741673</v>
      </c>
      <c r="E1065" s="32">
        <f t="shared" si="16"/>
        <v>0.7674661382570318</v>
      </c>
    </row>
    <row r="1066" spans="1:5" x14ac:dyDescent="0.25">
      <c r="A1066" s="17">
        <v>215</v>
      </c>
      <c r="B1066" s="31">
        <v>48075</v>
      </c>
      <c r="C1066" s="32">
        <f>INDEX('Input Data'!$B:$B,A1066)/2+IF(A1066&lt;&gt;A1067,100,0)</f>
        <v>0.9375</v>
      </c>
      <c r="D1066" s="33">
        <f>INDEX('ZCB Curve - Payment Dates'!$D$2:$D$246,MATCH(B1066,'ZCB Curve - Payment Dates'!$A$2:$A$246,0))</f>
        <v>0.7999252334775927</v>
      </c>
      <c r="E1066" s="32">
        <f t="shared" si="16"/>
        <v>0.74992990638524315</v>
      </c>
    </row>
    <row r="1067" spans="1:5" x14ac:dyDescent="0.25">
      <c r="A1067" s="17">
        <v>215</v>
      </c>
      <c r="B1067" s="31">
        <v>48259</v>
      </c>
      <c r="C1067" s="32">
        <f>INDEX('Input Data'!$B:$B,A1067)/2+IF(A1067&lt;&gt;A1068,100,0)</f>
        <v>100.9375</v>
      </c>
      <c r="D1067" s="33">
        <f>INDEX('ZCB Curve - Payment Dates'!$D$2:$D$246,MATCH(B1067,'ZCB Curve - Payment Dates'!$A$2:$A$246,0))</f>
        <v>0.78121887027612602</v>
      </c>
      <c r="E1067" s="32">
        <f t="shared" si="16"/>
        <v>78.854279718496471</v>
      </c>
    </row>
    <row r="1068" spans="1:5" x14ac:dyDescent="0.25">
      <c r="A1068" s="17">
        <v>216</v>
      </c>
      <c r="B1068" s="31">
        <v>46446</v>
      </c>
      <c r="C1068" s="32">
        <f>INDEX('Input Data'!$B:$B,A1068)/2+IF(A1068&lt;&gt;A1069,100,0)</f>
        <v>2.0625</v>
      </c>
      <c r="D1068" s="33">
        <f>INDEX('ZCB Curve - Payment Dates'!$D$2:$D$246,MATCH(B1068,'ZCB Curve - Payment Dates'!$A$2:$A$246,0))</f>
        <v>0.98098215746395478</v>
      </c>
      <c r="E1068" s="32">
        <f t="shared" si="16"/>
        <v>2.0232756997694068</v>
      </c>
    </row>
    <row r="1069" spans="1:5" x14ac:dyDescent="0.25">
      <c r="A1069" s="17">
        <v>216</v>
      </c>
      <c r="B1069" s="31">
        <v>46630</v>
      </c>
      <c r="C1069" s="32">
        <f>INDEX('Input Data'!$B:$B,A1069)/2+IF(A1069&lt;&gt;A1070,100,0)</f>
        <v>2.0625</v>
      </c>
      <c r="D1069" s="33">
        <f>INDEX('ZCB Curve - Payment Dates'!$D$2:$D$246,MATCH(B1069,'ZCB Curve - Payment Dates'!$A$2:$A$246,0))</f>
        <v>0.96003246313192503</v>
      </c>
      <c r="E1069" s="32">
        <f t="shared" si="16"/>
        <v>1.9800669552095953</v>
      </c>
    </row>
    <row r="1070" spans="1:5" x14ac:dyDescent="0.25">
      <c r="A1070" s="17">
        <v>216</v>
      </c>
      <c r="B1070" s="31">
        <v>46812</v>
      </c>
      <c r="C1070" s="32">
        <f>INDEX('Input Data'!$B:$B,A1070)/2+IF(A1070&lt;&gt;A1071,100,0)</f>
        <v>2.0625</v>
      </c>
      <c r="D1070" s="33">
        <f>INDEX('ZCB Curve - Payment Dates'!$D$2:$D$246,MATCH(B1070,'ZCB Curve - Payment Dates'!$A$2:$A$246,0))</f>
        <v>0.938856338180596</v>
      </c>
      <c r="E1070" s="32">
        <f t="shared" si="16"/>
        <v>1.9363911974974792</v>
      </c>
    </row>
    <row r="1071" spans="1:5" x14ac:dyDescent="0.25">
      <c r="A1071" s="17">
        <v>216</v>
      </c>
      <c r="B1071" s="31">
        <v>46996</v>
      </c>
      <c r="C1071" s="32">
        <f>INDEX('Input Data'!$B:$B,A1071)/2+IF(A1071&lt;&gt;A1072,100,0)</f>
        <v>2.0625</v>
      </c>
      <c r="D1071" s="33">
        <f>INDEX('ZCB Curve - Payment Dates'!$D$2:$D$246,MATCH(B1071,'ZCB Curve - Payment Dates'!$A$2:$A$246,0))</f>
        <v>0.91746393725908559</v>
      </c>
      <c r="E1071" s="32">
        <f t="shared" si="16"/>
        <v>1.8922693705968641</v>
      </c>
    </row>
    <row r="1072" spans="1:5" x14ac:dyDescent="0.25">
      <c r="A1072" s="17">
        <v>216</v>
      </c>
      <c r="B1072" s="31">
        <v>47177</v>
      </c>
      <c r="C1072" s="32">
        <f>INDEX('Input Data'!$B:$B,A1072)/2+IF(A1072&lt;&gt;A1073,100,0)</f>
        <v>2.0625</v>
      </c>
      <c r="D1072" s="33">
        <f>INDEX('ZCB Curve - Payment Dates'!$D$2:$D$246,MATCH(B1072,'ZCB Curve - Payment Dates'!$A$2:$A$246,0))</f>
        <v>0.89669591867999909</v>
      </c>
      <c r="E1072" s="32">
        <f t="shared" si="16"/>
        <v>1.8494353322774981</v>
      </c>
    </row>
    <row r="1073" spans="1:5" x14ac:dyDescent="0.25">
      <c r="A1073" s="17">
        <v>216</v>
      </c>
      <c r="B1073" s="31">
        <v>47361</v>
      </c>
      <c r="C1073" s="32">
        <f>INDEX('Input Data'!$B:$B,A1073)/2+IF(A1073&lt;&gt;A1074,100,0)</f>
        <v>2.0625</v>
      </c>
      <c r="D1073" s="33">
        <f>INDEX('ZCB Curve - Payment Dates'!$D$2:$D$246,MATCH(B1073,'ZCB Curve - Payment Dates'!$A$2:$A$246,0))</f>
        <v>0.87600023126237014</v>
      </c>
      <c r="E1073" s="32">
        <f t="shared" si="16"/>
        <v>1.8067504769786384</v>
      </c>
    </row>
    <row r="1074" spans="1:5" x14ac:dyDescent="0.25">
      <c r="A1074" s="17">
        <v>216</v>
      </c>
      <c r="B1074" s="31">
        <v>47542</v>
      </c>
      <c r="C1074" s="32">
        <f>INDEX('Input Data'!$B:$B,A1074)/2+IF(A1074&lt;&gt;A1075,100,0)</f>
        <v>2.0625</v>
      </c>
      <c r="D1074" s="33">
        <f>INDEX('ZCB Curve - Payment Dates'!$D$2:$D$246,MATCH(B1074,'ZCB Curve - Payment Dates'!$A$2:$A$246,0))</f>
        <v>0.85609640433764933</v>
      </c>
      <c r="E1074" s="32">
        <f t="shared" si="16"/>
        <v>1.7656988339464017</v>
      </c>
    </row>
    <row r="1075" spans="1:5" x14ac:dyDescent="0.25">
      <c r="A1075" s="17">
        <v>216</v>
      </c>
      <c r="B1075" s="31">
        <v>47726</v>
      </c>
      <c r="C1075" s="32">
        <f>INDEX('Input Data'!$B:$B,A1075)/2+IF(A1075&lt;&gt;A1076,100,0)</f>
        <v>2.0625</v>
      </c>
      <c r="D1075" s="33">
        <f>INDEX('ZCB Curve - Payment Dates'!$D$2:$D$246,MATCH(B1075,'ZCB Curve - Payment Dates'!$A$2:$A$246,0))</f>
        <v>0.8363193958894809</v>
      </c>
      <c r="E1075" s="32">
        <f t="shared" si="16"/>
        <v>1.7249087540220545</v>
      </c>
    </row>
    <row r="1076" spans="1:5" x14ac:dyDescent="0.25">
      <c r="A1076" s="17">
        <v>216</v>
      </c>
      <c r="B1076" s="31">
        <v>47907</v>
      </c>
      <c r="C1076" s="32">
        <f>INDEX('Input Data'!$B:$B,A1076)/2+IF(A1076&lt;&gt;A1077,100,0)</f>
        <v>2.0625</v>
      </c>
      <c r="D1076" s="33">
        <f>INDEX('ZCB Curve - Payment Dates'!$D$2:$D$246,MATCH(B1076,'ZCB Curve - Payment Dates'!$A$2:$A$246,0))</f>
        <v>0.81727602093980778</v>
      </c>
      <c r="E1076" s="32">
        <f t="shared" si="16"/>
        <v>1.6856317931883535</v>
      </c>
    </row>
    <row r="1077" spans="1:5" x14ac:dyDescent="0.25">
      <c r="A1077" s="17">
        <v>216</v>
      </c>
      <c r="B1077" s="31">
        <v>48091</v>
      </c>
      <c r="C1077" s="32">
        <f>INDEX('Input Data'!$B:$B,A1077)/2+IF(A1077&lt;&gt;A1078,100,0)</f>
        <v>2.0625</v>
      </c>
      <c r="D1077" s="33">
        <f>INDEX('ZCB Curve - Payment Dates'!$D$2:$D$246,MATCH(B1077,'ZCB Curve - Payment Dates'!$A$2:$A$246,0))</f>
        <v>0.79828463215547174</v>
      </c>
      <c r="E1077" s="32">
        <f t="shared" si="16"/>
        <v>1.6464620538206605</v>
      </c>
    </row>
    <row r="1078" spans="1:5" x14ac:dyDescent="0.25">
      <c r="A1078" s="17">
        <v>216</v>
      </c>
      <c r="B1078" s="31">
        <v>48273</v>
      </c>
      <c r="C1078" s="32">
        <f>INDEX('Input Data'!$B:$B,A1078)/2+IF(A1078&lt;&gt;A1079,100,0)</f>
        <v>102.0625</v>
      </c>
      <c r="D1078" s="33">
        <f>INDEX('ZCB Curve - Payment Dates'!$D$2:$D$246,MATCH(B1078,'ZCB Curve - Payment Dates'!$A$2:$A$246,0))</f>
        <v>0.77980937275311846</v>
      </c>
      <c r="E1078" s="32">
        <f t="shared" si="16"/>
        <v>79.589294106615156</v>
      </c>
    </row>
    <row r="1079" spans="1:5" x14ac:dyDescent="0.25">
      <c r="A1079" s="17">
        <v>217</v>
      </c>
      <c r="B1079" s="31">
        <v>46295</v>
      </c>
      <c r="C1079" s="32">
        <f>INDEX('Input Data'!$B:$B,A1079)/2+IF(A1079&lt;&gt;A1080,100,0)</f>
        <v>2.0625</v>
      </c>
      <c r="D1079" s="33">
        <f>INDEX('ZCB Curve - Payment Dates'!$D$2:$D$246,MATCH(B1079,'ZCB Curve - Payment Dates'!$A$2:$A$246,0))</f>
        <v>0.9973127951237063</v>
      </c>
      <c r="E1079" s="32">
        <f t="shared" si="16"/>
        <v>2.0569576399426444</v>
      </c>
    </row>
    <row r="1080" spans="1:5" x14ac:dyDescent="0.25">
      <c r="A1080" s="17">
        <v>217</v>
      </c>
      <c r="B1080" s="31">
        <v>46477</v>
      </c>
      <c r="C1080" s="32">
        <f>INDEX('Input Data'!$B:$B,A1080)/2+IF(A1080&lt;&gt;A1081,100,0)</f>
        <v>2.0625</v>
      </c>
      <c r="D1080" s="33">
        <f>INDEX('ZCB Curve - Payment Dates'!$D$2:$D$246,MATCH(B1080,'ZCB Curve - Payment Dates'!$A$2:$A$246,0))</f>
        <v>0.97750981974188245</v>
      </c>
      <c r="E1080" s="32">
        <f t="shared" si="16"/>
        <v>2.0161140032176323</v>
      </c>
    </row>
    <row r="1081" spans="1:5" x14ac:dyDescent="0.25">
      <c r="A1081" s="17">
        <v>217</v>
      </c>
      <c r="B1081" s="31">
        <v>46660</v>
      </c>
      <c r="C1081" s="32">
        <f>INDEX('Input Data'!$B:$B,A1081)/2+IF(A1081&lt;&gt;A1082,100,0)</f>
        <v>2.0625</v>
      </c>
      <c r="D1081" s="33">
        <f>INDEX('ZCB Curve - Payment Dates'!$D$2:$D$246,MATCH(B1081,'ZCB Curve - Payment Dates'!$A$2:$A$246,0))</f>
        <v>0.95655761994841249</v>
      </c>
      <c r="E1081" s="32">
        <f t="shared" si="16"/>
        <v>1.9729000911436008</v>
      </c>
    </row>
    <row r="1082" spans="1:5" x14ac:dyDescent="0.25">
      <c r="A1082" s="17">
        <v>217</v>
      </c>
      <c r="B1082" s="31">
        <v>46843</v>
      </c>
      <c r="C1082" s="32">
        <f>INDEX('Input Data'!$B:$B,A1082)/2+IF(A1082&lt;&gt;A1083,100,0)</f>
        <v>2.0625</v>
      </c>
      <c r="D1082" s="33">
        <f>INDEX('ZCB Curve - Payment Dates'!$D$2:$D$246,MATCH(B1082,'ZCB Curve - Payment Dates'!$A$2:$A$246,0))</f>
        <v>0.93524308702159842</v>
      </c>
      <c r="E1082" s="32">
        <f t="shared" si="16"/>
        <v>1.9289388669820466</v>
      </c>
    </row>
    <row r="1083" spans="1:5" x14ac:dyDescent="0.25">
      <c r="A1083" s="17">
        <v>217</v>
      </c>
      <c r="B1083" s="31">
        <v>47026</v>
      </c>
      <c r="C1083" s="32">
        <f>INDEX('Input Data'!$B:$B,A1083)/2+IF(A1083&lt;&gt;A1084,100,0)</f>
        <v>2.0625</v>
      </c>
      <c r="D1083" s="33">
        <f>INDEX('ZCB Curve - Payment Dates'!$D$2:$D$246,MATCH(B1083,'ZCB Curve - Payment Dates'!$A$2:$A$246,0))</f>
        <v>0.91399761223542642</v>
      </c>
      <c r="E1083" s="32">
        <f t="shared" si="16"/>
        <v>1.885120075235567</v>
      </c>
    </row>
    <row r="1084" spans="1:5" x14ac:dyDescent="0.25">
      <c r="A1084" s="17">
        <v>217</v>
      </c>
      <c r="B1084" s="31">
        <v>47208</v>
      </c>
      <c r="C1084" s="32">
        <f>INDEX('Input Data'!$B:$B,A1084)/2+IF(A1084&lt;&gt;A1085,100,0)</f>
        <v>2.0625</v>
      </c>
      <c r="D1084" s="33">
        <f>INDEX('ZCB Curve - Payment Dates'!$D$2:$D$246,MATCH(B1084,'ZCB Curve - Payment Dates'!$A$2:$A$246,0))</f>
        <v>0.89317885092878757</v>
      </c>
      <c r="E1084" s="32">
        <f t="shared" si="16"/>
        <v>1.8421813800406244</v>
      </c>
    </row>
    <row r="1085" spans="1:5" x14ac:dyDescent="0.25">
      <c r="A1085" s="17">
        <v>217</v>
      </c>
      <c r="B1085" s="31">
        <v>47391</v>
      </c>
      <c r="C1085" s="32">
        <f>INDEX('Input Data'!$B:$B,A1085)/2+IF(A1085&lt;&gt;A1086,100,0)</f>
        <v>2.0625</v>
      </c>
      <c r="D1085" s="33">
        <f>INDEX('ZCB Curve - Payment Dates'!$D$2:$D$246,MATCH(B1085,'ZCB Curve - Payment Dates'!$A$2:$A$246,0))</f>
        <v>0.87266944281946834</v>
      </c>
      <c r="E1085" s="32">
        <f t="shared" si="16"/>
        <v>1.7998807258151535</v>
      </c>
    </row>
    <row r="1086" spans="1:5" x14ac:dyDescent="0.25">
      <c r="A1086" s="17">
        <v>217</v>
      </c>
      <c r="B1086" s="31">
        <v>47573</v>
      </c>
      <c r="C1086" s="32">
        <f>INDEX('Input Data'!$B:$B,A1086)/2+IF(A1086&lt;&gt;A1087,100,0)</f>
        <v>2.0625</v>
      </c>
      <c r="D1086" s="33">
        <f>INDEX('ZCB Curve - Payment Dates'!$D$2:$D$246,MATCH(B1086,'ZCB Curve - Payment Dates'!$A$2:$A$246,0))</f>
        <v>0.85273413261763187</v>
      </c>
      <c r="E1086" s="32">
        <f t="shared" si="16"/>
        <v>1.7587641485238656</v>
      </c>
    </row>
    <row r="1087" spans="1:5" x14ac:dyDescent="0.25">
      <c r="A1087" s="17">
        <v>217</v>
      </c>
      <c r="B1087" s="31">
        <v>47756</v>
      </c>
      <c r="C1087" s="32">
        <f>INDEX('Input Data'!$B:$B,A1087)/2+IF(A1087&lt;&gt;A1088,100,0)</f>
        <v>2.0625</v>
      </c>
      <c r="D1087" s="33">
        <f>INDEX('ZCB Curve - Payment Dates'!$D$2:$D$246,MATCH(B1087,'ZCB Curve - Payment Dates'!$A$2:$A$246,0))</f>
        <v>0.83313578966851842</v>
      </c>
      <c r="E1087" s="32">
        <f t="shared" si="16"/>
        <v>1.7183425661913192</v>
      </c>
    </row>
    <row r="1088" spans="1:5" x14ac:dyDescent="0.25">
      <c r="A1088" s="17">
        <v>217</v>
      </c>
      <c r="B1088" s="31">
        <v>47938</v>
      </c>
      <c r="C1088" s="32">
        <f>INDEX('Input Data'!$B:$B,A1088)/2+IF(A1088&lt;&gt;A1089,100,0)</f>
        <v>2.0625</v>
      </c>
      <c r="D1088" s="33">
        <f>INDEX('ZCB Curve - Payment Dates'!$D$2:$D$246,MATCH(B1088,'ZCB Curve - Payment Dates'!$A$2:$A$246,0))</f>
        <v>0.81405312340218006</v>
      </c>
      <c r="E1088" s="32">
        <f t="shared" si="16"/>
        <v>1.6789845670169963</v>
      </c>
    </row>
    <row r="1089" spans="1:5" x14ac:dyDescent="0.25">
      <c r="A1089" s="17">
        <v>217</v>
      </c>
      <c r="B1089" s="31">
        <v>48121</v>
      </c>
      <c r="C1089" s="32">
        <f>INDEX('Input Data'!$B:$B,A1089)/2+IF(A1089&lt;&gt;A1090,100,0)</f>
        <v>2.0625</v>
      </c>
      <c r="D1089" s="33">
        <f>INDEX('ZCB Curve - Payment Dates'!$D$2:$D$246,MATCH(B1089,'ZCB Curve - Payment Dates'!$A$2:$A$246,0))</f>
        <v>0.79521907488715848</v>
      </c>
      <c r="E1089" s="32">
        <f t="shared" si="16"/>
        <v>1.6401393419547643</v>
      </c>
    </row>
    <row r="1090" spans="1:5" x14ac:dyDescent="0.25">
      <c r="A1090" s="17">
        <v>217</v>
      </c>
      <c r="B1090" s="31">
        <v>48304</v>
      </c>
      <c r="C1090" s="32">
        <f>INDEX('Input Data'!$B:$B,A1090)/2+IF(A1090&lt;&gt;A1091,100,0)</f>
        <v>102.0625</v>
      </c>
      <c r="D1090" s="33">
        <f>INDEX('ZCB Curve - Payment Dates'!$D$2:$D$246,MATCH(B1090,'ZCB Curve - Payment Dates'!$A$2:$A$246,0))</f>
        <v>0.77669025737629127</v>
      </c>
      <c r="E1090" s="32">
        <f t="shared" ref="E1090:E1153" si="17">C1090*D1090</f>
        <v>79.270949393467731</v>
      </c>
    </row>
    <row r="1091" spans="1:5" x14ac:dyDescent="0.25">
      <c r="A1091" s="17">
        <v>218</v>
      </c>
      <c r="B1091" s="31">
        <v>46326</v>
      </c>
      <c r="C1091" s="32">
        <f>INDEX('Input Data'!$B:$B,A1091)/2+IF(A1091&lt;&gt;A1092,100,0)</f>
        <v>2</v>
      </c>
      <c r="D1091" s="33">
        <f>INDEX('ZCB Curve - Payment Dates'!$D$2:$D$246,MATCH(B1091,'ZCB Curve - Payment Dates'!$A$2:$A$246,0))</f>
        <v>0.99405055111674689</v>
      </c>
      <c r="E1091" s="32">
        <f t="shared" si="17"/>
        <v>1.9881011022334938</v>
      </c>
    </row>
    <row r="1092" spans="1:5" x14ac:dyDescent="0.25">
      <c r="A1092" s="17">
        <v>218</v>
      </c>
      <c r="B1092" s="31">
        <v>46507</v>
      </c>
      <c r="C1092" s="32">
        <f>INDEX('Input Data'!$B:$B,A1092)/2+IF(A1092&lt;&gt;A1093,100,0)</f>
        <v>2</v>
      </c>
      <c r="D1092" s="33">
        <f>INDEX('ZCB Curve - Payment Dates'!$D$2:$D$246,MATCH(B1092,'ZCB Curve - Payment Dates'!$A$2:$A$246,0))</f>
        <v>0.97412390690574091</v>
      </c>
      <c r="E1092" s="32">
        <f t="shared" si="17"/>
        <v>1.9482478138114818</v>
      </c>
    </row>
    <row r="1093" spans="1:5" x14ac:dyDescent="0.25">
      <c r="A1093" s="17">
        <v>218</v>
      </c>
      <c r="B1093" s="31">
        <v>46691</v>
      </c>
      <c r="C1093" s="32">
        <f>INDEX('Input Data'!$B:$B,A1093)/2+IF(A1093&lt;&gt;A1094,100,0)</f>
        <v>2</v>
      </c>
      <c r="D1093" s="33">
        <f>INDEX('ZCB Curve - Payment Dates'!$D$2:$D$246,MATCH(B1093,'ZCB Curve - Payment Dates'!$A$2:$A$246,0))</f>
        <v>0.95295491595466364</v>
      </c>
      <c r="E1093" s="32">
        <f t="shared" si="17"/>
        <v>1.9059098319093273</v>
      </c>
    </row>
    <row r="1094" spans="1:5" x14ac:dyDescent="0.25">
      <c r="A1094" s="17">
        <v>218</v>
      </c>
      <c r="B1094" s="31">
        <v>46873</v>
      </c>
      <c r="C1094" s="32">
        <f>INDEX('Input Data'!$B:$B,A1094)/2+IF(A1094&lt;&gt;A1095,100,0)</f>
        <v>2</v>
      </c>
      <c r="D1094" s="33">
        <f>INDEX('ZCB Curve - Payment Dates'!$D$2:$D$246,MATCH(B1094,'ZCB Curve - Payment Dates'!$A$2:$A$246,0))</f>
        <v>0.93174702042500246</v>
      </c>
      <c r="E1094" s="32">
        <f t="shared" si="17"/>
        <v>1.8634940408500049</v>
      </c>
    </row>
    <row r="1095" spans="1:5" x14ac:dyDescent="0.25">
      <c r="A1095" s="17">
        <v>218</v>
      </c>
      <c r="B1095" s="31">
        <v>47057</v>
      </c>
      <c r="C1095" s="32">
        <f>INDEX('Input Data'!$B:$B,A1095)/2+IF(A1095&lt;&gt;A1096,100,0)</f>
        <v>2</v>
      </c>
      <c r="D1095" s="33">
        <f>INDEX('ZCB Curve - Payment Dates'!$D$2:$D$246,MATCH(B1095,'ZCB Curve - Payment Dates'!$A$2:$A$246,0))</f>
        <v>0.91042649241905782</v>
      </c>
      <c r="E1095" s="32">
        <f t="shared" si="17"/>
        <v>1.8208529848381156</v>
      </c>
    </row>
    <row r="1096" spans="1:5" x14ac:dyDescent="0.25">
      <c r="A1096" s="17">
        <v>218</v>
      </c>
      <c r="B1096" s="31">
        <v>47238</v>
      </c>
      <c r="C1096" s="32">
        <f>INDEX('Input Data'!$B:$B,A1096)/2+IF(A1096&lt;&gt;A1097,100,0)</f>
        <v>2</v>
      </c>
      <c r="D1096" s="33">
        <f>INDEX('ZCB Curve - Payment Dates'!$D$2:$D$246,MATCH(B1096,'ZCB Curve - Payment Dates'!$A$2:$A$246,0))</f>
        <v>0.88978547878922043</v>
      </c>
      <c r="E1096" s="32">
        <f t="shared" si="17"/>
        <v>1.7795709575784409</v>
      </c>
    </row>
    <row r="1097" spans="1:5" x14ac:dyDescent="0.25">
      <c r="A1097" s="17">
        <v>218</v>
      </c>
      <c r="B1097" s="31">
        <v>47422</v>
      </c>
      <c r="C1097" s="32">
        <f>INDEX('Input Data'!$B:$B,A1097)/2+IF(A1097&lt;&gt;A1098,100,0)</f>
        <v>2</v>
      </c>
      <c r="D1097" s="33">
        <f>INDEX('ZCB Curve - Payment Dates'!$D$2:$D$246,MATCH(B1097,'ZCB Curve - Payment Dates'!$A$2:$A$246,0))</f>
        <v>0.86924243542459101</v>
      </c>
      <c r="E1097" s="32">
        <f t="shared" si="17"/>
        <v>1.738484870849182</v>
      </c>
    </row>
    <row r="1098" spans="1:5" x14ac:dyDescent="0.25">
      <c r="A1098" s="17">
        <v>218</v>
      </c>
      <c r="B1098" s="31">
        <v>47603</v>
      </c>
      <c r="C1098" s="32">
        <f>INDEX('Input Data'!$B:$B,A1098)/2+IF(A1098&lt;&gt;A1099,100,0)</f>
        <v>2</v>
      </c>
      <c r="D1098" s="33">
        <f>INDEX('ZCB Curve - Payment Dates'!$D$2:$D$246,MATCH(B1098,'ZCB Curve - Payment Dates'!$A$2:$A$246,0))</f>
        <v>0.84949114767876688</v>
      </c>
      <c r="E1098" s="32">
        <f t="shared" si="17"/>
        <v>1.6989822953575338</v>
      </c>
    </row>
    <row r="1099" spans="1:5" x14ac:dyDescent="0.25">
      <c r="A1099" s="17">
        <v>218</v>
      </c>
      <c r="B1099" s="31">
        <v>47787</v>
      </c>
      <c r="C1099" s="32">
        <f>INDEX('Input Data'!$B:$B,A1099)/2+IF(A1099&lt;&gt;A1100,100,0)</f>
        <v>2</v>
      </c>
      <c r="D1099" s="33">
        <f>INDEX('ZCB Curve - Payment Dates'!$D$2:$D$246,MATCH(B1099,'ZCB Curve - Payment Dates'!$A$2:$A$246,0))</f>
        <v>0.82985919250556395</v>
      </c>
      <c r="E1099" s="32">
        <f t="shared" si="17"/>
        <v>1.6597183850111279</v>
      </c>
    </row>
    <row r="1100" spans="1:5" x14ac:dyDescent="0.25">
      <c r="A1100" s="17">
        <v>218</v>
      </c>
      <c r="B1100" s="31">
        <v>47968</v>
      </c>
      <c r="C1100" s="32">
        <f>INDEX('Input Data'!$B:$B,A1100)/2+IF(A1100&lt;&gt;A1101,100,0)</f>
        <v>2</v>
      </c>
      <c r="D1100" s="33">
        <f>INDEX('ZCB Curve - Payment Dates'!$D$2:$D$246,MATCH(B1100,'ZCB Curve - Payment Dates'!$A$2:$A$246,0))</f>
        <v>0.81094247698820199</v>
      </c>
      <c r="E1100" s="32">
        <f t="shared" si="17"/>
        <v>1.621884953976404</v>
      </c>
    </row>
    <row r="1101" spans="1:5" x14ac:dyDescent="0.25">
      <c r="A1101" s="17">
        <v>218</v>
      </c>
      <c r="B1101" s="31">
        <v>48152</v>
      </c>
      <c r="C1101" s="32">
        <f>INDEX('Input Data'!$B:$B,A1101)/2+IF(A1101&lt;&gt;A1102,100,0)</f>
        <v>2</v>
      </c>
      <c r="D1101" s="33">
        <f>INDEX('ZCB Curve - Payment Dates'!$D$2:$D$246,MATCH(B1101,'ZCB Curve - Payment Dates'!$A$2:$A$246,0))</f>
        <v>0.79206132015103392</v>
      </c>
      <c r="E1101" s="32">
        <f t="shared" si="17"/>
        <v>1.5841226403020678</v>
      </c>
    </row>
    <row r="1102" spans="1:5" x14ac:dyDescent="0.25">
      <c r="A1102" s="17">
        <v>218</v>
      </c>
      <c r="B1102" s="31">
        <v>48334</v>
      </c>
      <c r="C1102" s="32">
        <f>INDEX('Input Data'!$B:$B,A1102)/2+IF(A1102&lt;&gt;A1103,100,0)</f>
        <v>102</v>
      </c>
      <c r="D1102" s="33">
        <f>INDEX('ZCB Curve - Payment Dates'!$D$2:$D$246,MATCH(B1102,'ZCB Curve - Payment Dates'!$A$2:$A$246,0))</f>
        <v>0.77367715717585139</v>
      </c>
      <c r="E1102" s="32">
        <f t="shared" si="17"/>
        <v>78.915070031936835</v>
      </c>
    </row>
    <row r="1103" spans="1:5" x14ac:dyDescent="0.25">
      <c r="A1103" s="17">
        <v>219</v>
      </c>
      <c r="B1103" s="31">
        <v>46341</v>
      </c>
      <c r="C1103" s="32">
        <f>INDEX('Input Data'!$B:$B,A1103)/2+IF(A1103&lt;&gt;A1104,100,0)</f>
        <v>1.4375</v>
      </c>
      <c r="D1103" s="33">
        <f>INDEX('ZCB Curve - Payment Dates'!$D$2:$D$246,MATCH(B1103,'ZCB Curve - Payment Dates'!$A$2:$A$246,0))</f>
        <v>0.99245367292309439</v>
      </c>
      <c r="E1103" s="32">
        <f t="shared" si="17"/>
        <v>1.4266521548269482</v>
      </c>
    </row>
    <row r="1104" spans="1:5" x14ac:dyDescent="0.25">
      <c r="A1104" s="17">
        <v>219</v>
      </c>
      <c r="B1104" s="31">
        <v>46522</v>
      </c>
      <c r="C1104" s="32">
        <f>INDEX('Input Data'!$B:$B,A1104)/2+IF(A1104&lt;&gt;A1105,100,0)</f>
        <v>1.4375</v>
      </c>
      <c r="D1104" s="33">
        <f>INDEX('ZCB Curve - Payment Dates'!$D$2:$D$246,MATCH(B1104,'ZCB Curve - Payment Dates'!$A$2:$A$246,0))</f>
        <v>0.97242179559611874</v>
      </c>
      <c r="E1104" s="32">
        <f t="shared" si="17"/>
        <v>1.3978563311694208</v>
      </c>
    </row>
    <row r="1105" spans="1:5" x14ac:dyDescent="0.25">
      <c r="A1105" s="17">
        <v>219</v>
      </c>
      <c r="B1105" s="31">
        <v>46706</v>
      </c>
      <c r="C1105" s="32">
        <f>INDEX('Input Data'!$B:$B,A1105)/2+IF(A1105&lt;&gt;A1106,100,0)</f>
        <v>1.4375</v>
      </c>
      <c r="D1105" s="33">
        <f>INDEX('ZCB Curve - Payment Dates'!$D$2:$D$246,MATCH(B1105,'ZCB Curve - Payment Dates'!$A$2:$A$246,0))</f>
        <v>0.95121018311627348</v>
      </c>
      <c r="E1105" s="32">
        <f t="shared" si="17"/>
        <v>1.3673646382296432</v>
      </c>
    </row>
    <row r="1106" spans="1:5" x14ac:dyDescent="0.25">
      <c r="A1106" s="17">
        <v>219</v>
      </c>
      <c r="B1106" s="31">
        <v>46888</v>
      </c>
      <c r="C1106" s="32">
        <f>INDEX('Input Data'!$B:$B,A1106)/2+IF(A1106&lt;&gt;A1107,100,0)</f>
        <v>1.4375</v>
      </c>
      <c r="D1106" s="33">
        <f>INDEX('ZCB Curve - Payment Dates'!$D$2:$D$246,MATCH(B1106,'ZCB Curve - Payment Dates'!$A$2:$A$246,0))</f>
        <v>0.93000025435083566</v>
      </c>
      <c r="E1106" s="32">
        <f t="shared" si="17"/>
        <v>1.3368753656293262</v>
      </c>
    </row>
    <row r="1107" spans="1:5" x14ac:dyDescent="0.25">
      <c r="A1107" s="17">
        <v>219</v>
      </c>
      <c r="B1107" s="31">
        <v>47072</v>
      </c>
      <c r="C1107" s="32">
        <f>INDEX('Input Data'!$B:$B,A1107)/2+IF(A1107&lt;&gt;A1108,100,0)</f>
        <v>1.4375</v>
      </c>
      <c r="D1107" s="33">
        <f>INDEX('ZCB Curve - Payment Dates'!$D$2:$D$246,MATCH(B1107,'ZCB Curve - Payment Dates'!$A$2:$A$246,0))</f>
        <v>0.90870125167038918</v>
      </c>
      <c r="E1107" s="32">
        <f t="shared" si="17"/>
        <v>1.3062580492761844</v>
      </c>
    </row>
    <row r="1108" spans="1:5" x14ac:dyDescent="0.25">
      <c r="A1108" s="17">
        <v>219</v>
      </c>
      <c r="B1108" s="31">
        <v>47253</v>
      </c>
      <c r="C1108" s="32">
        <f>INDEX('Input Data'!$B:$B,A1108)/2+IF(A1108&lt;&gt;A1109,100,0)</f>
        <v>1.4375</v>
      </c>
      <c r="D1108" s="33">
        <f>INDEX('ZCB Curve - Payment Dates'!$D$2:$D$246,MATCH(B1108,'ZCB Curve - Payment Dates'!$A$2:$A$246,0))</f>
        <v>0.88809325063638844</v>
      </c>
      <c r="E1108" s="32">
        <f t="shared" si="17"/>
        <v>1.2766340477898084</v>
      </c>
    </row>
    <row r="1109" spans="1:5" x14ac:dyDescent="0.25">
      <c r="A1109" s="17">
        <v>219</v>
      </c>
      <c r="B1109" s="31">
        <v>47437</v>
      </c>
      <c r="C1109" s="32">
        <f>INDEX('Input Data'!$B:$B,A1109)/2+IF(A1109&lt;&gt;A1110,100,0)</f>
        <v>1.4375</v>
      </c>
      <c r="D1109" s="33">
        <f>INDEX('ZCB Curve - Payment Dates'!$D$2:$D$246,MATCH(B1109,'ZCB Curve - Payment Dates'!$A$2:$A$246,0))</f>
        <v>0.86758824089536279</v>
      </c>
      <c r="E1109" s="32">
        <f t="shared" si="17"/>
        <v>1.2471580962870841</v>
      </c>
    </row>
    <row r="1110" spans="1:5" x14ac:dyDescent="0.25">
      <c r="A1110" s="17">
        <v>219</v>
      </c>
      <c r="B1110" s="31">
        <v>47618</v>
      </c>
      <c r="C1110" s="32">
        <f>INDEX('Input Data'!$B:$B,A1110)/2+IF(A1110&lt;&gt;A1111,100,0)</f>
        <v>1.4375</v>
      </c>
      <c r="D1110" s="33">
        <f>INDEX('ZCB Curve - Payment Dates'!$D$2:$D$246,MATCH(B1110,'ZCB Curve - Payment Dates'!$A$2:$A$246,0))</f>
        <v>0.84787416911783064</v>
      </c>
      <c r="E1110" s="32">
        <f t="shared" si="17"/>
        <v>1.2188191181068815</v>
      </c>
    </row>
    <row r="1111" spans="1:5" x14ac:dyDescent="0.25">
      <c r="A1111" s="17">
        <v>219</v>
      </c>
      <c r="B1111" s="31">
        <v>47802</v>
      </c>
      <c r="C1111" s="32">
        <f>INDEX('Input Data'!$B:$B,A1111)/2+IF(A1111&lt;&gt;A1112,100,0)</f>
        <v>1.4375</v>
      </c>
      <c r="D1111" s="33">
        <f>INDEX('ZCB Curve - Payment Dates'!$D$2:$D$246,MATCH(B1111,'ZCB Curve - Payment Dates'!$A$2:$A$246,0))</f>
        <v>0.82827715028796722</v>
      </c>
      <c r="E1111" s="32">
        <f t="shared" si="17"/>
        <v>1.1906484035389528</v>
      </c>
    </row>
    <row r="1112" spans="1:5" x14ac:dyDescent="0.25">
      <c r="A1112" s="17">
        <v>219</v>
      </c>
      <c r="B1112" s="31">
        <v>47983</v>
      </c>
      <c r="C1112" s="32">
        <f>INDEX('Input Data'!$B:$B,A1112)/2+IF(A1112&lt;&gt;A1113,100,0)</f>
        <v>1.4375</v>
      </c>
      <c r="D1112" s="33">
        <f>INDEX('ZCB Curve - Payment Dates'!$D$2:$D$246,MATCH(B1112,'ZCB Curve - Payment Dates'!$A$2:$A$246,0))</f>
        <v>0.80939067484273564</v>
      </c>
      <c r="E1112" s="32">
        <f t="shared" si="17"/>
        <v>1.1634990950864326</v>
      </c>
    </row>
    <row r="1113" spans="1:5" x14ac:dyDescent="0.25">
      <c r="A1113" s="17">
        <v>219</v>
      </c>
      <c r="B1113" s="31">
        <v>48167</v>
      </c>
      <c r="C1113" s="32">
        <f>INDEX('Input Data'!$B:$B,A1113)/2+IF(A1113&lt;&gt;A1114,100,0)</f>
        <v>1.4375</v>
      </c>
      <c r="D1113" s="33">
        <f>INDEX('ZCB Curve - Payment Dates'!$D$2:$D$246,MATCH(B1113,'ZCB Curve - Payment Dates'!$A$2:$A$246,0))</f>
        <v>0.79053567842581962</v>
      </c>
      <c r="E1113" s="32">
        <f t="shared" si="17"/>
        <v>1.1363950377371157</v>
      </c>
    </row>
    <row r="1114" spans="1:5" x14ac:dyDescent="0.25">
      <c r="A1114" s="17">
        <v>219</v>
      </c>
      <c r="B1114" s="31">
        <v>48349</v>
      </c>
      <c r="C1114" s="32">
        <f>INDEX('Input Data'!$B:$B,A1114)/2+IF(A1114&lt;&gt;A1115,100,0)</f>
        <v>101.4375</v>
      </c>
      <c r="D1114" s="33">
        <f>INDEX('ZCB Curve - Payment Dates'!$D$2:$D$246,MATCH(B1114,'ZCB Curve - Payment Dates'!$A$2:$A$246,0))</f>
        <v>0.77217305702007488</v>
      </c>
      <c r="E1114" s="32">
        <f t="shared" si="17"/>
        <v>78.327304471473852</v>
      </c>
    </row>
    <row r="1115" spans="1:5" x14ac:dyDescent="0.25">
      <c r="A1115" s="17">
        <v>220</v>
      </c>
      <c r="B1115" s="31">
        <v>46356</v>
      </c>
      <c r="C1115" s="32">
        <f>INDEX('Input Data'!$B:$B,A1115)/2+IF(A1115&lt;&gt;A1116,100,0)</f>
        <v>2.0625</v>
      </c>
      <c r="D1115" s="33">
        <f>INDEX('ZCB Curve - Payment Dates'!$D$2:$D$246,MATCH(B1115,'ZCB Curve - Payment Dates'!$A$2:$A$246,0))</f>
        <v>0.99084497326382592</v>
      </c>
      <c r="E1115" s="32">
        <f t="shared" si="17"/>
        <v>2.0436177573566408</v>
      </c>
    </row>
    <row r="1116" spans="1:5" x14ac:dyDescent="0.25">
      <c r="A1116" s="17">
        <v>220</v>
      </c>
      <c r="B1116" s="31">
        <v>46538</v>
      </c>
      <c r="C1116" s="32">
        <f>INDEX('Input Data'!$B:$B,A1116)/2+IF(A1116&lt;&gt;A1117,100,0)</f>
        <v>2.0625</v>
      </c>
      <c r="D1116" s="33">
        <f>INDEX('ZCB Curve - Payment Dates'!$D$2:$D$246,MATCH(B1116,'ZCB Curve - Payment Dates'!$A$2:$A$246,0))</f>
        <v>0.97060179184855555</v>
      </c>
      <c r="E1116" s="32">
        <f t="shared" si="17"/>
        <v>2.0018661956876458</v>
      </c>
    </row>
    <row r="1117" spans="1:5" x14ac:dyDescent="0.25">
      <c r="A1117" s="17">
        <v>220</v>
      </c>
      <c r="B1117" s="31">
        <v>46721</v>
      </c>
      <c r="C1117" s="32">
        <f>INDEX('Input Data'!$B:$B,A1117)/2+IF(A1117&lt;&gt;A1118,100,0)</f>
        <v>2.0625</v>
      </c>
      <c r="D1117" s="33">
        <f>INDEX('ZCB Curve - Payment Dates'!$D$2:$D$246,MATCH(B1117,'ZCB Curve - Payment Dates'!$A$2:$A$246,0))</f>
        <v>0.94946404326393219</v>
      </c>
      <c r="E1117" s="32">
        <f t="shared" si="17"/>
        <v>1.9582695892318602</v>
      </c>
    </row>
    <row r="1118" spans="1:5" x14ac:dyDescent="0.25">
      <c r="A1118" s="17">
        <v>220</v>
      </c>
      <c r="B1118" s="31">
        <v>46904</v>
      </c>
      <c r="C1118" s="32">
        <f>INDEX('Input Data'!$B:$B,A1118)/2+IF(A1118&lt;&gt;A1119,100,0)</f>
        <v>2.0625</v>
      </c>
      <c r="D1118" s="33">
        <f>INDEX('ZCB Curve - Payment Dates'!$D$2:$D$246,MATCH(B1118,'ZCB Curve - Payment Dates'!$A$2:$A$246,0))</f>
        <v>0.92813990099508414</v>
      </c>
      <c r="E1118" s="32">
        <f t="shared" si="17"/>
        <v>1.9142885458023611</v>
      </c>
    </row>
    <row r="1119" spans="1:5" x14ac:dyDescent="0.25">
      <c r="A1119" s="17">
        <v>220</v>
      </c>
      <c r="B1119" s="31">
        <v>47087</v>
      </c>
      <c r="C1119" s="32">
        <f>INDEX('Input Data'!$B:$B,A1119)/2+IF(A1119&lt;&gt;A1120,100,0)</f>
        <v>2.0625</v>
      </c>
      <c r="D1119" s="33">
        <f>INDEX('ZCB Curve - Payment Dates'!$D$2:$D$246,MATCH(B1119,'ZCB Curve - Payment Dates'!$A$2:$A$246,0))</f>
        <v>0.90697842456009181</v>
      </c>
      <c r="E1119" s="32">
        <f t="shared" si="17"/>
        <v>1.8706430006551893</v>
      </c>
    </row>
    <row r="1120" spans="1:5" x14ac:dyDescent="0.25">
      <c r="A1120" s="17">
        <v>220</v>
      </c>
      <c r="B1120" s="31">
        <v>47269</v>
      </c>
      <c r="C1120" s="32">
        <f>INDEX('Input Data'!$B:$B,A1120)/2+IF(A1120&lt;&gt;A1121,100,0)</f>
        <v>2.0625</v>
      </c>
      <c r="D1120" s="33">
        <f>INDEX('ZCB Curve - Payment Dates'!$D$2:$D$246,MATCH(B1120,'ZCB Curve - Payment Dates'!$A$2:$A$246,0))</f>
        <v>0.88629316931415014</v>
      </c>
      <c r="E1120" s="32">
        <f t="shared" si="17"/>
        <v>1.8279796617104347</v>
      </c>
    </row>
    <row r="1121" spans="1:5" x14ac:dyDescent="0.25">
      <c r="A1121" s="17">
        <v>220</v>
      </c>
      <c r="B1121" s="31">
        <v>47452</v>
      </c>
      <c r="C1121" s="32">
        <f>INDEX('Input Data'!$B:$B,A1121)/2+IF(A1121&lt;&gt;A1122,100,0)</f>
        <v>2.0625</v>
      </c>
      <c r="D1121" s="33">
        <f>INDEX('ZCB Curve - Payment Dates'!$D$2:$D$246,MATCH(B1121,'ZCB Curve - Payment Dates'!$A$2:$A$246,0))</f>
        <v>0.86593718552386212</v>
      </c>
      <c r="E1121" s="32">
        <f t="shared" si="17"/>
        <v>1.7859954451429656</v>
      </c>
    </row>
    <row r="1122" spans="1:5" x14ac:dyDescent="0.25">
      <c r="A1122" s="17">
        <v>220</v>
      </c>
      <c r="B1122" s="31">
        <v>47634</v>
      </c>
      <c r="C1122" s="32">
        <f>INDEX('Input Data'!$B:$B,A1122)/2+IF(A1122&lt;&gt;A1123,100,0)</f>
        <v>2.0625</v>
      </c>
      <c r="D1122" s="33">
        <f>INDEX('ZCB Curve - Payment Dates'!$D$2:$D$246,MATCH(B1122,'ZCB Curve - Payment Dates'!$A$2:$A$246,0))</f>
        <v>0.84615424839536502</v>
      </c>
      <c r="E1122" s="32">
        <f t="shared" si="17"/>
        <v>1.7451931373154403</v>
      </c>
    </row>
    <row r="1123" spans="1:5" x14ac:dyDescent="0.25">
      <c r="A1123" s="17">
        <v>220</v>
      </c>
      <c r="B1123" s="31">
        <v>47817</v>
      </c>
      <c r="C1123" s="32">
        <f>INDEX('Input Data'!$B:$B,A1123)/2+IF(A1123&lt;&gt;A1124,100,0)</f>
        <v>2.0625</v>
      </c>
      <c r="D1123" s="33">
        <f>INDEX('ZCB Curve - Payment Dates'!$D$2:$D$246,MATCH(B1123,'ZCB Curve - Payment Dates'!$A$2:$A$246,0))</f>
        <v>0.82669778003432226</v>
      </c>
      <c r="E1123" s="32">
        <f t="shared" si="17"/>
        <v>1.7050641713207897</v>
      </c>
    </row>
    <row r="1124" spans="1:5" x14ac:dyDescent="0.25">
      <c r="A1124" s="17">
        <v>220</v>
      </c>
      <c r="B1124" s="31">
        <v>47999</v>
      </c>
      <c r="C1124" s="32">
        <f>INDEX('Input Data'!$B:$B,A1124)/2+IF(A1124&lt;&gt;A1125,100,0)</f>
        <v>2.0625</v>
      </c>
      <c r="D1124" s="33">
        <f>INDEX('ZCB Curve - Payment Dates'!$D$2:$D$246,MATCH(B1124,'ZCB Curve - Payment Dates'!$A$2:$A$246,0))</f>
        <v>0.80773946698731602</v>
      </c>
      <c r="E1124" s="32">
        <f t="shared" si="17"/>
        <v>1.6659626506613392</v>
      </c>
    </row>
    <row r="1125" spans="1:5" x14ac:dyDescent="0.25">
      <c r="A1125" s="17">
        <v>220</v>
      </c>
      <c r="B1125" s="31">
        <v>48182</v>
      </c>
      <c r="C1125" s="32">
        <f>INDEX('Input Data'!$B:$B,A1125)/2+IF(A1125&lt;&gt;A1126,100,0)</f>
        <v>2.0625</v>
      </c>
      <c r="D1125" s="33">
        <f>INDEX('ZCB Curve - Payment Dates'!$D$2:$D$246,MATCH(B1125,'ZCB Curve - Payment Dates'!$A$2:$A$246,0))</f>
        <v>0.78901196947977614</v>
      </c>
      <c r="E1125" s="32">
        <f t="shared" si="17"/>
        <v>1.6273371870520383</v>
      </c>
    </row>
    <row r="1126" spans="1:5" x14ac:dyDescent="0.25">
      <c r="A1126" s="17">
        <v>220</v>
      </c>
      <c r="B1126" s="31">
        <v>48365</v>
      </c>
      <c r="C1126" s="32">
        <f>INDEX('Input Data'!$B:$B,A1126)/2+IF(A1126&lt;&gt;A1127,100,0)</f>
        <v>102.0625</v>
      </c>
      <c r="D1126" s="33">
        <f>INDEX('ZCB Curve - Payment Dates'!$D$2:$D$246,MATCH(B1126,'ZCB Curve - Payment Dates'!$A$2:$A$246,0))</f>
        <v>0.77056825328760936</v>
      </c>
      <c r="E1126" s="32">
        <f t="shared" si="17"/>
        <v>78.646122351166625</v>
      </c>
    </row>
    <row r="1127" spans="1:5" x14ac:dyDescent="0.25">
      <c r="A1127" s="17">
        <v>221</v>
      </c>
      <c r="B1127" s="31">
        <v>46387</v>
      </c>
      <c r="C1127" s="32">
        <f>INDEX('Input Data'!$B:$B,A1127)/2+IF(A1127&lt;&gt;A1128,100,0)</f>
        <v>2</v>
      </c>
      <c r="D1127" s="33">
        <f>INDEX('ZCB Curve - Payment Dates'!$D$2:$D$246,MATCH(B1127,'ZCB Curve - Payment Dates'!$A$2:$A$246,0))</f>
        <v>0.987487116303851</v>
      </c>
      <c r="E1127" s="32">
        <f t="shared" si="17"/>
        <v>1.974974232607702</v>
      </c>
    </row>
    <row r="1128" spans="1:5" x14ac:dyDescent="0.25">
      <c r="A1128" s="17">
        <v>221</v>
      </c>
      <c r="B1128" s="31">
        <v>46568</v>
      </c>
      <c r="C1128" s="32">
        <f>INDEX('Input Data'!$B:$B,A1128)/2+IF(A1128&lt;&gt;A1129,100,0)</f>
        <v>2</v>
      </c>
      <c r="D1128" s="33">
        <f>INDEX('ZCB Curve - Payment Dates'!$D$2:$D$246,MATCH(B1128,'ZCB Curve - Payment Dates'!$A$2:$A$246,0))</f>
        <v>0.96717094344557664</v>
      </c>
      <c r="E1128" s="32">
        <f t="shared" si="17"/>
        <v>1.9343418868911533</v>
      </c>
    </row>
    <row r="1129" spans="1:5" x14ac:dyDescent="0.25">
      <c r="A1129" s="17">
        <v>221</v>
      </c>
      <c r="B1129" s="31">
        <v>46752</v>
      </c>
      <c r="C1129" s="32">
        <f>INDEX('Input Data'!$B:$B,A1129)/2+IF(A1129&lt;&gt;A1130,100,0)</f>
        <v>2</v>
      </c>
      <c r="D1129" s="33">
        <f>INDEX('ZCB Curve - Payment Dates'!$D$2:$D$246,MATCH(B1129,'ZCB Curve - Payment Dates'!$A$2:$A$246,0))</f>
        <v>0.94585368463190456</v>
      </c>
      <c r="E1129" s="32">
        <f t="shared" si="17"/>
        <v>1.8917073692638091</v>
      </c>
    </row>
    <row r="1130" spans="1:5" x14ac:dyDescent="0.25">
      <c r="A1130" s="17">
        <v>221</v>
      </c>
      <c r="B1130" s="31">
        <v>46934</v>
      </c>
      <c r="C1130" s="32">
        <f>INDEX('Input Data'!$B:$B,A1130)/2+IF(A1130&lt;&gt;A1131,100,0)</f>
        <v>2</v>
      </c>
      <c r="D1130" s="33">
        <f>INDEX('ZCB Curve - Payment Dates'!$D$2:$D$246,MATCH(B1130,'ZCB Curve - Payment Dates'!$A$2:$A$246,0))</f>
        <v>0.92465239860805604</v>
      </c>
      <c r="E1130" s="32">
        <f t="shared" si="17"/>
        <v>1.8493047972161121</v>
      </c>
    </row>
    <row r="1131" spans="1:5" x14ac:dyDescent="0.25">
      <c r="A1131" s="17">
        <v>221</v>
      </c>
      <c r="B1131" s="31">
        <v>47118</v>
      </c>
      <c r="C1131" s="32">
        <f>INDEX('Input Data'!$B:$B,A1131)/2+IF(A1131&lt;&gt;A1132,100,0)</f>
        <v>2</v>
      </c>
      <c r="D1131" s="33">
        <f>INDEX('ZCB Curve - Payment Dates'!$D$2:$D$246,MATCH(B1131,'ZCB Curve - Payment Dates'!$A$2:$A$246,0))</f>
        <v>0.90342754291436123</v>
      </c>
      <c r="E1131" s="32">
        <f t="shared" si="17"/>
        <v>1.8068550858287225</v>
      </c>
    </row>
    <row r="1132" spans="1:5" x14ac:dyDescent="0.25">
      <c r="A1132" s="17">
        <v>221</v>
      </c>
      <c r="B1132" s="31">
        <v>47299</v>
      </c>
      <c r="C1132" s="32">
        <f>INDEX('Input Data'!$B:$B,A1132)/2+IF(A1132&lt;&gt;A1133,100,0)</f>
        <v>2</v>
      </c>
      <c r="D1132" s="33">
        <f>INDEX('ZCB Curve - Payment Dates'!$D$2:$D$246,MATCH(B1132,'ZCB Curve - Payment Dates'!$A$2:$A$246,0))</f>
        <v>0.88292427004927643</v>
      </c>
      <c r="E1132" s="32">
        <f t="shared" si="17"/>
        <v>1.7658485400985529</v>
      </c>
    </row>
    <row r="1133" spans="1:5" x14ac:dyDescent="0.25">
      <c r="A1133" s="17">
        <v>221</v>
      </c>
      <c r="B1133" s="31">
        <v>47483</v>
      </c>
      <c r="C1133" s="32">
        <f>INDEX('Input Data'!$B:$B,A1133)/2+IF(A1133&lt;&gt;A1134,100,0)</f>
        <v>2</v>
      </c>
      <c r="D1133" s="33">
        <f>INDEX('ZCB Curve - Payment Dates'!$D$2:$D$246,MATCH(B1133,'ZCB Curve - Payment Dates'!$A$2:$A$246,0))</f>
        <v>0.86253652987508767</v>
      </c>
      <c r="E1133" s="32">
        <f t="shared" si="17"/>
        <v>1.7250730597501753</v>
      </c>
    </row>
    <row r="1134" spans="1:5" x14ac:dyDescent="0.25">
      <c r="A1134" s="17">
        <v>221</v>
      </c>
      <c r="B1134" s="31">
        <v>47664</v>
      </c>
      <c r="C1134" s="32">
        <f>INDEX('Input Data'!$B:$B,A1134)/2+IF(A1134&lt;&gt;A1135,100,0)</f>
        <v>2</v>
      </c>
      <c r="D1134" s="33">
        <f>INDEX('ZCB Curve - Payment Dates'!$D$2:$D$246,MATCH(B1134,'ZCB Curve - Payment Dates'!$A$2:$A$246,0))</f>
        <v>0.84293550634880554</v>
      </c>
      <c r="E1134" s="32">
        <f t="shared" si="17"/>
        <v>1.6858710126976111</v>
      </c>
    </row>
    <row r="1135" spans="1:5" x14ac:dyDescent="0.25">
      <c r="A1135" s="17">
        <v>221</v>
      </c>
      <c r="B1135" s="31">
        <v>47848</v>
      </c>
      <c r="C1135" s="32">
        <f>INDEX('Input Data'!$B:$B,A1135)/2+IF(A1135&lt;&gt;A1136,100,0)</f>
        <v>2</v>
      </c>
      <c r="D1135" s="33">
        <f>INDEX('ZCB Curve - Payment Dates'!$D$2:$D$246,MATCH(B1135,'ZCB Curve - Payment Dates'!$A$2:$A$246,0))</f>
        <v>0.82344362073276389</v>
      </c>
      <c r="E1135" s="32">
        <f t="shared" si="17"/>
        <v>1.6468872414655278</v>
      </c>
    </row>
    <row r="1136" spans="1:5" x14ac:dyDescent="0.25">
      <c r="A1136" s="17">
        <v>221</v>
      </c>
      <c r="B1136" s="31">
        <v>48029</v>
      </c>
      <c r="C1136" s="32">
        <f>INDEX('Input Data'!$B:$B,A1136)/2+IF(A1136&lt;&gt;A1137,100,0)</f>
        <v>2</v>
      </c>
      <c r="D1136" s="33">
        <f>INDEX('ZCB Curve - Payment Dates'!$D$2:$D$246,MATCH(B1136,'ZCB Curve - Payment Dates'!$A$2:$A$246,0))</f>
        <v>0.80464756354162947</v>
      </c>
      <c r="E1136" s="32">
        <f t="shared" si="17"/>
        <v>1.6092951270832589</v>
      </c>
    </row>
    <row r="1137" spans="1:5" x14ac:dyDescent="0.25">
      <c r="A1137" s="17">
        <v>221</v>
      </c>
      <c r="B1137" s="31">
        <v>48213</v>
      </c>
      <c r="C1137" s="32">
        <f>INDEX('Input Data'!$B:$B,A1137)/2+IF(A1137&lt;&gt;A1138,100,0)</f>
        <v>2</v>
      </c>
      <c r="D1137" s="33">
        <f>INDEX('ZCB Curve - Payment Dates'!$D$2:$D$246,MATCH(B1137,'ZCB Curve - Payment Dates'!$A$2:$A$246,0))</f>
        <v>0.78587044878095313</v>
      </c>
      <c r="E1137" s="32">
        <f t="shared" si="17"/>
        <v>1.5717408975619063</v>
      </c>
    </row>
    <row r="1138" spans="1:5" x14ac:dyDescent="0.25">
      <c r="A1138" s="17">
        <v>221</v>
      </c>
      <c r="B1138" s="31">
        <v>48395</v>
      </c>
      <c r="C1138" s="32">
        <f>INDEX('Input Data'!$B:$B,A1138)/2+IF(A1138&lt;&gt;A1139,100,0)</f>
        <v>102</v>
      </c>
      <c r="D1138" s="33">
        <f>INDEX('ZCB Curve - Payment Dates'!$D$2:$D$246,MATCH(B1138,'ZCB Curve - Payment Dates'!$A$2:$A$246,0))</f>
        <v>0.76756815876485573</v>
      </c>
      <c r="E1138" s="32">
        <f t="shared" si="17"/>
        <v>78.29195219401528</v>
      </c>
    </row>
    <row r="1139" spans="1:5" x14ac:dyDescent="0.25">
      <c r="A1139" s="17">
        <v>222</v>
      </c>
      <c r="B1139" s="31">
        <v>46418</v>
      </c>
      <c r="C1139" s="32">
        <f>INDEX('Input Data'!$B:$B,A1139)/2+IF(A1139&lt;&gt;A1140,100,0)</f>
        <v>2</v>
      </c>
      <c r="D1139" s="33">
        <f>INDEX('ZCB Curve - Payment Dates'!$D$2:$D$246,MATCH(B1139,'ZCB Curve - Payment Dates'!$A$2:$A$246,0))</f>
        <v>0.98408668818349121</v>
      </c>
      <c r="E1139" s="32">
        <f t="shared" si="17"/>
        <v>1.9681733763669824</v>
      </c>
    </row>
    <row r="1140" spans="1:5" x14ac:dyDescent="0.25">
      <c r="A1140" s="17">
        <v>222</v>
      </c>
      <c r="B1140" s="31">
        <v>46599</v>
      </c>
      <c r="C1140" s="32">
        <f>INDEX('Input Data'!$B:$B,A1140)/2+IF(A1140&lt;&gt;A1141,100,0)</f>
        <v>2</v>
      </c>
      <c r="D1140" s="33">
        <f>INDEX('ZCB Curve - Payment Dates'!$D$2:$D$246,MATCH(B1140,'ZCB Curve - Payment Dates'!$A$2:$A$246,0))</f>
        <v>0.96360931883583933</v>
      </c>
      <c r="E1140" s="32">
        <f t="shared" si="17"/>
        <v>1.9272186376716787</v>
      </c>
    </row>
    <row r="1141" spans="1:5" x14ac:dyDescent="0.25">
      <c r="A1141" s="17">
        <v>222</v>
      </c>
      <c r="B1141" s="31">
        <v>46783</v>
      </c>
      <c r="C1141" s="32">
        <f>INDEX('Input Data'!$B:$B,A1141)/2+IF(A1141&lt;&gt;A1142,100,0)</f>
        <v>2</v>
      </c>
      <c r="D1141" s="33">
        <f>INDEX('ZCB Curve - Payment Dates'!$D$2:$D$246,MATCH(B1141,'ZCB Curve - Payment Dates'!$A$2:$A$246,0))</f>
        <v>0.94224051785347052</v>
      </c>
      <c r="E1141" s="32">
        <f t="shared" si="17"/>
        <v>1.884481035706941</v>
      </c>
    </row>
    <row r="1142" spans="1:5" x14ac:dyDescent="0.25">
      <c r="A1142" s="17">
        <v>222</v>
      </c>
      <c r="B1142" s="31">
        <v>46965</v>
      </c>
      <c r="C1142" s="32">
        <f>INDEX('Input Data'!$B:$B,A1142)/2+IF(A1142&lt;&gt;A1143,100,0)</f>
        <v>2</v>
      </c>
      <c r="D1142" s="33">
        <f>INDEX('ZCB Curve - Payment Dates'!$D$2:$D$246,MATCH(B1142,'ZCB Curve - Payment Dates'!$A$2:$A$246,0))</f>
        <v>0.92105657743562108</v>
      </c>
      <c r="E1142" s="32">
        <f t="shared" si="17"/>
        <v>1.8421131548712422</v>
      </c>
    </row>
    <row r="1143" spans="1:5" x14ac:dyDescent="0.25">
      <c r="A1143" s="17">
        <v>222</v>
      </c>
      <c r="B1143" s="31">
        <v>47149</v>
      </c>
      <c r="C1143" s="32">
        <f>INDEX('Input Data'!$B:$B,A1143)/2+IF(A1143&lt;&gt;A1144,100,0)</f>
        <v>2</v>
      </c>
      <c r="D1143" s="33">
        <f>INDEX('ZCB Curve - Payment Dates'!$D$2:$D$246,MATCH(B1143,'ZCB Curve - Payment Dates'!$A$2:$A$246,0))</f>
        <v>0.89988368588562773</v>
      </c>
      <c r="E1143" s="32">
        <f t="shared" si="17"/>
        <v>1.7997673717712555</v>
      </c>
    </row>
    <row r="1144" spans="1:5" x14ac:dyDescent="0.25">
      <c r="A1144" s="17">
        <v>222</v>
      </c>
      <c r="B1144" s="31">
        <v>47330</v>
      </c>
      <c r="C1144" s="32">
        <f>INDEX('Input Data'!$B:$B,A1144)/2+IF(A1144&lt;&gt;A1145,100,0)</f>
        <v>2</v>
      </c>
      <c r="D1144" s="33">
        <f>INDEX('ZCB Curve - Payment Dates'!$D$2:$D$246,MATCH(B1144,'ZCB Curve - Payment Dates'!$A$2:$A$246,0))</f>
        <v>0.87945764483737499</v>
      </c>
      <c r="E1144" s="32">
        <f t="shared" si="17"/>
        <v>1.75891528967475</v>
      </c>
    </row>
    <row r="1145" spans="1:5" x14ac:dyDescent="0.25">
      <c r="A1145" s="17">
        <v>222</v>
      </c>
      <c r="B1145" s="31">
        <v>47514</v>
      </c>
      <c r="C1145" s="32">
        <f>INDEX('Input Data'!$B:$B,A1145)/2+IF(A1145&lt;&gt;A1146,100,0)</f>
        <v>2</v>
      </c>
      <c r="D1145" s="33">
        <f>INDEX('ZCB Curve - Payment Dates'!$D$2:$D$246,MATCH(B1145,'ZCB Curve - Payment Dates'!$A$2:$A$246,0))</f>
        <v>0.8591452031111062</v>
      </c>
      <c r="E1145" s="32">
        <f t="shared" si="17"/>
        <v>1.7182904062222124</v>
      </c>
    </row>
    <row r="1146" spans="1:5" x14ac:dyDescent="0.25">
      <c r="A1146" s="17">
        <v>222</v>
      </c>
      <c r="B1146" s="31">
        <v>47695</v>
      </c>
      <c r="C1146" s="32">
        <f>INDEX('Input Data'!$B:$B,A1146)/2+IF(A1146&lt;&gt;A1147,100,0)</f>
        <v>2</v>
      </c>
      <c r="D1146" s="33">
        <f>INDEX('ZCB Curve - Payment Dates'!$D$2:$D$246,MATCH(B1146,'ZCB Curve - Payment Dates'!$A$2:$A$246,0))</f>
        <v>0.83962327815837468</v>
      </c>
      <c r="E1146" s="32">
        <f t="shared" si="17"/>
        <v>1.6792465563167494</v>
      </c>
    </row>
    <row r="1147" spans="1:5" x14ac:dyDescent="0.25">
      <c r="A1147" s="17">
        <v>222</v>
      </c>
      <c r="B1147" s="31">
        <v>47879</v>
      </c>
      <c r="C1147" s="32">
        <f>INDEX('Input Data'!$B:$B,A1147)/2+IF(A1147&lt;&gt;A1148,100,0)</f>
        <v>2</v>
      </c>
      <c r="D1147" s="33">
        <f>INDEX('ZCB Curve - Payment Dates'!$D$2:$D$246,MATCH(B1147,'ZCB Curve - Payment Dates'!$A$2:$A$246,0))</f>
        <v>0.82019666458416451</v>
      </c>
      <c r="E1147" s="32">
        <f t="shared" si="17"/>
        <v>1.640393329168329</v>
      </c>
    </row>
    <row r="1148" spans="1:5" x14ac:dyDescent="0.25">
      <c r="A1148" s="17">
        <v>222</v>
      </c>
      <c r="B1148" s="31">
        <v>48060</v>
      </c>
      <c r="C1148" s="32">
        <f>INDEX('Input Data'!$B:$B,A1148)/2+IF(A1148&lt;&gt;A1149,100,0)</f>
        <v>2</v>
      </c>
      <c r="D1148" s="33">
        <f>INDEX('ZCB Curve - Payment Dates'!$D$2:$D$246,MATCH(B1148,'ZCB Curve - Payment Dates'!$A$2:$A$246,0))</f>
        <v>0.80146338329804601</v>
      </c>
      <c r="E1148" s="32">
        <f t="shared" si="17"/>
        <v>1.602926766596092</v>
      </c>
    </row>
    <row r="1149" spans="1:5" x14ac:dyDescent="0.25">
      <c r="A1149" s="17">
        <v>222</v>
      </c>
      <c r="B1149" s="31">
        <v>48244</v>
      </c>
      <c r="C1149" s="32">
        <f>INDEX('Input Data'!$B:$B,A1149)/2+IF(A1149&lt;&gt;A1150,100,0)</f>
        <v>2</v>
      </c>
      <c r="D1149" s="33">
        <f>INDEX('ZCB Curve - Payment Dates'!$D$2:$D$246,MATCH(B1149,'ZCB Curve - Payment Dates'!$A$2:$A$246,0))</f>
        <v>0.78273311074172958</v>
      </c>
      <c r="E1149" s="32">
        <f t="shared" si="17"/>
        <v>1.5654662214834592</v>
      </c>
    </row>
    <row r="1150" spans="1:5" x14ac:dyDescent="0.25">
      <c r="A1150" s="17">
        <v>222</v>
      </c>
      <c r="B1150" s="31">
        <v>48426</v>
      </c>
      <c r="C1150" s="32">
        <f>INDEX('Input Data'!$B:$B,A1150)/2+IF(A1150&lt;&gt;A1151,100,0)</f>
        <v>102</v>
      </c>
      <c r="D1150" s="33">
        <f>INDEX('ZCB Curve - Payment Dates'!$D$2:$D$246,MATCH(B1150,'ZCB Curve - Payment Dates'!$A$2:$A$246,0))</f>
        <v>0.76447591459494202</v>
      </c>
      <c r="E1150" s="32">
        <f t="shared" si="17"/>
        <v>77.976543288684084</v>
      </c>
    </row>
    <row r="1151" spans="1:5" x14ac:dyDescent="0.25">
      <c r="A1151" s="17">
        <v>223</v>
      </c>
      <c r="B1151" s="31">
        <v>46433</v>
      </c>
      <c r="C1151" s="32">
        <f>INDEX('Input Data'!$B:$B,A1151)/2+IF(A1151&lt;&gt;A1152,100,0)</f>
        <v>1.375</v>
      </c>
      <c r="D1151" s="33">
        <f>INDEX('ZCB Curve - Payment Dates'!$D$2:$D$246,MATCH(B1151,'ZCB Curve - Payment Dates'!$A$2:$A$246,0))</f>
        <v>0.98242671792446301</v>
      </c>
      <c r="E1151" s="32">
        <f t="shared" si="17"/>
        <v>1.3508367371461367</v>
      </c>
    </row>
    <row r="1152" spans="1:5" x14ac:dyDescent="0.25">
      <c r="A1152" s="17">
        <v>223</v>
      </c>
      <c r="B1152" s="31">
        <v>46614</v>
      </c>
      <c r="C1152" s="32">
        <f>INDEX('Input Data'!$B:$B,A1152)/2+IF(A1152&lt;&gt;A1153,100,0)</f>
        <v>1.375</v>
      </c>
      <c r="D1152" s="33">
        <f>INDEX('ZCB Curve - Payment Dates'!$D$2:$D$246,MATCH(B1152,'ZCB Curve - Payment Dates'!$A$2:$A$246,0))</f>
        <v>0.96187948164765535</v>
      </c>
      <c r="E1152" s="32">
        <f t="shared" si="17"/>
        <v>1.322584287265526</v>
      </c>
    </row>
    <row r="1153" spans="1:5" x14ac:dyDescent="0.25">
      <c r="A1153" s="17">
        <v>223</v>
      </c>
      <c r="B1153" s="31">
        <v>46798</v>
      </c>
      <c r="C1153" s="32">
        <f>INDEX('Input Data'!$B:$B,A1153)/2+IF(A1153&lt;&gt;A1154,100,0)</f>
        <v>1.375</v>
      </c>
      <c r="D1153" s="33">
        <f>INDEX('ZCB Curve - Payment Dates'!$D$2:$D$246,MATCH(B1153,'ZCB Curve - Payment Dates'!$A$2:$A$246,0))</f>
        <v>0.94049096132648802</v>
      </c>
      <c r="E1153" s="32">
        <f t="shared" si="17"/>
        <v>1.293175071823921</v>
      </c>
    </row>
    <row r="1154" spans="1:5" x14ac:dyDescent="0.25">
      <c r="A1154" s="17">
        <v>223</v>
      </c>
      <c r="B1154" s="31">
        <v>46980</v>
      </c>
      <c r="C1154" s="32">
        <f>INDEX('Input Data'!$B:$B,A1154)/2+IF(A1154&lt;&gt;A1155,100,0)</f>
        <v>1.375</v>
      </c>
      <c r="D1154" s="33">
        <f>INDEX('ZCB Curve - Payment Dates'!$D$2:$D$246,MATCH(B1154,'ZCB Curve - Payment Dates'!$A$2:$A$246,0))</f>
        <v>0.91931844130238327</v>
      </c>
      <c r="E1154" s="32">
        <f t="shared" ref="E1154:E1217" si="18">C1154*D1154</f>
        <v>1.264062856790777</v>
      </c>
    </row>
    <row r="1155" spans="1:5" x14ac:dyDescent="0.25">
      <c r="A1155" s="17">
        <v>223</v>
      </c>
      <c r="B1155" s="31">
        <v>47164</v>
      </c>
      <c r="C1155" s="32">
        <f>INDEX('Input Data'!$B:$B,A1155)/2+IF(A1155&lt;&gt;A1156,100,0)</f>
        <v>1.375</v>
      </c>
      <c r="D1155" s="33">
        <f>INDEX('ZCB Curve - Payment Dates'!$D$2:$D$246,MATCH(B1155,'ZCB Curve - Payment Dates'!$A$2:$A$246,0))</f>
        <v>0.89817430058086534</v>
      </c>
      <c r="E1155" s="32">
        <f t="shared" si="18"/>
        <v>1.2349896632986899</v>
      </c>
    </row>
    <row r="1156" spans="1:5" x14ac:dyDescent="0.25">
      <c r="A1156" s="17">
        <v>223</v>
      </c>
      <c r="B1156" s="31">
        <v>47345</v>
      </c>
      <c r="C1156" s="32">
        <f>INDEX('Input Data'!$B:$B,A1156)/2+IF(A1156&lt;&gt;A1157,100,0)</f>
        <v>1.375</v>
      </c>
      <c r="D1156" s="33">
        <f>INDEX('ZCB Curve - Payment Dates'!$D$2:$D$246,MATCH(B1156,'ZCB Curve - Payment Dates'!$A$2:$A$246,0))</f>
        <v>0.87778421628860481</v>
      </c>
      <c r="E1156" s="32">
        <f t="shared" si="18"/>
        <v>1.2069532973968315</v>
      </c>
    </row>
    <row r="1157" spans="1:5" x14ac:dyDescent="0.25">
      <c r="A1157" s="17">
        <v>223</v>
      </c>
      <c r="B1157" s="31">
        <v>47529</v>
      </c>
      <c r="C1157" s="32">
        <f>INDEX('Input Data'!$B:$B,A1157)/2+IF(A1157&lt;&gt;A1158,100,0)</f>
        <v>1.375</v>
      </c>
      <c r="D1157" s="33">
        <f>INDEX('ZCB Curve - Payment Dates'!$D$2:$D$246,MATCH(B1157,'ZCB Curve - Payment Dates'!$A$2:$A$246,0))</f>
        <v>0.85751015570959666</v>
      </c>
      <c r="E1157" s="32">
        <f t="shared" si="18"/>
        <v>1.1790764641006954</v>
      </c>
    </row>
    <row r="1158" spans="1:5" x14ac:dyDescent="0.25">
      <c r="A1158" s="17">
        <v>223</v>
      </c>
      <c r="B1158" s="31">
        <v>47710</v>
      </c>
      <c r="C1158" s="32">
        <f>INDEX('Input Data'!$B:$B,A1158)/2+IF(A1158&lt;&gt;A1159,100,0)</f>
        <v>1.375</v>
      </c>
      <c r="D1158" s="33">
        <f>INDEX('ZCB Curve - Payment Dates'!$D$2:$D$246,MATCH(B1158,'ZCB Curve - Payment Dates'!$A$2:$A$246,0))</f>
        <v>0.83802423748211174</v>
      </c>
      <c r="E1158" s="32">
        <f t="shared" si="18"/>
        <v>1.1522833265379036</v>
      </c>
    </row>
    <row r="1159" spans="1:5" x14ac:dyDescent="0.25">
      <c r="A1159" s="17">
        <v>223</v>
      </c>
      <c r="B1159" s="31">
        <v>47894</v>
      </c>
      <c r="C1159" s="32">
        <f>INDEX('Input Data'!$B:$B,A1159)/2+IF(A1159&lt;&gt;A1160,100,0)</f>
        <v>1.375</v>
      </c>
      <c r="D1159" s="33">
        <f>INDEX('ZCB Curve - Payment Dates'!$D$2:$D$246,MATCH(B1159,'ZCB Curve - Payment Dates'!$A$2:$A$246,0))</f>
        <v>0.8186305474741673</v>
      </c>
      <c r="E1159" s="32">
        <f t="shared" si="18"/>
        <v>1.1256170027769801</v>
      </c>
    </row>
    <row r="1160" spans="1:5" x14ac:dyDescent="0.25">
      <c r="A1160" s="17">
        <v>223</v>
      </c>
      <c r="B1160" s="31">
        <v>48075</v>
      </c>
      <c r="C1160" s="32">
        <f>INDEX('Input Data'!$B:$B,A1160)/2+IF(A1160&lt;&gt;A1161,100,0)</f>
        <v>1.375</v>
      </c>
      <c r="D1160" s="33">
        <f>INDEX('ZCB Curve - Payment Dates'!$D$2:$D$246,MATCH(B1160,'ZCB Curve - Payment Dates'!$A$2:$A$246,0))</f>
        <v>0.7999252334775927</v>
      </c>
      <c r="E1160" s="32">
        <f t="shared" si="18"/>
        <v>1.0998971960316899</v>
      </c>
    </row>
    <row r="1161" spans="1:5" x14ac:dyDescent="0.25">
      <c r="A1161" s="17">
        <v>223</v>
      </c>
      <c r="B1161" s="31">
        <v>48259</v>
      </c>
      <c r="C1161" s="32">
        <f>INDEX('Input Data'!$B:$B,A1161)/2+IF(A1161&lt;&gt;A1162,100,0)</f>
        <v>1.375</v>
      </c>
      <c r="D1161" s="33">
        <f>INDEX('ZCB Curve - Payment Dates'!$D$2:$D$246,MATCH(B1161,'ZCB Curve - Payment Dates'!$A$2:$A$246,0))</f>
        <v>0.78121887027612602</v>
      </c>
      <c r="E1161" s="32">
        <f t="shared" si="18"/>
        <v>1.0741759466296732</v>
      </c>
    </row>
    <row r="1162" spans="1:5" x14ac:dyDescent="0.25">
      <c r="A1162" s="17">
        <v>223</v>
      </c>
      <c r="B1162" s="31">
        <v>48441</v>
      </c>
      <c r="C1162" s="32">
        <f>INDEX('Input Data'!$B:$B,A1162)/2+IF(A1162&lt;&gt;A1163,100,0)</f>
        <v>101.375</v>
      </c>
      <c r="D1162" s="33">
        <f>INDEX('ZCB Curve - Payment Dates'!$D$2:$D$246,MATCH(B1162,'ZCB Curve - Payment Dates'!$A$2:$A$246,0))</f>
        <v>0.76298123459017864</v>
      </c>
      <c r="E1162" s="32">
        <f t="shared" si="18"/>
        <v>77.347222656579362</v>
      </c>
    </row>
    <row r="1163" spans="1:5" x14ac:dyDescent="0.25">
      <c r="A1163" s="17">
        <v>224</v>
      </c>
      <c r="B1163" s="31">
        <v>46446</v>
      </c>
      <c r="C1163" s="32">
        <f>INDEX('Input Data'!$B:$B,A1163)/2+IF(A1163&lt;&gt;A1164,100,0)</f>
        <v>1.9375</v>
      </c>
      <c r="D1163" s="33">
        <f>INDEX('ZCB Curve - Payment Dates'!$D$2:$D$246,MATCH(B1163,'ZCB Curve - Payment Dates'!$A$2:$A$246,0))</f>
        <v>0.98098215746395478</v>
      </c>
      <c r="E1163" s="32">
        <f t="shared" si="18"/>
        <v>1.9006529300864123</v>
      </c>
    </row>
    <row r="1164" spans="1:5" x14ac:dyDescent="0.25">
      <c r="A1164" s="17">
        <v>224</v>
      </c>
      <c r="B1164" s="31">
        <v>46630</v>
      </c>
      <c r="C1164" s="32">
        <f>INDEX('Input Data'!$B:$B,A1164)/2+IF(A1164&lt;&gt;A1165,100,0)</f>
        <v>1.9375</v>
      </c>
      <c r="D1164" s="33">
        <f>INDEX('ZCB Curve - Payment Dates'!$D$2:$D$246,MATCH(B1164,'ZCB Curve - Payment Dates'!$A$2:$A$246,0))</f>
        <v>0.96003246313192503</v>
      </c>
      <c r="E1164" s="32">
        <f t="shared" si="18"/>
        <v>1.8600628973181048</v>
      </c>
    </row>
    <row r="1165" spans="1:5" x14ac:dyDescent="0.25">
      <c r="A1165" s="17">
        <v>224</v>
      </c>
      <c r="B1165" s="31">
        <v>46812</v>
      </c>
      <c r="C1165" s="32">
        <f>INDEX('Input Data'!$B:$B,A1165)/2+IF(A1165&lt;&gt;A1166,100,0)</f>
        <v>1.9375</v>
      </c>
      <c r="D1165" s="33">
        <f>INDEX('ZCB Curve - Payment Dates'!$D$2:$D$246,MATCH(B1165,'ZCB Curve - Payment Dates'!$A$2:$A$246,0))</f>
        <v>0.938856338180596</v>
      </c>
      <c r="E1165" s="32">
        <f t="shared" si="18"/>
        <v>1.8190341552249047</v>
      </c>
    </row>
    <row r="1166" spans="1:5" x14ac:dyDescent="0.25">
      <c r="A1166" s="17">
        <v>224</v>
      </c>
      <c r="B1166" s="31">
        <v>46996</v>
      </c>
      <c r="C1166" s="32">
        <f>INDEX('Input Data'!$B:$B,A1166)/2+IF(A1166&lt;&gt;A1167,100,0)</f>
        <v>1.9375</v>
      </c>
      <c r="D1166" s="33">
        <f>INDEX('ZCB Curve - Payment Dates'!$D$2:$D$246,MATCH(B1166,'ZCB Curve - Payment Dates'!$A$2:$A$246,0))</f>
        <v>0.91746393725908559</v>
      </c>
      <c r="E1166" s="32">
        <f t="shared" si="18"/>
        <v>1.7775863784394783</v>
      </c>
    </row>
    <row r="1167" spans="1:5" x14ac:dyDescent="0.25">
      <c r="A1167" s="17">
        <v>224</v>
      </c>
      <c r="B1167" s="31">
        <v>47177</v>
      </c>
      <c r="C1167" s="32">
        <f>INDEX('Input Data'!$B:$B,A1167)/2+IF(A1167&lt;&gt;A1168,100,0)</f>
        <v>1.9375</v>
      </c>
      <c r="D1167" s="33">
        <f>INDEX('ZCB Curve - Payment Dates'!$D$2:$D$246,MATCH(B1167,'ZCB Curve - Payment Dates'!$A$2:$A$246,0))</f>
        <v>0.89669591867999909</v>
      </c>
      <c r="E1167" s="32">
        <f t="shared" si="18"/>
        <v>1.7373483424424983</v>
      </c>
    </row>
    <row r="1168" spans="1:5" x14ac:dyDescent="0.25">
      <c r="A1168" s="17">
        <v>224</v>
      </c>
      <c r="B1168" s="31">
        <v>47361</v>
      </c>
      <c r="C1168" s="32">
        <f>INDEX('Input Data'!$B:$B,A1168)/2+IF(A1168&lt;&gt;A1169,100,0)</f>
        <v>1.9375</v>
      </c>
      <c r="D1168" s="33">
        <f>INDEX('ZCB Curve - Payment Dates'!$D$2:$D$246,MATCH(B1168,'ZCB Curve - Payment Dates'!$A$2:$A$246,0))</f>
        <v>0.87600023126237014</v>
      </c>
      <c r="E1168" s="32">
        <f t="shared" si="18"/>
        <v>1.6972504480708421</v>
      </c>
    </row>
    <row r="1169" spans="1:5" x14ac:dyDescent="0.25">
      <c r="A1169" s="17">
        <v>224</v>
      </c>
      <c r="B1169" s="31">
        <v>47542</v>
      </c>
      <c r="C1169" s="32">
        <f>INDEX('Input Data'!$B:$B,A1169)/2+IF(A1169&lt;&gt;A1170,100,0)</f>
        <v>1.9375</v>
      </c>
      <c r="D1169" s="33">
        <f>INDEX('ZCB Curve - Payment Dates'!$D$2:$D$246,MATCH(B1169,'ZCB Curve - Payment Dates'!$A$2:$A$246,0))</f>
        <v>0.85609640433764933</v>
      </c>
      <c r="E1169" s="32">
        <f t="shared" si="18"/>
        <v>1.6586867834041956</v>
      </c>
    </row>
    <row r="1170" spans="1:5" x14ac:dyDescent="0.25">
      <c r="A1170" s="17">
        <v>224</v>
      </c>
      <c r="B1170" s="31">
        <v>47726</v>
      </c>
      <c r="C1170" s="32">
        <f>INDEX('Input Data'!$B:$B,A1170)/2+IF(A1170&lt;&gt;A1171,100,0)</f>
        <v>1.9375</v>
      </c>
      <c r="D1170" s="33">
        <f>INDEX('ZCB Curve - Payment Dates'!$D$2:$D$246,MATCH(B1170,'ZCB Curve - Payment Dates'!$A$2:$A$246,0))</f>
        <v>0.8363193958894809</v>
      </c>
      <c r="E1170" s="32">
        <f t="shared" si="18"/>
        <v>1.6203688295358691</v>
      </c>
    </row>
    <row r="1171" spans="1:5" x14ac:dyDescent="0.25">
      <c r="A1171" s="17">
        <v>224</v>
      </c>
      <c r="B1171" s="31">
        <v>47907</v>
      </c>
      <c r="C1171" s="32">
        <f>INDEX('Input Data'!$B:$B,A1171)/2+IF(A1171&lt;&gt;A1172,100,0)</f>
        <v>1.9375</v>
      </c>
      <c r="D1171" s="33">
        <f>INDEX('ZCB Curve - Payment Dates'!$D$2:$D$246,MATCH(B1171,'ZCB Curve - Payment Dates'!$A$2:$A$246,0))</f>
        <v>0.81727602093980778</v>
      </c>
      <c r="E1171" s="32">
        <f t="shared" si="18"/>
        <v>1.5834722905708776</v>
      </c>
    </row>
    <row r="1172" spans="1:5" x14ac:dyDescent="0.25">
      <c r="A1172" s="17">
        <v>224</v>
      </c>
      <c r="B1172" s="31">
        <v>48091</v>
      </c>
      <c r="C1172" s="32">
        <f>INDEX('Input Data'!$B:$B,A1172)/2+IF(A1172&lt;&gt;A1173,100,0)</f>
        <v>1.9375</v>
      </c>
      <c r="D1172" s="33">
        <f>INDEX('ZCB Curve - Payment Dates'!$D$2:$D$246,MATCH(B1172,'ZCB Curve - Payment Dates'!$A$2:$A$246,0))</f>
        <v>0.79828463215547174</v>
      </c>
      <c r="E1172" s="32">
        <f t="shared" si="18"/>
        <v>1.5466764748012265</v>
      </c>
    </row>
    <row r="1173" spans="1:5" x14ac:dyDescent="0.25">
      <c r="A1173" s="17">
        <v>224</v>
      </c>
      <c r="B1173" s="31">
        <v>48273</v>
      </c>
      <c r="C1173" s="32">
        <f>INDEX('Input Data'!$B:$B,A1173)/2+IF(A1173&lt;&gt;A1174,100,0)</f>
        <v>1.9375</v>
      </c>
      <c r="D1173" s="33">
        <f>INDEX('ZCB Curve - Payment Dates'!$D$2:$D$246,MATCH(B1173,'ZCB Curve - Payment Dates'!$A$2:$A$246,0))</f>
        <v>0.77980937275311846</v>
      </c>
      <c r="E1173" s="32">
        <f t="shared" si="18"/>
        <v>1.5108806597091671</v>
      </c>
    </row>
    <row r="1174" spans="1:5" x14ac:dyDescent="0.25">
      <c r="A1174" s="17">
        <v>224</v>
      </c>
      <c r="B1174" s="31">
        <v>48457</v>
      </c>
      <c r="C1174" s="32">
        <f>INDEX('Input Data'!$B:$B,A1174)/2+IF(A1174&lt;&gt;A1175,100,0)</f>
        <v>101.9375</v>
      </c>
      <c r="D1174" s="33">
        <f>INDEX('ZCB Curve - Payment Dates'!$D$2:$D$246,MATCH(B1174,'ZCB Curve - Payment Dates'!$A$2:$A$246,0))</f>
        <v>0.76138996029544426</v>
      </c>
      <c r="E1174" s="32">
        <f t="shared" si="18"/>
        <v>77.614189077616842</v>
      </c>
    </row>
    <row r="1175" spans="1:5" x14ac:dyDescent="0.25">
      <c r="A1175" s="17">
        <v>225</v>
      </c>
      <c r="B1175" s="31">
        <v>46295</v>
      </c>
      <c r="C1175" s="32">
        <f>INDEX('Input Data'!$B:$B,A1175)/2+IF(A1175&lt;&gt;A1176,100,0)</f>
        <v>1.9375</v>
      </c>
      <c r="D1175" s="33">
        <f>INDEX('ZCB Curve - Payment Dates'!$D$2:$D$246,MATCH(B1175,'ZCB Curve - Payment Dates'!$A$2:$A$246,0))</f>
        <v>0.9973127951237063</v>
      </c>
      <c r="E1175" s="32">
        <f t="shared" si="18"/>
        <v>1.9322935405521811</v>
      </c>
    </row>
    <row r="1176" spans="1:5" x14ac:dyDescent="0.25">
      <c r="A1176" s="17">
        <v>225</v>
      </c>
      <c r="B1176" s="31">
        <v>46477</v>
      </c>
      <c r="C1176" s="32">
        <f>INDEX('Input Data'!$B:$B,A1176)/2+IF(A1176&lt;&gt;A1177,100,0)</f>
        <v>1.9375</v>
      </c>
      <c r="D1176" s="33">
        <f>INDEX('ZCB Curve - Payment Dates'!$D$2:$D$246,MATCH(B1176,'ZCB Curve - Payment Dates'!$A$2:$A$246,0))</f>
        <v>0.97750981974188245</v>
      </c>
      <c r="E1176" s="32">
        <f t="shared" si="18"/>
        <v>1.8939252757498972</v>
      </c>
    </row>
    <row r="1177" spans="1:5" x14ac:dyDescent="0.25">
      <c r="A1177" s="17">
        <v>225</v>
      </c>
      <c r="B1177" s="31">
        <v>46660</v>
      </c>
      <c r="C1177" s="32">
        <f>INDEX('Input Data'!$B:$B,A1177)/2+IF(A1177&lt;&gt;A1178,100,0)</f>
        <v>1.9375</v>
      </c>
      <c r="D1177" s="33">
        <f>INDEX('ZCB Curve - Payment Dates'!$D$2:$D$246,MATCH(B1177,'ZCB Curve - Payment Dates'!$A$2:$A$246,0))</f>
        <v>0.95655761994841249</v>
      </c>
      <c r="E1177" s="32">
        <f t="shared" si="18"/>
        <v>1.8533303886500492</v>
      </c>
    </row>
    <row r="1178" spans="1:5" x14ac:dyDescent="0.25">
      <c r="A1178" s="17">
        <v>225</v>
      </c>
      <c r="B1178" s="31">
        <v>46843</v>
      </c>
      <c r="C1178" s="32">
        <f>INDEX('Input Data'!$B:$B,A1178)/2+IF(A1178&lt;&gt;A1179,100,0)</f>
        <v>1.9375</v>
      </c>
      <c r="D1178" s="33">
        <f>INDEX('ZCB Curve - Payment Dates'!$D$2:$D$246,MATCH(B1178,'ZCB Curve - Payment Dates'!$A$2:$A$246,0))</f>
        <v>0.93524308702159842</v>
      </c>
      <c r="E1178" s="32">
        <f t="shared" si="18"/>
        <v>1.812033481104347</v>
      </c>
    </row>
    <row r="1179" spans="1:5" x14ac:dyDescent="0.25">
      <c r="A1179" s="17">
        <v>225</v>
      </c>
      <c r="B1179" s="31">
        <v>47026</v>
      </c>
      <c r="C1179" s="32">
        <f>INDEX('Input Data'!$B:$B,A1179)/2+IF(A1179&lt;&gt;A1180,100,0)</f>
        <v>1.9375</v>
      </c>
      <c r="D1179" s="33">
        <f>INDEX('ZCB Curve - Payment Dates'!$D$2:$D$246,MATCH(B1179,'ZCB Curve - Payment Dates'!$A$2:$A$246,0))</f>
        <v>0.91399761223542642</v>
      </c>
      <c r="E1179" s="32">
        <f t="shared" si="18"/>
        <v>1.7708703737061386</v>
      </c>
    </row>
    <row r="1180" spans="1:5" x14ac:dyDescent="0.25">
      <c r="A1180" s="17">
        <v>225</v>
      </c>
      <c r="B1180" s="31">
        <v>47208</v>
      </c>
      <c r="C1180" s="32">
        <f>INDEX('Input Data'!$B:$B,A1180)/2+IF(A1180&lt;&gt;A1181,100,0)</f>
        <v>1.9375</v>
      </c>
      <c r="D1180" s="33">
        <f>INDEX('ZCB Curve - Payment Dates'!$D$2:$D$246,MATCH(B1180,'ZCB Curve - Payment Dates'!$A$2:$A$246,0))</f>
        <v>0.89317885092878757</v>
      </c>
      <c r="E1180" s="32">
        <f t="shared" si="18"/>
        <v>1.7305340236745259</v>
      </c>
    </row>
    <row r="1181" spans="1:5" x14ac:dyDescent="0.25">
      <c r="A1181" s="17">
        <v>225</v>
      </c>
      <c r="B1181" s="31">
        <v>47391</v>
      </c>
      <c r="C1181" s="32">
        <f>INDEX('Input Data'!$B:$B,A1181)/2+IF(A1181&lt;&gt;A1182,100,0)</f>
        <v>1.9375</v>
      </c>
      <c r="D1181" s="33">
        <f>INDEX('ZCB Curve - Payment Dates'!$D$2:$D$246,MATCH(B1181,'ZCB Curve - Payment Dates'!$A$2:$A$246,0))</f>
        <v>0.87266944281946834</v>
      </c>
      <c r="E1181" s="32">
        <f t="shared" si="18"/>
        <v>1.6907970454627199</v>
      </c>
    </row>
    <row r="1182" spans="1:5" x14ac:dyDescent="0.25">
      <c r="A1182" s="17">
        <v>225</v>
      </c>
      <c r="B1182" s="31">
        <v>47573</v>
      </c>
      <c r="C1182" s="32">
        <f>INDEX('Input Data'!$B:$B,A1182)/2+IF(A1182&lt;&gt;A1183,100,0)</f>
        <v>1.9375</v>
      </c>
      <c r="D1182" s="33">
        <f>INDEX('ZCB Curve - Payment Dates'!$D$2:$D$246,MATCH(B1182,'ZCB Curve - Payment Dates'!$A$2:$A$246,0))</f>
        <v>0.85273413261763187</v>
      </c>
      <c r="E1182" s="32">
        <f t="shared" si="18"/>
        <v>1.6521723819466618</v>
      </c>
    </row>
    <row r="1183" spans="1:5" x14ac:dyDescent="0.25">
      <c r="A1183" s="17">
        <v>225</v>
      </c>
      <c r="B1183" s="31">
        <v>47756</v>
      </c>
      <c r="C1183" s="32">
        <f>INDEX('Input Data'!$B:$B,A1183)/2+IF(A1183&lt;&gt;A1184,100,0)</f>
        <v>1.9375</v>
      </c>
      <c r="D1183" s="33">
        <f>INDEX('ZCB Curve - Payment Dates'!$D$2:$D$246,MATCH(B1183,'ZCB Curve - Payment Dates'!$A$2:$A$246,0))</f>
        <v>0.83313578966851842</v>
      </c>
      <c r="E1183" s="32">
        <f t="shared" si="18"/>
        <v>1.6142005924827545</v>
      </c>
    </row>
    <row r="1184" spans="1:5" x14ac:dyDescent="0.25">
      <c r="A1184" s="17">
        <v>225</v>
      </c>
      <c r="B1184" s="31">
        <v>47938</v>
      </c>
      <c r="C1184" s="32">
        <f>INDEX('Input Data'!$B:$B,A1184)/2+IF(A1184&lt;&gt;A1185,100,0)</f>
        <v>1.9375</v>
      </c>
      <c r="D1184" s="33">
        <f>INDEX('ZCB Curve - Payment Dates'!$D$2:$D$246,MATCH(B1184,'ZCB Curve - Payment Dates'!$A$2:$A$246,0))</f>
        <v>0.81405312340218006</v>
      </c>
      <c r="E1184" s="32">
        <f t="shared" si="18"/>
        <v>1.5772279265917239</v>
      </c>
    </row>
    <row r="1185" spans="1:5" x14ac:dyDescent="0.25">
      <c r="A1185" s="17">
        <v>225</v>
      </c>
      <c r="B1185" s="31">
        <v>48121</v>
      </c>
      <c r="C1185" s="32">
        <f>INDEX('Input Data'!$B:$B,A1185)/2+IF(A1185&lt;&gt;A1186,100,0)</f>
        <v>1.9375</v>
      </c>
      <c r="D1185" s="33">
        <f>INDEX('ZCB Curve - Payment Dates'!$D$2:$D$246,MATCH(B1185,'ZCB Curve - Payment Dates'!$A$2:$A$246,0))</f>
        <v>0.79521907488715848</v>
      </c>
      <c r="E1185" s="32">
        <f t="shared" si="18"/>
        <v>1.5407369575938696</v>
      </c>
    </row>
    <row r="1186" spans="1:5" x14ac:dyDescent="0.25">
      <c r="A1186" s="17">
        <v>225</v>
      </c>
      <c r="B1186" s="31">
        <v>48304</v>
      </c>
      <c r="C1186" s="32">
        <f>INDEX('Input Data'!$B:$B,A1186)/2+IF(A1186&lt;&gt;A1187,100,0)</f>
        <v>1.9375</v>
      </c>
      <c r="D1186" s="33">
        <f>INDEX('ZCB Curve - Payment Dates'!$D$2:$D$246,MATCH(B1186,'ZCB Curve - Payment Dates'!$A$2:$A$246,0))</f>
        <v>0.77669025737629127</v>
      </c>
      <c r="E1186" s="32">
        <f t="shared" si="18"/>
        <v>1.5048373736665643</v>
      </c>
    </row>
    <row r="1187" spans="1:5" x14ac:dyDescent="0.25">
      <c r="A1187" s="17">
        <v>225</v>
      </c>
      <c r="B1187" s="31">
        <v>48487</v>
      </c>
      <c r="C1187" s="32">
        <f>INDEX('Input Data'!$B:$B,A1187)/2+IF(A1187&lt;&gt;A1188,100,0)</f>
        <v>101.9375</v>
      </c>
      <c r="D1187" s="33">
        <f>INDEX('ZCB Curve - Payment Dates'!$D$2:$D$246,MATCH(B1187,'ZCB Curve - Payment Dates'!$A$2:$A$246,0))</f>
        <v>0.75840794873352257</v>
      </c>
      <c r="E1187" s="32">
        <f t="shared" si="18"/>
        <v>77.310210274023461</v>
      </c>
    </row>
    <row r="1188" spans="1:5" x14ac:dyDescent="0.25">
      <c r="A1188" s="17">
        <v>226</v>
      </c>
      <c r="B1188" s="31">
        <v>46326</v>
      </c>
      <c r="C1188" s="32">
        <f>INDEX('Input Data'!$B:$B,A1188)/2+IF(A1188&lt;&gt;A1189,100,0)</f>
        <v>1.875</v>
      </c>
      <c r="D1188" s="33">
        <f>INDEX('ZCB Curve - Payment Dates'!$D$2:$D$246,MATCH(B1188,'ZCB Curve - Payment Dates'!$A$2:$A$246,0))</f>
        <v>0.99405055111674689</v>
      </c>
      <c r="E1188" s="32">
        <f t="shared" si="18"/>
        <v>1.8638447833439005</v>
      </c>
    </row>
    <row r="1189" spans="1:5" x14ac:dyDescent="0.25">
      <c r="A1189" s="17">
        <v>226</v>
      </c>
      <c r="B1189" s="31">
        <v>46507</v>
      </c>
      <c r="C1189" s="32">
        <f>INDEX('Input Data'!$B:$B,A1189)/2+IF(A1189&lt;&gt;A1190,100,0)</f>
        <v>1.875</v>
      </c>
      <c r="D1189" s="33">
        <f>INDEX('ZCB Curve - Payment Dates'!$D$2:$D$246,MATCH(B1189,'ZCB Curve - Payment Dates'!$A$2:$A$246,0))</f>
        <v>0.97412390690574091</v>
      </c>
      <c r="E1189" s="32">
        <f t="shared" si="18"/>
        <v>1.8264823254482643</v>
      </c>
    </row>
    <row r="1190" spans="1:5" x14ac:dyDescent="0.25">
      <c r="A1190" s="17">
        <v>226</v>
      </c>
      <c r="B1190" s="31">
        <v>46691</v>
      </c>
      <c r="C1190" s="32">
        <f>INDEX('Input Data'!$B:$B,A1190)/2+IF(A1190&lt;&gt;A1191,100,0)</f>
        <v>1.875</v>
      </c>
      <c r="D1190" s="33">
        <f>INDEX('ZCB Curve - Payment Dates'!$D$2:$D$246,MATCH(B1190,'ZCB Curve - Payment Dates'!$A$2:$A$246,0))</f>
        <v>0.95295491595466364</v>
      </c>
      <c r="E1190" s="32">
        <f t="shared" si="18"/>
        <v>1.7867904674149944</v>
      </c>
    </row>
    <row r="1191" spans="1:5" x14ac:dyDescent="0.25">
      <c r="A1191" s="17">
        <v>226</v>
      </c>
      <c r="B1191" s="31">
        <v>46873</v>
      </c>
      <c r="C1191" s="32">
        <f>INDEX('Input Data'!$B:$B,A1191)/2+IF(A1191&lt;&gt;A1192,100,0)</f>
        <v>1.875</v>
      </c>
      <c r="D1191" s="33">
        <f>INDEX('ZCB Curve - Payment Dates'!$D$2:$D$246,MATCH(B1191,'ZCB Curve - Payment Dates'!$A$2:$A$246,0))</f>
        <v>0.93174702042500246</v>
      </c>
      <c r="E1191" s="32">
        <f t="shared" si="18"/>
        <v>1.7470256632968797</v>
      </c>
    </row>
    <row r="1192" spans="1:5" x14ac:dyDescent="0.25">
      <c r="A1192" s="17">
        <v>226</v>
      </c>
      <c r="B1192" s="31">
        <v>47057</v>
      </c>
      <c r="C1192" s="32">
        <f>INDEX('Input Data'!$B:$B,A1192)/2+IF(A1192&lt;&gt;A1193,100,0)</f>
        <v>1.875</v>
      </c>
      <c r="D1192" s="33">
        <f>INDEX('ZCB Curve - Payment Dates'!$D$2:$D$246,MATCH(B1192,'ZCB Curve - Payment Dates'!$A$2:$A$246,0))</f>
        <v>0.91042649241905782</v>
      </c>
      <c r="E1192" s="32">
        <f t="shared" si="18"/>
        <v>1.7070496732857334</v>
      </c>
    </row>
    <row r="1193" spans="1:5" x14ac:dyDescent="0.25">
      <c r="A1193" s="17">
        <v>226</v>
      </c>
      <c r="B1193" s="31">
        <v>47238</v>
      </c>
      <c r="C1193" s="32">
        <f>INDEX('Input Data'!$B:$B,A1193)/2+IF(A1193&lt;&gt;A1194,100,0)</f>
        <v>1.875</v>
      </c>
      <c r="D1193" s="33">
        <f>INDEX('ZCB Curve - Payment Dates'!$D$2:$D$246,MATCH(B1193,'ZCB Curve - Payment Dates'!$A$2:$A$246,0))</f>
        <v>0.88978547878922043</v>
      </c>
      <c r="E1193" s="32">
        <f t="shared" si="18"/>
        <v>1.6683477727297884</v>
      </c>
    </row>
    <row r="1194" spans="1:5" x14ac:dyDescent="0.25">
      <c r="A1194" s="17">
        <v>226</v>
      </c>
      <c r="B1194" s="31">
        <v>47422</v>
      </c>
      <c r="C1194" s="32">
        <f>INDEX('Input Data'!$B:$B,A1194)/2+IF(A1194&lt;&gt;A1195,100,0)</f>
        <v>1.875</v>
      </c>
      <c r="D1194" s="33">
        <f>INDEX('ZCB Curve - Payment Dates'!$D$2:$D$246,MATCH(B1194,'ZCB Curve - Payment Dates'!$A$2:$A$246,0))</f>
        <v>0.86924243542459101</v>
      </c>
      <c r="E1194" s="32">
        <f t="shared" si="18"/>
        <v>1.6298295664211082</v>
      </c>
    </row>
    <row r="1195" spans="1:5" x14ac:dyDescent="0.25">
      <c r="A1195" s="17">
        <v>226</v>
      </c>
      <c r="B1195" s="31">
        <v>47603</v>
      </c>
      <c r="C1195" s="32">
        <f>INDEX('Input Data'!$B:$B,A1195)/2+IF(A1195&lt;&gt;A1196,100,0)</f>
        <v>1.875</v>
      </c>
      <c r="D1195" s="33">
        <f>INDEX('ZCB Curve - Payment Dates'!$D$2:$D$246,MATCH(B1195,'ZCB Curve - Payment Dates'!$A$2:$A$246,0))</f>
        <v>0.84949114767876688</v>
      </c>
      <c r="E1195" s="32">
        <f t="shared" si="18"/>
        <v>1.5927959018976878</v>
      </c>
    </row>
    <row r="1196" spans="1:5" x14ac:dyDescent="0.25">
      <c r="A1196" s="17">
        <v>226</v>
      </c>
      <c r="B1196" s="31">
        <v>47787</v>
      </c>
      <c r="C1196" s="32">
        <f>INDEX('Input Data'!$B:$B,A1196)/2+IF(A1196&lt;&gt;A1197,100,0)</f>
        <v>1.875</v>
      </c>
      <c r="D1196" s="33">
        <f>INDEX('ZCB Curve - Payment Dates'!$D$2:$D$246,MATCH(B1196,'ZCB Curve - Payment Dates'!$A$2:$A$246,0))</f>
        <v>0.82985919250556395</v>
      </c>
      <c r="E1196" s="32">
        <f t="shared" si="18"/>
        <v>1.5559859859479324</v>
      </c>
    </row>
    <row r="1197" spans="1:5" x14ac:dyDescent="0.25">
      <c r="A1197" s="17">
        <v>226</v>
      </c>
      <c r="B1197" s="31">
        <v>47968</v>
      </c>
      <c r="C1197" s="32">
        <f>INDEX('Input Data'!$B:$B,A1197)/2+IF(A1197&lt;&gt;A1198,100,0)</f>
        <v>1.875</v>
      </c>
      <c r="D1197" s="33">
        <f>INDEX('ZCB Curve - Payment Dates'!$D$2:$D$246,MATCH(B1197,'ZCB Curve - Payment Dates'!$A$2:$A$246,0))</f>
        <v>0.81094247698820199</v>
      </c>
      <c r="E1197" s="32">
        <f t="shared" si="18"/>
        <v>1.5205171443528787</v>
      </c>
    </row>
    <row r="1198" spans="1:5" x14ac:dyDescent="0.25">
      <c r="A1198" s="17">
        <v>226</v>
      </c>
      <c r="B1198" s="31">
        <v>48152</v>
      </c>
      <c r="C1198" s="32">
        <f>INDEX('Input Data'!$B:$B,A1198)/2+IF(A1198&lt;&gt;A1199,100,0)</f>
        <v>1.875</v>
      </c>
      <c r="D1198" s="33">
        <f>INDEX('ZCB Curve - Payment Dates'!$D$2:$D$246,MATCH(B1198,'ZCB Curve - Payment Dates'!$A$2:$A$246,0))</f>
        <v>0.79206132015103392</v>
      </c>
      <c r="E1198" s="32">
        <f t="shared" si="18"/>
        <v>1.4851149752831887</v>
      </c>
    </row>
    <row r="1199" spans="1:5" x14ac:dyDescent="0.25">
      <c r="A1199" s="17">
        <v>226</v>
      </c>
      <c r="B1199" s="31">
        <v>48334</v>
      </c>
      <c r="C1199" s="32">
        <f>INDEX('Input Data'!$B:$B,A1199)/2+IF(A1199&lt;&gt;A1200,100,0)</f>
        <v>1.875</v>
      </c>
      <c r="D1199" s="33">
        <f>INDEX('ZCB Curve - Payment Dates'!$D$2:$D$246,MATCH(B1199,'ZCB Curve - Payment Dates'!$A$2:$A$246,0))</f>
        <v>0.77367715717585139</v>
      </c>
      <c r="E1199" s="32">
        <f t="shared" si="18"/>
        <v>1.4506446697047213</v>
      </c>
    </row>
    <row r="1200" spans="1:5" x14ac:dyDescent="0.25">
      <c r="A1200" s="17">
        <v>226</v>
      </c>
      <c r="B1200" s="31">
        <v>48518</v>
      </c>
      <c r="C1200" s="32">
        <f>INDEX('Input Data'!$B:$B,A1200)/2+IF(A1200&lt;&gt;A1201,100,0)</f>
        <v>101.875</v>
      </c>
      <c r="D1200" s="33">
        <f>INDEX('ZCB Curve - Payment Dates'!$D$2:$D$246,MATCH(B1200,'ZCB Curve - Payment Dates'!$A$2:$A$246,0))</f>
        <v>0.75533379252800203</v>
      </c>
      <c r="E1200" s="32">
        <f t="shared" si="18"/>
        <v>76.949630113790207</v>
      </c>
    </row>
    <row r="1201" spans="1:5" x14ac:dyDescent="0.25">
      <c r="A1201" s="17">
        <v>227</v>
      </c>
      <c r="B1201" s="31">
        <v>46341</v>
      </c>
      <c r="C1201" s="32">
        <f>INDEX('Input Data'!$B:$B,A1201)/2+IF(A1201&lt;&gt;A1202,100,0)</f>
        <v>2.0625</v>
      </c>
      <c r="D1201" s="33">
        <f>INDEX('ZCB Curve - Payment Dates'!$D$2:$D$246,MATCH(B1201,'ZCB Curve - Payment Dates'!$A$2:$A$246,0))</f>
        <v>0.99245367292309439</v>
      </c>
      <c r="E1201" s="32">
        <f t="shared" si="18"/>
        <v>2.046935700403882</v>
      </c>
    </row>
    <row r="1202" spans="1:5" x14ac:dyDescent="0.25">
      <c r="A1202" s="17">
        <v>227</v>
      </c>
      <c r="B1202" s="31">
        <v>46522</v>
      </c>
      <c r="C1202" s="32">
        <f>INDEX('Input Data'!$B:$B,A1202)/2+IF(A1202&lt;&gt;A1203,100,0)</f>
        <v>2.0625</v>
      </c>
      <c r="D1202" s="33">
        <f>INDEX('ZCB Curve - Payment Dates'!$D$2:$D$246,MATCH(B1202,'ZCB Curve - Payment Dates'!$A$2:$A$246,0))</f>
        <v>0.97242179559611874</v>
      </c>
      <c r="E1202" s="32">
        <f t="shared" si="18"/>
        <v>2.0056199534169949</v>
      </c>
    </row>
    <row r="1203" spans="1:5" x14ac:dyDescent="0.25">
      <c r="A1203" s="17">
        <v>227</v>
      </c>
      <c r="B1203" s="31">
        <v>46706</v>
      </c>
      <c r="C1203" s="32">
        <f>INDEX('Input Data'!$B:$B,A1203)/2+IF(A1203&lt;&gt;A1204,100,0)</f>
        <v>2.0625</v>
      </c>
      <c r="D1203" s="33">
        <f>INDEX('ZCB Curve - Payment Dates'!$D$2:$D$246,MATCH(B1203,'ZCB Curve - Payment Dates'!$A$2:$A$246,0))</f>
        <v>0.95121018311627348</v>
      </c>
      <c r="E1203" s="32">
        <f t="shared" si="18"/>
        <v>1.9618710026773141</v>
      </c>
    </row>
    <row r="1204" spans="1:5" x14ac:dyDescent="0.25">
      <c r="A1204" s="17">
        <v>227</v>
      </c>
      <c r="B1204" s="31">
        <v>46888</v>
      </c>
      <c r="C1204" s="32">
        <f>INDEX('Input Data'!$B:$B,A1204)/2+IF(A1204&lt;&gt;A1205,100,0)</f>
        <v>2.0625</v>
      </c>
      <c r="D1204" s="33">
        <f>INDEX('ZCB Curve - Payment Dates'!$D$2:$D$246,MATCH(B1204,'ZCB Curve - Payment Dates'!$A$2:$A$246,0))</f>
        <v>0.93000025435083566</v>
      </c>
      <c r="E1204" s="32">
        <f t="shared" si="18"/>
        <v>1.9181255245985986</v>
      </c>
    </row>
    <row r="1205" spans="1:5" x14ac:dyDescent="0.25">
      <c r="A1205" s="17">
        <v>227</v>
      </c>
      <c r="B1205" s="31">
        <v>47072</v>
      </c>
      <c r="C1205" s="32">
        <f>INDEX('Input Data'!$B:$B,A1205)/2+IF(A1205&lt;&gt;A1206,100,0)</f>
        <v>2.0625</v>
      </c>
      <c r="D1205" s="33">
        <f>INDEX('ZCB Curve - Payment Dates'!$D$2:$D$246,MATCH(B1205,'ZCB Curve - Payment Dates'!$A$2:$A$246,0))</f>
        <v>0.90870125167038918</v>
      </c>
      <c r="E1205" s="32">
        <f t="shared" si="18"/>
        <v>1.8741963315701777</v>
      </c>
    </row>
    <row r="1206" spans="1:5" x14ac:dyDescent="0.25">
      <c r="A1206" s="17">
        <v>227</v>
      </c>
      <c r="B1206" s="31">
        <v>47253</v>
      </c>
      <c r="C1206" s="32">
        <f>INDEX('Input Data'!$B:$B,A1206)/2+IF(A1206&lt;&gt;A1207,100,0)</f>
        <v>2.0625</v>
      </c>
      <c r="D1206" s="33">
        <f>INDEX('ZCB Curve - Payment Dates'!$D$2:$D$246,MATCH(B1206,'ZCB Curve - Payment Dates'!$A$2:$A$246,0))</f>
        <v>0.88809325063638844</v>
      </c>
      <c r="E1206" s="32">
        <f t="shared" si="18"/>
        <v>1.8316923294375511</v>
      </c>
    </row>
    <row r="1207" spans="1:5" x14ac:dyDescent="0.25">
      <c r="A1207" s="17">
        <v>227</v>
      </c>
      <c r="B1207" s="31">
        <v>47437</v>
      </c>
      <c r="C1207" s="32">
        <f>INDEX('Input Data'!$B:$B,A1207)/2+IF(A1207&lt;&gt;A1208,100,0)</f>
        <v>2.0625</v>
      </c>
      <c r="D1207" s="33">
        <f>INDEX('ZCB Curve - Payment Dates'!$D$2:$D$246,MATCH(B1207,'ZCB Curve - Payment Dates'!$A$2:$A$246,0))</f>
        <v>0.86758824089536279</v>
      </c>
      <c r="E1207" s="32">
        <f t="shared" si="18"/>
        <v>1.7894007468466857</v>
      </c>
    </row>
    <row r="1208" spans="1:5" x14ac:dyDescent="0.25">
      <c r="A1208" s="17">
        <v>227</v>
      </c>
      <c r="B1208" s="31">
        <v>47618</v>
      </c>
      <c r="C1208" s="32">
        <f>INDEX('Input Data'!$B:$B,A1208)/2+IF(A1208&lt;&gt;A1209,100,0)</f>
        <v>2.0625</v>
      </c>
      <c r="D1208" s="33">
        <f>INDEX('ZCB Curve - Payment Dates'!$D$2:$D$246,MATCH(B1208,'ZCB Curve - Payment Dates'!$A$2:$A$246,0))</f>
        <v>0.84787416911783064</v>
      </c>
      <c r="E1208" s="32">
        <f t="shared" si="18"/>
        <v>1.7487404738055257</v>
      </c>
    </row>
    <row r="1209" spans="1:5" x14ac:dyDescent="0.25">
      <c r="A1209" s="17">
        <v>227</v>
      </c>
      <c r="B1209" s="31">
        <v>47802</v>
      </c>
      <c r="C1209" s="32">
        <f>INDEX('Input Data'!$B:$B,A1209)/2+IF(A1209&lt;&gt;A1210,100,0)</f>
        <v>2.0625</v>
      </c>
      <c r="D1209" s="33">
        <f>INDEX('ZCB Curve - Payment Dates'!$D$2:$D$246,MATCH(B1209,'ZCB Curve - Payment Dates'!$A$2:$A$246,0))</f>
        <v>0.82827715028796722</v>
      </c>
      <c r="E1209" s="32">
        <f t="shared" si="18"/>
        <v>1.7083216224689324</v>
      </c>
    </row>
    <row r="1210" spans="1:5" x14ac:dyDescent="0.25">
      <c r="A1210" s="17">
        <v>227</v>
      </c>
      <c r="B1210" s="31">
        <v>47983</v>
      </c>
      <c r="C1210" s="32">
        <f>INDEX('Input Data'!$B:$B,A1210)/2+IF(A1210&lt;&gt;A1211,100,0)</f>
        <v>2.0625</v>
      </c>
      <c r="D1210" s="33">
        <f>INDEX('ZCB Curve - Payment Dates'!$D$2:$D$246,MATCH(B1210,'ZCB Curve - Payment Dates'!$A$2:$A$246,0))</f>
        <v>0.80939067484273564</v>
      </c>
      <c r="E1210" s="32">
        <f t="shared" si="18"/>
        <v>1.6693682668631422</v>
      </c>
    </row>
    <row r="1211" spans="1:5" x14ac:dyDescent="0.25">
      <c r="A1211" s="17">
        <v>227</v>
      </c>
      <c r="B1211" s="31">
        <v>48167</v>
      </c>
      <c r="C1211" s="32">
        <f>INDEX('Input Data'!$B:$B,A1211)/2+IF(A1211&lt;&gt;A1212,100,0)</f>
        <v>2.0625</v>
      </c>
      <c r="D1211" s="33">
        <f>INDEX('ZCB Curve - Payment Dates'!$D$2:$D$246,MATCH(B1211,'ZCB Curve - Payment Dates'!$A$2:$A$246,0))</f>
        <v>0.79053567842581962</v>
      </c>
      <c r="E1211" s="32">
        <f t="shared" si="18"/>
        <v>1.6304798367532529</v>
      </c>
    </row>
    <row r="1212" spans="1:5" x14ac:dyDescent="0.25">
      <c r="A1212" s="17">
        <v>227</v>
      </c>
      <c r="B1212" s="31">
        <v>48349</v>
      </c>
      <c r="C1212" s="32">
        <f>INDEX('Input Data'!$B:$B,A1212)/2+IF(A1212&lt;&gt;A1213,100,0)</f>
        <v>2.0625</v>
      </c>
      <c r="D1212" s="33">
        <f>INDEX('ZCB Curve - Payment Dates'!$D$2:$D$246,MATCH(B1212,'ZCB Curve - Payment Dates'!$A$2:$A$246,0))</f>
        <v>0.77217305702007488</v>
      </c>
      <c r="E1212" s="32">
        <f t="shared" si="18"/>
        <v>1.5926069301039045</v>
      </c>
    </row>
    <row r="1213" spans="1:5" x14ac:dyDescent="0.25">
      <c r="A1213" s="17">
        <v>227</v>
      </c>
      <c r="B1213" s="31">
        <v>48533</v>
      </c>
      <c r="C1213" s="32">
        <f>INDEX('Input Data'!$B:$B,A1213)/2+IF(A1213&lt;&gt;A1214,100,0)</f>
        <v>102.0625</v>
      </c>
      <c r="D1213" s="33">
        <f>INDEX('ZCB Curve - Payment Dates'!$D$2:$D$246,MATCH(B1213,'ZCB Curve - Payment Dates'!$A$2:$A$246,0))</f>
        <v>0.75384766072076514</v>
      </c>
      <c r="E1213" s="32">
        <f t="shared" si="18"/>
        <v>76.939576872313097</v>
      </c>
    </row>
    <row r="1214" spans="1:5" x14ac:dyDescent="0.25">
      <c r="A1214" s="17">
        <v>228</v>
      </c>
      <c r="B1214" s="31">
        <v>46356</v>
      </c>
      <c r="C1214" s="32">
        <f>INDEX('Input Data'!$B:$B,A1214)/2+IF(A1214&lt;&gt;A1215,100,0)</f>
        <v>1.875</v>
      </c>
      <c r="D1214" s="33">
        <f>INDEX('ZCB Curve - Payment Dates'!$D$2:$D$246,MATCH(B1214,'ZCB Curve - Payment Dates'!$A$2:$A$246,0))</f>
        <v>0.99084497326382592</v>
      </c>
      <c r="E1214" s="32">
        <f t="shared" si="18"/>
        <v>1.8578343248696736</v>
      </c>
    </row>
    <row r="1215" spans="1:5" x14ac:dyDescent="0.25">
      <c r="A1215" s="17">
        <v>228</v>
      </c>
      <c r="B1215" s="31">
        <v>46538</v>
      </c>
      <c r="C1215" s="32">
        <f>INDEX('Input Data'!$B:$B,A1215)/2+IF(A1215&lt;&gt;A1216,100,0)</f>
        <v>1.875</v>
      </c>
      <c r="D1215" s="33">
        <f>INDEX('ZCB Curve - Payment Dates'!$D$2:$D$246,MATCH(B1215,'ZCB Curve - Payment Dates'!$A$2:$A$246,0))</f>
        <v>0.97060179184855555</v>
      </c>
      <c r="E1215" s="32">
        <f t="shared" si="18"/>
        <v>1.8198783597160417</v>
      </c>
    </row>
    <row r="1216" spans="1:5" x14ac:dyDescent="0.25">
      <c r="A1216" s="17">
        <v>228</v>
      </c>
      <c r="B1216" s="31">
        <v>46721</v>
      </c>
      <c r="C1216" s="32">
        <f>INDEX('Input Data'!$B:$B,A1216)/2+IF(A1216&lt;&gt;A1217,100,0)</f>
        <v>1.875</v>
      </c>
      <c r="D1216" s="33">
        <f>INDEX('ZCB Curve - Payment Dates'!$D$2:$D$246,MATCH(B1216,'ZCB Curve - Payment Dates'!$A$2:$A$246,0))</f>
        <v>0.94946404326393219</v>
      </c>
      <c r="E1216" s="32">
        <f t="shared" si="18"/>
        <v>1.7802450811198729</v>
      </c>
    </row>
    <row r="1217" spans="1:5" x14ac:dyDescent="0.25">
      <c r="A1217" s="17">
        <v>228</v>
      </c>
      <c r="B1217" s="31">
        <v>46904</v>
      </c>
      <c r="C1217" s="32">
        <f>INDEX('Input Data'!$B:$B,A1217)/2+IF(A1217&lt;&gt;A1218,100,0)</f>
        <v>1.875</v>
      </c>
      <c r="D1217" s="33">
        <f>INDEX('ZCB Curve - Payment Dates'!$D$2:$D$246,MATCH(B1217,'ZCB Curve - Payment Dates'!$A$2:$A$246,0))</f>
        <v>0.92813990099508414</v>
      </c>
      <c r="E1217" s="32">
        <f t="shared" si="18"/>
        <v>1.7402623143657827</v>
      </c>
    </row>
    <row r="1218" spans="1:5" x14ac:dyDescent="0.25">
      <c r="A1218" s="17">
        <v>228</v>
      </c>
      <c r="B1218" s="31">
        <v>47087</v>
      </c>
      <c r="C1218" s="32">
        <f>INDEX('Input Data'!$B:$B,A1218)/2+IF(A1218&lt;&gt;A1219,100,0)</f>
        <v>1.875</v>
      </c>
      <c r="D1218" s="33">
        <f>INDEX('ZCB Curve - Payment Dates'!$D$2:$D$246,MATCH(B1218,'ZCB Curve - Payment Dates'!$A$2:$A$246,0))</f>
        <v>0.90697842456009181</v>
      </c>
      <c r="E1218" s="32">
        <f t="shared" ref="E1218:E1281" si="19">C1218*D1218</f>
        <v>1.7005845460501721</v>
      </c>
    </row>
    <row r="1219" spans="1:5" x14ac:dyDescent="0.25">
      <c r="A1219" s="17">
        <v>228</v>
      </c>
      <c r="B1219" s="31">
        <v>47269</v>
      </c>
      <c r="C1219" s="32">
        <f>INDEX('Input Data'!$B:$B,A1219)/2+IF(A1219&lt;&gt;A1220,100,0)</f>
        <v>1.875</v>
      </c>
      <c r="D1219" s="33">
        <f>INDEX('ZCB Curve - Payment Dates'!$D$2:$D$246,MATCH(B1219,'ZCB Curve - Payment Dates'!$A$2:$A$246,0))</f>
        <v>0.88629316931415014</v>
      </c>
      <c r="E1219" s="32">
        <f t="shared" si="19"/>
        <v>1.6617996924640315</v>
      </c>
    </row>
    <row r="1220" spans="1:5" x14ac:dyDescent="0.25">
      <c r="A1220" s="17">
        <v>228</v>
      </c>
      <c r="B1220" s="31">
        <v>47452</v>
      </c>
      <c r="C1220" s="32">
        <f>INDEX('Input Data'!$B:$B,A1220)/2+IF(A1220&lt;&gt;A1221,100,0)</f>
        <v>1.875</v>
      </c>
      <c r="D1220" s="33">
        <f>INDEX('ZCB Curve - Payment Dates'!$D$2:$D$246,MATCH(B1220,'ZCB Curve - Payment Dates'!$A$2:$A$246,0))</f>
        <v>0.86593718552386212</v>
      </c>
      <c r="E1220" s="32">
        <f t="shared" si="19"/>
        <v>1.6236322228572415</v>
      </c>
    </row>
    <row r="1221" spans="1:5" x14ac:dyDescent="0.25">
      <c r="A1221" s="17">
        <v>228</v>
      </c>
      <c r="B1221" s="31">
        <v>47634</v>
      </c>
      <c r="C1221" s="32">
        <f>INDEX('Input Data'!$B:$B,A1221)/2+IF(A1221&lt;&gt;A1222,100,0)</f>
        <v>1.875</v>
      </c>
      <c r="D1221" s="33">
        <f>INDEX('ZCB Curve - Payment Dates'!$D$2:$D$246,MATCH(B1221,'ZCB Curve - Payment Dates'!$A$2:$A$246,0))</f>
        <v>0.84615424839536502</v>
      </c>
      <c r="E1221" s="32">
        <f t="shared" si="19"/>
        <v>1.5865392157413094</v>
      </c>
    </row>
    <row r="1222" spans="1:5" x14ac:dyDescent="0.25">
      <c r="A1222" s="17">
        <v>228</v>
      </c>
      <c r="B1222" s="31">
        <v>47817</v>
      </c>
      <c r="C1222" s="32">
        <f>INDEX('Input Data'!$B:$B,A1222)/2+IF(A1222&lt;&gt;A1223,100,0)</f>
        <v>1.875</v>
      </c>
      <c r="D1222" s="33">
        <f>INDEX('ZCB Curve - Payment Dates'!$D$2:$D$246,MATCH(B1222,'ZCB Curve - Payment Dates'!$A$2:$A$246,0))</f>
        <v>0.82669778003432226</v>
      </c>
      <c r="E1222" s="32">
        <f t="shared" si="19"/>
        <v>1.5500583375643542</v>
      </c>
    </row>
    <row r="1223" spans="1:5" x14ac:dyDescent="0.25">
      <c r="A1223" s="17">
        <v>228</v>
      </c>
      <c r="B1223" s="31">
        <v>47999</v>
      </c>
      <c r="C1223" s="32">
        <f>INDEX('Input Data'!$B:$B,A1223)/2+IF(A1223&lt;&gt;A1224,100,0)</f>
        <v>1.875</v>
      </c>
      <c r="D1223" s="33">
        <f>INDEX('ZCB Curve - Payment Dates'!$D$2:$D$246,MATCH(B1223,'ZCB Curve - Payment Dates'!$A$2:$A$246,0))</f>
        <v>0.80773946698731602</v>
      </c>
      <c r="E1223" s="32">
        <f t="shared" si="19"/>
        <v>1.5145115006012175</v>
      </c>
    </row>
    <row r="1224" spans="1:5" x14ac:dyDescent="0.25">
      <c r="A1224" s="17">
        <v>228</v>
      </c>
      <c r="B1224" s="31">
        <v>48182</v>
      </c>
      <c r="C1224" s="32">
        <f>INDEX('Input Data'!$B:$B,A1224)/2+IF(A1224&lt;&gt;A1225,100,0)</f>
        <v>1.875</v>
      </c>
      <c r="D1224" s="33">
        <f>INDEX('ZCB Curve - Payment Dates'!$D$2:$D$246,MATCH(B1224,'ZCB Curve - Payment Dates'!$A$2:$A$246,0))</f>
        <v>0.78901196947977614</v>
      </c>
      <c r="E1224" s="32">
        <f t="shared" si="19"/>
        <v>1.4793974427745802</v>
      </c>
    </row>
    <row r="1225" spans="1:5" x14ac:dyDescent="0.25">
      <c r="A1225" s="17">
        <v>228</v>
      </c>
      <c r="B1225" s="31">
        <v>48365</v>
      </c>
      <c r="C1225" s="32">
        <f>INDEX('Input Data'!$B:$B,A1225)/2+IF(A1225&lt;&gt;A1226,100,0)</f>
        <v>1.875</v>
      </c>
      <c r="D1225" s="33">
        <f>INDEX('ZCB Curve - Payment Dates'!$D$2:$D$246,MATCH(B1225,'ZCB Curve - Payment Dates'!$A$2:$A$246,0))</f>
        <v>0.77056825328760936</v>
      </c>
      <c r="E1225" s="32">
        <f t="shared" si="19"/>
        <v>1.4448154749142677</v>
      </c>
    </row>
    <row r="1226" spans="1:5" x14ac:dyDescent="0.25">
      <c r="A1226" s="17">
        <v>228</v>
      </c>
      <c r="B1226" s="31">
        <v>48548</v>
      </c>
      <c r="C1226" s="32">
        <f>INDEX('Input Data'!$B:$B,A1226)/2+IF(A1226&lt;&gt;A1227,100,0)</f>
        <v>101.875</v>
      </c>
      <c r="D1226" s="33">
        <f>INDEX('ZCB Curve - Payment Dates'!$D$2:$D$246,MATCH(B1226,'ZCB Curve - Payment Dates'!$A$2:$A$246,0))</f>
        <v>0.75236284756075855</v>
      </c>
      <c r="E1226" s="32">
        <f t="shared" si="19"/>
        <v>76.646965095252284</v>
      </c>
    </row>
    <row r="1227" spans="1:5" x14ac:dyDescent="0.25">
      <c r="A1227" s="17">
        <v>229</v>
      </c>
      <c r="B1227" s="31">
        <v>46387</v>
      </c>
      <c r="C1227" s="32">
        <f>INDEX('Input Data'!$B:$B,A1227)/2+IF(A1227&lt;&gt;A1228,100,0)</f>
        <v>1.9375</v>
      </c>
      <c r="D1227" s="33">
        <f>INDEX('ZCB Curve - Payment Dates'!$D$2:$D$246,MATCH(B1227,'ZCB Curve - Payment Dates'!$A$2:$A$246,0))</f>
        <v>0.987487116303851</v>
      </c>
      <c r="E1227" s="32">
        <f t="shared" si="19"/>
        <v>1.9132562878387114</v>
      </c>
    </row>
    <row r="1228" spans="1:5" x14ac:dyDescent="0.25">
      <c r="A1228" s="17">
        <v>229</v>
      </c>
      <c r="B1228" s="31">
        <v>46568</v>
      </c>
      <c r="C1228" s="32">
        <f>INDEX('Input Data'!$B:$B,A1228)/2+IF(A1228&lt;&gt;A1229,100,0)</f>
        <v>1.9375</v>
      </c>
      <c r="D1228" s="33">
        <f>INDEX('ZCB Curve - Payment Dates'!$D$2:$D$246,MATCH(B1228,'ZCB Curve - Payment Dates'!$A$2:$A$246,0))</f>
        <v>0.96717094344557664</v>
      </c>
      <c r="E1228" s="32">
        <f t="shared" si="19"/>
        <v>1.8738937029258047</v>
      </c>
    </row>
    <row r="1229" spans="1:5" x14ac:dyDescent="0.25">
      <c r="A1229" s="17">
        <v>229</v>
      </c>
      <c r="B1229" s="31">
        <v>46752</v>
      </c>
      <c r="C1229" s="32">
        <f>INDEX('Input Data'!$B:$B,A1229)/2+IF(A1229&lt;&gt;A1230,100,0)</f>
        <v>1.9375</v>
      </c>
      <c r="D1229" s="33">
        <f>INDEX('ZCB Curve - Payment Dates'!$D$2:$D$246,MATCH(B1229,'ZCB Curve - Payment Dates'!$A$2:$A$246,0))</f>
        <v>0.94585368463190456</v>
      </c>
      <c r="E1229" s="32">
        <f t="shared" si="19"/>
        <v>1.832591513974315</v>
      </c>
    </row>
    <row r="1230" spans="1:5" x14ac:dyDescent="0.25">
      <c r="A1230" s="17">
        <v>229</v>
      </c>
      <c r="B1230" s="31">
        <v>46934</v>
      </c>
      <c r="C1230" s="32">
        <f>INDEX('Input Data'!$B:$B,A1230)/2+IF(A1230&lt;&gt;A1231,100,0)</f>
        <v>1.9375</v>
      </c>
      <c r="D1230" s="33">
        <f>INDEX('ZCB Curve - Payment Dates'!$D$2:$D$246,MATCH(B1230,'ZCB Curve - Payment Dates'!$A$2:$A$246,0))</f>
        <v>0.92465239860805604</v>
      </c>
      <c r="E1230" s="32">
        <f t="shared" si="19"/>
        <v>1.7915140223031085</v>
      </c>
    </row>
    <row r="1231" spans="1:5" x14ac:dyDescent="0.25">
      <c r="A1231" s="17">
        <v>229</v>
      </c>
      <c r="B1231" s="31">
        <v>47118</v>
      </c>
      <c r="C1231" s="32">
        <f>INDEX('Input Data'!$B:$B,A1231)/2+IF(A1231&lt;&gt;A1232,100,0)</f>
        <v>1.9375</v>
      </c>
      <c r="D1231" s="33">
        <f>INDEX('ZCB Curve - Payment Dates'!$D$2:$D$246,MATCH(B1231,'ZCB Curve - Payment Dates'!$A$2:$A$246,0))</f>
        <v>0.90342754291436123</v>
      </c>
      <c r="E1231" s="32">
        <f t="shared" si="19"/>
        <v>1.7503908643965749</v>
      </c>
    </row>
    <row r="1232" spans="1:5" x14ac:dyDescent="0.25">
      <c r="A1232" s="17">
        <v>229</v>
      </c>
      <c r="B1232" s="31">
        <v>47299</v>
      </c>
      <c r="C1232" s="32">
        <f>INDEX('Input Data'!$B:$B,A1232)/2+IF(A1232&lt;&gt;A1233,100,0)</f>
        <v>1.9375</v>
      </c>
      <c r="D1232" s="33">
        <f>INDEX('ZCB Curve - Payment Dates'!$D$2:$D$246,MATCH(B1232,'ZCB Curve - Payment Dates'!$A$2:$A$246,0))</f>
        <v>0.88292427004927643</v>
      </c>
      <c r="E1232" s="32">
        <f t="shared" si="19"/>
        <v>1.7106657732204731</v>
      </c>
    </row>
    <row r="1233" spans="1:5" x14ac:dyDescent="0.25">
      <c r="A1233" s="17">
        <v>229</v>
      </c>
      <c r="B1233" s="31">
        <v>47483</v>
      </c>
      <c r="C1233" s="32">
        <f>INDEX('Input Data'!$B:$B,A1233)/2+IF(A1233&lt;&gt;A1234,100,0)</f>
        <v>1.9375</v>
      </c>
      <c r="D1233" s="33">
        <f>INDEX('ZCB Curve - Payment Dates'!$D$2:$D$246,MATCH(B1233,'ZCB Curve - Payment Dates'!$A$2:$A$246,0))</f>
        <v>0.86253652987508767</v>
      </c>
      <c r="E1233" s="32">
        <f t="shared" si="19"/>
        <v>1.6711645266329824</v>
      </c>
    </row>
    <row r="1234" spans="1:5" x14ac:dyDescent="0.25">
      <c r="A1234" s="17">
        <v>229</v>
      </c>
      <c r="B1234" s="31">
        <v>47664</v>
      </c>
      <c r="C1234" s="32">
        <f>INDEX('Input Data'!$B:$B,A1234)/2+IF(A1234&lt;&gt;A1235,100,0)</f>
        <v>1.9375</v>
      </c>
      <c r="D1234" s="33">
        <f>INDEX('ZCB Curve - Payment Dates'!$D$2:$D$246,MATCH(B1234,'ZCB Curve - Payment Dates'!$A$2:$A$246,0))</f>
        <v>0.84293550634880554</v>
      </c>
      <c r="E1234" s="32">
        <f t="shared" si="19"/>
        <v>1.6331875435508107</v>
      </c>
    </row>
    <row r="1235" spans="1:5" x14ac:dyDescent="0.25">
      <c r="A1235" s="17">
        <v>229</v>
      </c>
      <c r="B1235" s="31">
        <v>47848</v>
      </c>
      <c r="C1235" s="32">
        <f>INDEX('Input Data'!$B:$B,A1235)/2+IF(A1235&lt;&gt;A1236,100,0)</f>
        <v>1.9375</v>
      </c>
      <c r="D1235" s="33">
        <f>INDEX('ZCB Curve - Payment Dates'!$D$2:$D$246,MATCH(B1235,'ZCB Curve - Payment Dates'!$A$2:$A$246,0))</f>
        <v>0.82344362073276389</v>
      </c>
      <c r="E1235" s="32">
        <f t="shared" si="19"/>
        <v>1.59542201516973</v>
      </c>
    </row>
    <row r="1236" spans="1:5" x14ac:dyDescent="0.25">
      <c r="A1236" s="17">
        <v>229</v>
      </c>
      <c r="B1236" s="31">
        <v>48029</v>
      </c>
      <c r="C1236" s="32">
        <f>INDEX('Input Data'!$B:$B,A1236)/2+IF(A1236&lt;&gt;A1237,100,0)</f>
        <v>1.9375</v>
      </c>
      <c r="D1236" s="33">
        <f>INDEX('ZCB Curve - Payment Dates'!$D$2:$D$246,MATCH(B1236,'ZCB Curve - Payment Dates'!$A$2:$A$246,0))</f>
        <v>0.80464756354162947</v>
      </c>
      <c r="E1236" s="32">
        <f t="shared" si="19"/>
        <v>1.5590046543619072</v>
      </c>
    </row>
    <row r="1237" spans="1:5" x14ac:dyDescent="0.25">
      <c r="A1237" s="17">
        <v>229</v>
      </c>
      <c r="B1237" s="31">
        <v>48213</v>
      </c>
      <c r="C1237" s="32">
        <f>INDEX('Input Data'!$B:$B,A1237)/2+IF(A1237&lt;&gt;A1238,100,0)</f>
        <v>1.9375</v>
      </c>
      <c r="D1237" s="33">
        <f>INDEX('ZCB Curve - Payment Dates'!$D$2:$D$246,MATCH(B1237,'ZCB Curve - Payment Dates'!$A$2:$A$246,0))</f>
        <v>0.78587044878095313</v>
      </c>
      <c r="E1237" s="32">
        <f t="shared" si="19"/>
        <v>1.5226239945130966</v>
      </c>
    </row>
    <row r="1238" spans="1:5" x14ac:dyDescent="0.25">
      <c r="A1238" s="17">
        <v>229</v>
      </c>
      <c r="B1238" s="31">
        <v>48395</v>
      </c>
      <c r="C1238" s="32">
        <f>INDEX('Input Data'!$B:$B,A1238)/2+IF(A1238&lt;&gt;A1239,100,0)</f>
        <v>1.9375</v>
      </c>
      <c r="D1238" s="33">
        <f>INDEX('ZCB Curve - Payment Dates'!$D$2:$D$246,MATCH(B1238,'ZCB Curve - Payment Dates'!$A$2:$A$246,0))</f>
        <v>0.76756815876485573</v>
      </c>
      <c r="E1238" s="32">
        <f t="shared" si="19"/>
        <v>1.487163307606908</v>
      </c>
    </row>
    <row r="1239" spans="1:5" x14ac:dyDescent="0.25">
      <c r="A1239" s="17">
        <v>229</v>
      </c>
      <c r="B1239" s="31">
        <v>48579</v>
      </c>
      <c r="C1239" s="32">
        <f>INDEX('Input Data'!$B:$B,A1239)/2+IF(A1239&lt;&gt;A1240,100,0)</f>
        <v>101.9375</v>
      </c>
      <c r="D1239" s="33">
        <f>INDEX('ZCB Curve - Payment Dates'!$D$2:$D$246,MATCH(B1239,'ZCB Curve - Payment Dates'!$A$2:$A$246,0))</f>
        <v>0.74929616428221479</v>
      </c>
      <c r="E1239" s="32">
        <f t="shared" si="19"/>
        <v>76.381377746518268</v>
      </c>
    </row>
    <row r="1240" spans="1:5" x14ac:dyDescent="0.25">
      <c r="A1240" s="17">
        <v>230</v>
      </c>
      <c r="B1240" s="31">
        <v>46418</v>
      </c>
      <c r="C1240" s="32">
        <f>INDEX('Input Data'!$B:$B,A1240)/2+IF(A1240&lt;&gt;A1241,100,0)</f>
        <v>2</v>
      </c>
      <c r="D1240" s="33">
        <f>INDEX('ZCB Curve - Payment Dates'!$D$2:$D$246,MATCH(B1240,'ZCB Curve - Payment Dates'!$A$2:$A$246,0))</f>
        <v>0.98408668818349121</v>
      </c>
      <c r="E1240" s="32">
        <f t="shared" si="19"/>
        <v>1.9681733763669824</v>
      </c>
    </row>
    <row r="1241" spans="1:5" x14ac:dyDescent="0.25">
      <c r="A1241" s="17">
        <v>230</v>
      </c>
      <c r="B1241" s="31">
        <v>46599</v>
      </c>
      <c r="C1241" s="32">
        <f>INDEX('Input Data'!$B:$B,A1241)/2+IF(A1241&lt;&gt;A1242,100,0)</f>
        <v>2</v>
      </c>
      <c r="D1241" s="33">
        <f>INDEX('ZCB Curve - Payment Dates'!$D$2:$D$246,MATCH(B1241,'ZCB Curve - Payment Dates'!$A$2:$A$246,0))</f>
        <v>0.96360931883583933</v>
      </c>
      <c r="E1241" s="32">
        <f t="shared" si="19"/>
        <v>1.9272186376716787</v>
      </c>
    </row>
    <row r="1242" spans="1:5" x14ac:dyDescent="0.25">
      <c r="A1242" s="17">
        <v>230</v>
      </c>
      <c r="B1242" s="31">
        <v>46783</v>
      </c>
      <c r="C1242" s="32">
        <f>INDEX('Input Data'!$B:$B,A1242)/2+IF(A1242&lt;&gt;A1243,100,0)</f>
        <v>2</v>
      </c>
      <c r="D1242" s="33">
        <f>INDEX('ZCB Curve - Payment Dates'!$D$2:$D$246,MATCH(B1242,'ZCB Curve - Payment Dates'!$A$2:$A$246,0))</f>
        <v>0.94224051785347052</v>
      </c>
      <c r="E1242" s="32">
        <f t="shared" si="19"/>
        <v>1.884481035706941</v>
      </c>
    </row>
    <row r="1243" spans="1:5" x14ac:dyDescent="0.25">
      <c r="A1243" s="17">
        <v>230</v>
      </c>
      <c r="B1243" s="31">
        <v>46965</v>
      </c>
      <c r="C1243" s="32">
        <f>INDEX('Input Data'!$B:$B,A1243)/2+IF(A1243&lt;&gt;A1244,100,0)</f>
        <v>2</v>
      </c>
      <c r="D1243" s="33">
        <f>INDEX('ZCB Curve - Payment Dates'!$D$2:$D$246,MATCH(B1243,'ZCB Curve - Payment Dates'!$A$2:$A$246,0))</f>
        <v>0.92105657743562108</v>
      </c>
      <c r="E1243" s="32">
        <f t="shared" si="19"/>
        <v>1.8421131548712422</v>
      </c>
    </row>
    <row r="1244" spans="1:5" x14ac:dyDescent="0.25">
      <c r="A1244" s="17">
        <v>230</v>
      </c>
      <c r="B1244" s="31">
        <v>47149</v>
      </c>
      <c r="C1244" s="32">
        <f>INDEX('Input Data'!$B:$B,A1244)/2+IF(A1244&lt;&gt;A1245,100,0)</f>
        <v>2</v>
      </c>
      <c r="D1244" s="33">
        <f>INDEX('ZCB Curve - Payment Dates'!$D$2:$D$246,MATCH(B1244,'ZCB Curve - Payment Dates'!$A$2:$A$246,0))</f>
        <v>0.89988368588562773</v>
      </c>
      <c r="E1244" s="32">
        <f t="shared" si="19"/>
        <v>1.7997673717712555</v>
      </c>
    </row>
    <row r="1245" spans="1:5" x14ac:dyDescent="0.25">
      <c r="A1245" s="17">
        <v>230</v>
      </c>
      <c r="B1245" s="31">
        <v>47330</v>
      </c>
      <c r="C1245" s="32">
        <f>INDEX('Input Data'!$B:$B,A1245)/2+IF(A1245&lt;&gt;A1246,100,0)</f>
        <v>2</v>
      </c>
      <c r="D1245" s="33">
        <f>INDEX('ZCB Curve - Payment Dates'!$D$2:$D$246,MATCH(B1245,'ZCB Curve - Payment Dates'!$A$2:$A$246,0))</f>
        <v>0.87945764483737499</v>
      </c>
      <c r="E1245" s="32">
        <f t="shared" si="19"/>
        <v>1.75891528967475</v>
      </c>
    </row>
    <row r="1246" spans="1:5" x14ac:dyDescent="0.25">
      <c r="A1246" s="17">
        <v>230</v>
      </c>
      <c r="B1246" s="31">
        <v>47514</v>
      </c>
      <c r="C1246" s="32">
        <f>INDEX('Input Data'!$B:$B,A1246)/2+IF(A1246&lt;&gt;A1247,100,0)</f>
        <v>2</v>
      </c>
      <c r="D1246" s="33">
        <f>INDEX('ZCB Curve - Payment Dates'!$D$2:$D$246,MATCH(B1246,'ZCB Curve - Payment Dates'!$A$2:$A$246,0))</f>
        <v>0.8591452031111062</v>
      </c>
      <c r="E1246" s="32">
        <f t="shared" si="19"/>
        <v>1.7182904062222124</v>
      </c>
    </row>
    <row r="1247" spans="1:5" x14ac:dyDescent="0.25">
      <c r="A1247" s="17">
        <v>230</v>
      </c>
      <c r="B1247" s="31">
        <v>47695</v>
      </c>
      <c r="C1247" s="32">
        <f>INDEX('Input Data'!$B:$B,A1247)/2+IF(A1247&lt;&gt;A1248,100,0)</f>
        <v>2</v>
      </c>
      <c r="D1247" s="33">
        <f>INDEX('ZCB Curve - Payment Dates'!$D$2:$D$246,MATCH(B1247,'ZCB Curve - Payment Dates'!$A$2:$A$246,0))</f>
        <v>0.83962327815837468</v>
      </c>
      <c r="E1247" s="32">
        <f t="shared" si="19"/>
        <v>1.6792465563167494</v>
      </c>
    </row>
    <row r="1248" spans="1:5" x14ac:dyDescent="0.25">
      <c r="A1248" s="17">
        <v>230</v>
      </c>
      <c r="B1248" s="31">
        <v>47879</v>
      </c>
      <c r="C1248" s="32">
        <f>INDEX('Input Data'!$B:$B,A1248)/2+IF(A1248&lt;&gt;A1249,100,0)</f>
        <v>2</v>
      </c>
      <c r="D1248" s="33">
        <f>INDEX('ZCB Curve - Payment Dates'!$D$2:$D$246,MATCH(B1248,'ZCB Curve - Payment Dates'!$A$2:$A$246,0))</f>
        <v>0.82019666458416451</v>
      </c>
      <c r="E1248" s="32">
        <f t="shared" si="19"/>
        <v>1.640393329168329</v>
      </c>
    </row>
    <row r="1249" spans="1:5" x14ac:dyDescent="0.25">
      <c r="A1249" s="17">
        <v>230</v>
      </c>
      <c r="B1249" s="31">
        <v>48060</v>
      </c>
      <c r="C1249" s="32">
        <f>INDEX('Input Data'!$B:$B,A1249)/2+IF(A1249&lt;&gt;A1250,100,0)</f>
        <v>2</v>
      </c>
      <c r="D1249" s="33">
        <f>INDEX('ZCB Curve - Payment Dates'!$D$2:$D$246,MATCH(B1249,'ZCB Curve - Payment Dates'!$A$2:$A$246,0))</f>
        <v>0.80146338329804601</v>
      </c>
      <c r="E1249" s="32">
        <f t="shared" si="19"/>
        <v>1.602926766596092</v>
      </c>
    </row>
    <row r="1250" spans="1:5" x14ac:dyDescent="0.25">
      <c r="A1250" s="17">
        <v>230</v>
      </c>
      <c r="B1250" s="31">
        <v>48244</v>
      </c>
      <c r="C1250" s="32">
        <f>INDEX('Input Data'!$B:$B,A1250)/2+IF(A1250&lt;&gt;A1251,100,0)</f>
        <v>2</v>
      </c>
      <c r="D1250" s="33">
        <f>INDEX('ZCB Curve - Payment Dates'!$D$2:$D$246,MATCH(B1250,'ZCB Curve - Payment Dates'!$A$2:$A$246,0))</f>
        <v>0.78273311074172958</v>
      </c>
      <c r="E1250" s="32">
        <f t="shared" si="19"/>
        <v>1.5654662214834592</v>
      </c>
    </row>
    <row r="1251" spans="1:5" x14ac:dyDescent="0.25">
      <c r="A1251" s="17">
        <v>230</v>
      </c>
      <c r="B1251" s="31">
        <v>48426</v>
      </c>
      <c r="C1251" s="32">
        <f>INDEX('Input Data'!$B:$B,A1251)/2+IF(A1251&lt;&gt;A1252,100,0)</f>
        <v>2</v>
      </c>
      <c r="D1251" s="33">
        <f>INDEX('ZCB Curve - Payment Dates'!$D$2:$D$246,MATCH(B1251,'ZCB Curve - Payment Dates'!$A$2:$A$246,0))</f>
        <v>0.76447591459494202</v>
      </c>
      <c r="E1251" s="32">
        <f t="shared" si="19"/>
        <v>1.528951829189884</v>
      </c>
    </row>
    <row r="1252" spans="1:5" x14ac:dyDescent="0.25">
      <c r="A1252" s="17">
        <v>230</v>
      </c>
      <c r="B1252" s="31">
        <v>48610</v>
      </c>
      <c r="C1252" s="32">
        <f>INDEX('Input Data'!$B:$B,A1252)/2+IF(A1252&lt;&gt;A1253,100,0)</f>
        <v>102</v>
      </c>
      <c r="D1252" s="33">
        <f>INDEX('ZCB Curve - Payment Dates'!$D$2:$D$246,MATCH(B1252,'ZCB Curve - Payment Dates'!$A$2:$A$246,0))</f>
        <v>0.74623846412406436</v>
      </c>
      <c r="E1252" s="32">
        <f t="shared" si="19"/>
        <v>76.11632334065456</v>
      </c>
    </row>
    <row r="1253" spans="1:5" x14ac:dyDescent="0.25">
      <c r="A1253" s="17">
        <v>231</v>
      </c>
      <c r="B1253" s="31">
        <v>46433</v>
      </c>
      <c r="C1253" s="32">
        <f>INDEX('Input Data'!$B:$B,A1253)/2+IF(A1253&lt;&gt;A1254,100,0)</f>
        <v>1.75</v>
      </c>
      <c r="D1253" s="33">
        <f>INDEX('ZCB Curve - Payment Dates'!$D$2:$D$246,MATCH(B1253,'ZCB Curve - Payment Dates'!$A$2:$A$246,0))</f>
        <v>0.98242671792446301</v>
      </c>
      <c r="E1253" s="32">
        <f t="shared" si="19"/>
        <v>1.7192467563678102</v>
      </c>
    </row>
    <row r="1254" spans="1:5" x14ac:dyDescent="0.25">
      <c r="A1254" s="17">
        <v>231</v>
      </c>
      <c r="B1254" s="31">
        <v>46614</v>
      </c>
      <c r="C1254" s="32">
        <f>INDEX('Input Data'!$B:$B,A1254)/2+IF(A1254&lt;&gt;A1255,100,0)</f>
        <v>1.75</v>
      </c>
      <c r="D1254" s="33">
        <f>INDEX('ZCB Curve - Payment Dates'!$D$2:$D$246,MATCH(B1254,'ZCB Curve - Payment Dates'!$A$2:$A$246,0))</f>
        <v>0.96187948164765535</v>
      </c>
      <c r="E1254" s="32">
        <f t="shared" si="19"/>
        <v>1.6832890928833968</v>
      </c>
    </row>
    <row r="1255" spans="1:5" x14ac:dyDescent="0.25">
      <c r="A1255" s="17">
        <v>231</v>
      </c>
      <c r="B1255" s="31">
        <v>46798</v>
      </c>
      <c r="C1255" s="32">
        <f>INDEX('Input Data'!$B:$B,A1255)/2+IF(A1255&lt;&gt;A1256,100,0)</f>
        <v>1.75</v>
      </c>
      <c r="D1255" s="33">
        <f>INDEX('ZCB Curve - Payment Dates'!$D$2:$D$246,MATCH(B1255,'ZCB Curve - Payment Dates'!$A$2:$A$246,0))</f>
        <v>0.94049096132648802</v>
      </c>
      <c r="E1255" s="32">
        <f t="shared" si="19"/>
        <v>1.645859182321354</v>
      </c>
    </row>
    <row r="1256" spans="1:5" x14ac:dyDescent="0.25">
      <c r="A1256" s="17">
        <v>231</v>
      </c>
      <c r="B1256" s="31">
        <v>46980</v>
      </c>
      <c r="C1256" s="32">
        <f>INDEX('Input Data'!$B:$B,A1256)/2+IF(A1256&lt;&gt;A1257,100,0)</f>
        <v>1.75</v>
      </c>
      <c r="D1256" s="33">
        <f>INDEX('ZCB Curve - Payment Dates'!$D$2:$D$246,MATCH(B1256,'ZCB Curve - Payment Dates'!$A$2:$A$246,0))</f>
        <v>0.91931844130238327</v>
      </c>
      <c r="E1256" s="32">
        <f t="shared" si="19"/>
        <v>1.6088072722791706</v>
      </c>
    </row>
    <row r="1257" spans="1:5" x14ac:dyDescent="0.25">
      <c r="A1257" s="17">
        <v>231</v>
      </c>
      <c r="B1257" s="31">
        <v>47164</v>
      </c>
      <c r="C1257" s="32">
        <f>INDEX('Input Data'!$B:$B,A1257)/2+IF(A1257&lt;&gt;A1258,100,0)</f>
        <v>1.75</v>
      </c>
      <c r="D1257" s="33">
        <f>INDEX('ZCB Curve - Payment Dates'!$D$2:$D$246,MATCH(B1257,'ZCB Curve - Payment Dates'!$A$2:$A$246,0))</f>
        <v>0.89817430058086534</v>
      </c>
      <c r="E1257" s="32">
        <f t="shared" si="19"/>
        <v>1.5718050260165144</v>
      </c>
    </row>
    <row r="1258" spans="1:5" x14ac:dyDescent="0.25">
      <c r="A1258" s="17">
        <v>231</v>
      </c>
      <c r="B1258" s="31">
        <v>47345</v>
      </c>
      <c r="C1258" s="32">
        <f>INDEX('Input Data'!$B:$B,A1258)/2+IF(A1258&lt;&gt;A1259,100,0)</f>
        <v>1.75</v>
      </c>
      <c r="D1258" s="33">
        <f>INDEX('ZCB Curve - Payment Dates'!$D$2:$D$246,MATCH(B1258,'ZCB Curve - Payment Dates'!$A$2:$A$246,0))</f>
        <v>0.87778421628860481</v>
      </c>
      <c r="E1258" s="32">
        <f t="shared" si="19"/>
        <v>1.5361223785050584</v>
      </c>
    </row>
    <row r="1259" spans="1:5" x14ac:dyDescent="0.25">
      <c r="A1259" s="17">
        <v>231</v>
      </c>
      <c r="B1259" s="31">
        <v>47529</v>
      </c>
      <c r="C1259" s="32">
        <f>INDEX('Input Data'!$B:$B,A1259)/2+IF(A1259&lt;&gt;A1260,100,0)</f>
        <v>1.75</v>
      </c>
      <c r="D1259" s="33">
        <f>INDEX('ZCB Curve - Payment Dates'!$D$2:$D$246,MATCH(B1259,'ZCB Curve - Payment Dates'!$A$2:$A$246,0))</f>
        <v>0.85751015570959666</v>
      </c>
      <c r="E1259" s="32">
        <f t="shared" si="19"/>
        <v>1.5006427724917941</v>
      </c>
    </row>
    <row r="1260" spans="1:5" x14ac:dyDescent="0.25">
      <c r="A1260" s="17">
        <v>231</v>
      </c>
      <c r="B1260" s="31">
        <v>47710</v>
      </c>
      <c r="C1260" s="32">
        <f>INDEX('Input Data'!$B:$B,A1260)/2+IF(A1260&lt;&gt;A1261,100,0)</f>
        <v>1.75</v>
      </c>
      <c r="D1260" s="33">
        <f>INDEX('ZCB Curve - Payment Dates'!$D$2:$D$246,MATCH(B1260,'ZCB Curve - Payment Dates'!$A$2:$A$246,0))</f>
        <v>0.83802423748211174</v>
      </c>
      <c r="E1260" s="32">
        <f t="shared" si="19"/>
        <v>1.4665424155936955</v>
      </c>
    </row>
    <row r="1261" spans="1:5" x14ac:dyDescent="0.25">
      <c r="A1261" s="17">
        <v>231</v>
      </c>
      <c r="B1261" s="31">
        <v>47894</v>
      </c>
      <c r="C1261" s="32">
        <f>INDEX('Input Data'!$B:$B,A1261)/2+IF(A1261&lt;&gt;A1262,100,0)</f>
        <v>1.75</v>
      </c>
      <c r="D1261" s="33">
        <f>INDEX('ZCB Curve - Payment Dates'!$D$2:$D$246,MATCH(B1261,'ZCB Curve - Payment Dates'!$A$2:$A$246,0))</f>
        <v>0.8186305474741673</v>
      </c>
      <c r="E1261" s="32">
        <f t="shared" si="19"/>
        <v>1.4326034580797928</v>
      </c>
    </row>
    <row r="1262" spans="1:5" x14ac:dyDescent="0.25">
      <c r="A1262" s="17">
        <v>231</v>
      </c>
      <c r="B1262" s="31">
        <v>48075</v>
      </c>
      <c r="C1262" s="32">
        <f>INDEX('Input Data'!$B:$B,A1262)/2+IF(A1262&lt;&gt;A1263,100,0)</f>
        <v>1.75</v>
      </c>
      <c r="D1262" s="33">
        <f>INDEX('ZCB Curve - Payment Dates'!$D$2:$D$246,MATCH(B1262,'ZCB Curve - Payment Dates'!$A$2:$A$246,0))</f>
        <v>0.7999252334775927</v>
      </c>
      <c r="E1262" s="32">
        <f t="shared" si="19"/>
        <v>1.3998691585857872</v>
      </c>
    </row>
    <row r="1263" spans="1:5" x14ac:dyDescent="0.25">
      <c r="A1263" s="17">
        <v>231</v>
      </c>
      <c r="B1263" s="31">
        <v>48259</v>
      </c>
      <c r="C1263" s="32">
        <f>INDEX('Input Data'!$B:$B,A1263)/2+IF(A1263&lt;&gt;A1264,100,0)</f>
        <v>1.75</v>
      </c>
      <c r="D1263" s="33">
        <f>INDEX('ZCB Curve - Payment Dates'!$D$2:$D$246,MATCH(B1263,'ZCB Curve - Payment Dates'!$A$2:$A$246,0))</f>
        <v>0.78121887027612602</v>
      </c>
      <c r="E1263" s="32">
        <f t="shared" si="19"/>
        <v>1.3671330229832206</v>
      </c>
    </row>
    <row r="1264" spans="1:5" x14ac:dyDescent="0.25">
      <c r="A1264" s="17">
        <v>231</v>
      </c>
      <c r="B1264" s="31">
        <v>48441</v>
      </c>
      <c r="C1264" s="32">
        <f>INDEX('Input Data'!$B:$B,A1264)/2+IF(A1264&lt;&gt;A1265,100,0)</f>
        <v>1.75</v>
      </c>
      <c r="D1264" s="33">
        <f>INDEX('ZCB Curve - Payment Dates'!$D$2:$D$246,MATCH(B1264,'ZCB Curve - Payment Dates'!$A$2:$A$246,0))</f>
        <v>0.76298123459017864</v>
      </c>
      <c r="E1264" s="32">
        <f t="shared" si="19"/>
        <v>1.3352171605328127</v>
      </c>
    </row>
    <row r="1265" spans="1:5" x14ac:dyDescent="0.25">
      <c r="A1265" s="17">
        <v>231</v>
      </c>
      <c r="B1265" s="31">
        <v>48625</v>
      </c>
      <c r="C1265" s="32">
        <f>INDEX('Input Data'!$B:$B,A1265)/2+IF(A1265&lt;&gt;A1266,100,0)</f>
        <v>101.75</v>
      </c>
      <c r="D1265" s="33">
        <f>INDEX('ZCB Curve - Payment Dates'!$D$2:$D$246,MATCH(B1265,'ZCB Curve - Payment Dates'!$A$2:$A$246,0))</f>
        <v>0.74476011611938586</v>
      </c>
      <c r="E1265" s="32">
        <f t="shared" si="19"/>
        <v>75.779341815147518</v>
      </c>
    </row>
    <row r="1266" spans="1:5" x14ac:dyDescent="0.25">
      <c r="A1266" s="17">
        <v>232</v>
      </c>
      <c r="B1266" s="31">
        <v>46446</v>
      </c>
      <c r="C1266" s="32">
        <f>INDEX('Input Data'!$B:$B,A1266)/2+IF(A1266&lt;&gt;A1267,100,0)</f>
        <v>1.875</v>
      </c>
      <c r="D1266" s="33">
        <f>INDEX('ZCB Curve - Payment Dates'!$D$2:$D$246,MATCH(B1266,'ZCB Curve - Payment Dates'!$A$2:$A$246,0))</f>
        <v>0.98098215746395478</v>
      </c>
      <c r="E1266" s="32">
        <f t="shared" si="19"/>
        <v>1.8393415452449151</v>
      </c>
    </row>
    <row r="1267" spans="1:5" x14ac:dyDescent="0.25">
      <c r="A1267" s="17">
        <v>232</v>
      </c>
      <c r="B1267" s="31">
        <v>46630</v>
      </c>
      <c r="C1267" s="32">
        <f>INDEX('Input Data'!$B:$B,A1267)/2+IF(A1267&lt;&gt;A1268,100,0)</f>
        <v>1.875</v>
      </c>
      <c r="D1267" s="33">
        <f>INDEX('ZCB Curve - Payment Dates'!$D$2:$D$246,MATCH(B1267,'ZCB Curve - Payment Dates'!$A$2:$A$246,0))</f>
        <v>0.96003246313192503</v>
      </c>
      <c r="E1267" s="32">
        <f t="shared" si="19"/>
        <v>1.8000608683723593</v>
      </c>
    </row>
    <row r="1268" spans="1:5" x14ac:dyDescent="0.25">
      <c r="A1268" s="17">
        <v>232</v>
      </c>
      <c r="B1268" s="31">
        <v>46812</v>
      </c>
      <c r="C1268" s="32">
        <f>INDEX('Input Data'!$B:$B,A1268)/2+IF(A1268&lt;&gt;A1269,100,0)</f>
        <v>1.875</v>
      </c>
      <c r="D1268" s="33">
        <f>INDEX('ZCB Curve - Payment Dates'!$D$2:$D$246,MATCH(B1268,'ZCB Curve - Payment Dates'!$A$2:$A$246,0))</f>
        <v>0.938856338180596</v>
      </c>
      <c r="E1268" s="32">
        <f t="shared" si="19"/>
        <v>1.7603556340886175</v>
      </c>
    </row>
    <row r="1269" spans="1:5" x14ac:dyDescent="0.25">
      <c r="A1269" s="17">
        <v>232</v>
      </c>
      <c r="B1269" s="31">
        <v>46996</v>
      </c>
      <c r="C1269" s="32">
        <f>INDEX('Input Data'!$B:$B,A1269)/2+IF(A1269&lt;&gt;A1270,100,0)</f>
        <v>1.875</v>
      </c>
      <c r="D1269" s="33">
        <f>INDEX('ZCB Curve - Payment Dates'!$D$2:$D$246,MATCH(B1269,'ZCB Curve - Payment Dates'!$A$2:$A$246,0))</f>
        <v>0.91746393725908559</v>
      </c>
      <c r="E1269" s="32">
        <f t="shared" si="19"/>
        <v>1.7202448823607854</v>
      </c>
    </row>
    <row r="1270" spans="1:5" x14ac:dyDescent="0.25">
      <c r="A1270" s="17">
        <v>232</v>
      </c>
      <c r="B1270" s="31">
        <v>47177</v>
      </c>
      <c r="C1270" s="32">
        <f>INDEX('Input Data'!$B:$B,A1270)/2+IF(A1270&lt;&gt;A1271,100,0)</f>
        <v>1.875</v>
      </c>
      <c r="D1270" s="33">
        <f>INDEX('ZCB Curve - Payment Dates'!$D$2:$D$246,MATCH(B1270,'ZCB Curve - Payment Dates'!$A$2:$A$246,0))</f>
        <v>0.89669591867999909</v>
      </c>
      <c r="E1270" s="32">
        <f t="shared" si="19"/>
        <v>1.6813048475249983</v>
      </c>
    </row>
    <row r="1271" spans="1:5" x14ac:dyDescent="0.25">
      <c r="A1271" s="17">
        <v>232</v>
      </c>
      <c r="B1271" s="31">
        <v>47361</v>
      </c>
      <c r="C1271" s="32">
        <f>INDEX('Input Data'!$B:$B,A1271)/2+IF(A1271&lt;&gt;A1272,100,0)</f>
        <v>1.875</v>
      </c>
      <c r="D1271" s="33">
        <f>INDEX('ZCB Curve - Payment Dates'!$D$2:$D$246,MATCH(B1271,'ZCB Curve - Payment Dates'!$A$2:$A$246,0))</f>
        <v>0.87600023126237014</v>
      </c>
      <c r="E1271" s="32">
        <f t="shared" si="19"/>
        <v>1.642500433616944</v>
      </c>
    </row>
    <row r="1272" spans="1:5" x14ac:dyDescent="0.25">
      <c r="A1272" s="17">
        <v>232</v>
      </c>
      <c r="B1272" s="31">
        <v>47542</v>
      </c>
      <c r="C1272" s="32">
        <f>INDEX('Input Data'!$B:$B,A1272)/2+IF(A1272&lt;&gt;A1273,100,0)</f>
        <v>1.875</v>
      </c>
      <c r="D1272" s="33">
        <f>INDEX('ZCB Curve - Payment Dates'!$D$2:$D$246,MATCH(B1272,'ZCB Curve - Payment Dates'!$A$2:$A$246,0))</f>
        <v>0.85609640433764933</v>
      </c>
      <c r="E1272" s="32">
        <f t="shared" si="19"/>
        <v>1.6051807581330926</v>
      </c>
    </row>
    <row r="1273" spans="1:5" x14ac:dyDescent="0.25">
      <c r="A1273" s="17">
        <v>232</v>
      </c>
      <c r="B1273" s="31">
        <v>47726</v>
      </c>
      <c r="C1273" s="32">
        <f>INDEX('Input Data'!$B:$B,A1273)/2+IF(A1273&lt;&gt;A1274,100,0)</f>
        <v>1.875</v>
      </c>
      <c r="D1273" s="33">
        <f>INDEX('ZCB Curve - Payment Dates'!$D$2:$D$246,MATCH(B1273,'ZCB Curve - Payment Dates'!$A$2:$A$246,0))</f>
        <v>0.8363193958894809</v>
      </c>
      <c r="E1273" s="32">
        <f t="shared" si="19"/>
        <v>1.5680988672927767</v>
      </c>
    </row>
    <row r="1274" spans="1:5" x14ac:dyDescent="0.25">
      <c r="A1274" s="17">
        <v>232</v>
      </c>
      <c r="B1274" s="31">
        <v>47907</v>
      </c>
      <c r="C1274" s="32">
        <f>INDEX('Input Data'!$B:$B,A1274)/2+IF(A1274&lt;&gt;A1275,100,0)</f>
        <v>1.875</v>
      </c>
      <c r="D1274" s="33">
        <f>INDEX('ZCB Curve - Payment Dates'!$D$2:$D$246,MATCH(B1274,'ZCB Curve - Payment Dates'!$A$2:$A$246,0))</f>
        <v>0.81727602093980778</v>
      </c>
      <c r="E1274" s="32">
        <f t="shared" si="19"/>
        <v>1.5323925392621396</v>
      </c>
    </row>
    <row r="1275" spans="1:5" x14ac:dyDescent="0.25">
      <c r="A1275" s="17">
        <v>232</v>
      </c>
      <c r="B1275" s="31">
        <v>48091</v>
      </c>
      <c r="C1275" s="32">
        <f>INDEX('Input Data'!$B:$B,A1275)/2+IF(A1275&lt;&gt;A1276,100,0)</f>
        <v>1.875</v>
      </c>
      <c r="D1275" s="33">
        <f>INDEX('ZCB Curve - Payment Dates'!$D$2:$D$246,MATCH(B1275,'ZCB Curve - Payment Dates'!$A$2:$A$246,0))</f>
        <v>0.79828463215547174</v>
      </c>
      <c r="E1275" s="32">
        <f t="shared" si="19"/>
        <v>1.4967836852915095</v>
      </c>
    </row>
    <row r="1276" spans="1:5" x14ac:dyDescent="0.25">
      <c r="A1276" s="17">
        <v>232</v>
      </c>
      <c r="B1276" s="31">
        <v>48273</v>
      </c>
      <c r="C1276" s="32">
        <f>INDEX('Input Data'!$B:$B,A1276)/2+IF(A1276&lt;&gt;A1277,100,0)</f>
        <v>1.875</v>
      </c>
      <c r="D1276" s="33">
        <f>INDEX('ZCB Curve - Payment Dates'!$D$2:$D$246,MATCH(B1276,'ZCB Curve - Payment Dates'!$A$2:$A$246,0))</f>
        <v>0.77980937275311846</v>
      </c>
      <c r="E1276" s="32">
        <f t="shared" si="19"/>
        <v>1.462142573912097</v>
      </c>
    </row>
    <row r="1277" spans="1:5" x14ac:dyDescent="0.25">
      <c r="A1277" s="17">
        <v>232</v>
      </c>
      <c r="B1277" s="31">
        <v>48457</v>
      </c>
      <c r="C1277" s="32">
        <f>INDEX('Input Data'!$B:$B,A1277)/2+IF(A1277&lt;&gt;A1278,100,0)</f>
        <v>1.875</v>
      </c>
      <c r="D1277" s="33">
        <f>INDEX('ZCB Curve - Payment Dates'!$D$2:$D$246,MATCH(B1277,'ZCB Curve - Payment Dates'!$A$2:$A$246,0))</f>
        <v>0.76138996029544426</v>
      </c>
      <c r="E1277" s="32">
        <f t="shared" si="19"/>
        <v>1.427606175553958</v>
      </c>
    </row>
    <row r="1278" spans="1:5" x14ac:dyDescent="0.25">
      <c r="A1278" s="17">
        <v>232</v>
      </c>
      <c r="B1278" s="31">
        <v>48638</v>
      </c>
      <c r="C1278" s="32">
        <f>INDEX('Input Data'!$B:$B,A1278)/2+IF(A1278&lt;&gt;A1279,100,0)</f>
        <v>101.875</v>
      </c>
      <c r="D1278" s="33">
        <f>INDEX('ZCB Curve - Payment Dates'!$D$2:$D$246,MATCH(B1278,'ZCB Curve - Payment Dates'!$A$2:$A$246,0))</f>
        <v>0.74348057376837495</v>
      </c>
      <c r="E1278" s="32">
        <f t="shared" si="19"/>
        <v>75.742083452653205</v>
      </c>
    </row>
    <row r="1279" spans="1:5" x14ac:dyDescent="0.25">
      <c r="A1279" s="17">
        <v>233</v>
      </c>
      <c r="B1279" s="31">
        <v>46295</v>
      </c>
      <c r="C1279" s="32">
        <f>INDEX('Input Data'!$B:$B,A1279)/2+IF(A1279&lt;&gt;A1280,100,0)</f>
        <v>2.125</v>
      </c>
      <c r="D1279" s="33">
        <f>INDEX('ZCB Curve - Payment Dates'!$D$2:$D$246,MATCH(B1279,'ZCB Curve - Payment Dates'!$A$2:$A$246,0))</f>
        <v>0.9973127951237063</v>
      </c>
      <c r="E1279" s="32">
        <f t="shared" si="19"/>
        <v>2.1192896896378759</v>
      </c>
    </row>
    <row r="1280" spans="1:5" x14ac:dyDescent="0.25">
      <c r="A1280" s="17">
        <v>233</v>
      </c>
      <c r="B1280" s="31">
        <v>46477</v>
      </c>
      <c r="C1280" s="32">
        <f>INDEX('Input Data'!$B:$B,A1280)/2+IF(A1280&lt;&gt;A1281,100,0)</f>
        <v>2.125</v>
      </c>
      <c r="D1280" s="33">
        <f>INDEX('ZCB Curve - Payment Dates'!$D$2:$D$246,MATCH(B1280,'ZCB Curve - Payment Dates'!$A$2:$A$246,0))</f>
        <v>0.97750981974188245</v>
      </c>
      <c r="E1280" s="32">
        <f t="shared" si="19"/>
        <v>2.0772083669515</v>
      </c>
    </row>
    <row r="1281" spans="1:5" x14ac:dyDescent="0.25">
      <c r="A1281" s="17">
        <v>233</v>
      </c>
      <c r="B1281" s="31">
        <v>46660</v>
      </c>
      <c r="C1281" s="32">
        <f>INDEX('Input Data'!$B:$B,A1281)/2+IF(A1281&lt;&gt;A1282,100,0)</f>
        <v>2.125</v>
      </c>
      <c r="D1281" s="33">
        <f>INDEX('ZCB Curve - Payment Dates'!$D$2:$D$246,MATCH(B1281,'ZCB Curve - Payment Dates'!$A$2:$A$246,0))</f>
        <v>0.95655761994841249</v>
      </c>
      <c r="E1281" s="32">
        <f t="shared" si="19"/>
        <v>2.0326849423903766</v>
      </c>
    </row>
    <row r="1282" spans="1:5" x14ac:dyDescent="0.25">
      <c r="A1282" s="17">
        <v>233</v>
      </c>
      <c r="B1282" s="31">
        <v>46843</v>
      </c>
      <c r="C1282" s="32">
        <f>INDEX('Input Data'!$B:$B,A1282)/2+IF(A1282&lt;&gt;A1283,100,0)</f>
        <v>2.125</v>
      </c>
      <c r="D1282" s="33">
        <f>INDEX('ZCB Curve - Payment Dates'!$D$2:$D$246,MATCH(B1282,'ZCB Curve - Payment Dates'!$A$2:$A$246,0))</f>
        <v>0.93524308702159842</v>
      </c>
      <c r="E1282" s="32">
        <f t="shared" ref="E1282:E1345" si="20">C1282*D1282</f>
        <v>1.9873915599208967</v>
      </c>
    </row>
    <row r="1283" spans="1:5" x14ac:dyDescent="0.25">
      <c r="A1283" s="17">
        <v>233</v>
      </c>
      <c r="B1283" s="31">
        <v>47026</v>
      </c>
      <c r="C1283" s="32">
        <f>INDEX('Input Data'!$B:$B,A1283)/2+IF(A1283&lt;&gt;A1284,100,0)</f>
        <v>2.125</v>
      </c>
      <c r="D1283" s="33">
        <f>INDEX('ZCB Curve - Payment Dates'!$D$2:$D$246,MATCH(B1283,'ZCB Curve - Payment Dates'!$A$2:$A$246,0))</f>
        <v>0.91399761223542642</v>
      </c>
      <c r="E1283" s="32">
        <f t="shared" si="20"/>
        <v>1.9422449260002812</v>
      </c>
    </row>
    <row r="1284" spans="1:5" x14ac:dyDescent="0.25">
      <c r="A1284" s="17">
        <v>233</v>
      </c>
      <c r="B1284" s="31">
        <v>47208</v>
      </c>
      <c r="C1284" s="32">
        <f>INDEX('Input Data'!$B:$B,A1284)/2+IF(A1284&lt;&gt;A1285,100,0)</f>
        <v>2.125</v>
      </c>
      <c r="D1284" s="33">
        <f>INDEX('ZCB Curve - Payment Dates'!$D$2:$D$246,MATCH(B1284,'ZCB Curve - Payment Dates'!$A$2:$A$246,0))</f>
        <v>0.89317885092878757</v>
      </c>
      <c r="E1284" s="32">
        <f t="shared" si="20"/>
        <v>1.8980050582236736</v>
      </c>
    </row>
    <row r="1285" spans="1:5" x14ac:dyDescent="0.25">
      <c r="A1285" s="17">
        <v>233</v>
      </c>
      <c r="B1285" s="31">
        <v>47391</v>
      </c>
      <c r="C1285" s="32">
        <f>INDEX('Input Data'!$B:$B,A1285)/2+IF(A1285&lt;&gt;A1286,100,0)</f>
        <v>2.125</v>
      </c>
      <c r="D1285" s="33">
        <f>INDEX('ZCB Curve - Payment Dates'!$D$2:$D$246,MATCH(B1285,'ZCB Curve - Payment Dates'!$A$2:$A$246,0))</f>
        <v>0.87266944281946834</v>
      </c>
      <c r="E1285" s="32">
        <f t="shared" si="20"/>
        <v>1.8544225659913702</v>
      </c>
    </row>
    <row r="1286" spans="1:5" x14ac:dyDescent="0.25">
      <c r="A1286" s="17">
        <v>233</v>
      </c>
      <c r="B1286" s="31">
        <v>47573</v>
      </c>
      <c r="C1286" s="32">
        <f>INDEX('Input Data'!$B:$B,A1286)/2+IF(A1286&lt;&gt;A1287,100,0)</f>
        <v>2.125</v>
      </c>
      <c r="D1286" s="33">
        <f>INDEX('ZCB Curve - Payment Dates'!$D$2:$D$246,MATCH(B1286,'ZCB Curve - Payment Dates'!$A$2:$A$246,0))</f>
        <v>0.85273413261763187</v>
      </c>
      <c r="E1286" s="32">
        <f t="shared" si="20"/>
        <v>1.8120600318124678</v>
      </c>
    </row>
    <row r="1287" spans="1:5" x14ac:dyDescent="0.25">
      <c r="A1287" s="17">
        <v>233</v>
      </c>
      <c r="B1287" s="31">
        <v>47756</v>
      </c>
      <c r="C1287" s="32">
        <f>INDEX('Input Data'!$B:$B,A1287)/2+IF(A1287&lt;&gt;A1288,100,0)</f>
        <v>2.125</v>
      </c>
      <c r="D1287" s="33">
        <f>INDEX('ZCB Curve - Payment Dates'!$D$2:$D$246,MATCH(B1287,'ZCB Curve - Payment Dates'!$A$2:$A$246,0))</f>
        <v>0.83313578966851842</v>
      </c>
      <c r="E1287" s="32">
        <f t="shared" si="20"/>
        <v>1.7704135530456016</v>
      </c>
    </row>
    <row r="1288" spans="1:5" x14ac:dyDescent="0.25">
      <c r="A1288" s="17">
        <v>233</v>
      </c>
      <c r="B1288" s="31">
        <v>47938</v>
      </c>
      <c r="C1288" s="32">
        <f>INDEX('Input Data'!$B:$B,A1288)/2+IF(A1288&lt;&gt;A1289,100,0)</f>
        <v>2.125</v>
      </c>
      <c r="D1288" s="33">
        <f>INDEX('ZCB Curve - Payment Dates'!$D$2:$D$246,MATCH(B1288,'ZCB Curve - Payment Dates'!$A$2:$A$246,0))</f>
        <v>0.81405312340218006</v>
      </c>
      <c r="E1288" s="32">
        <f t="shared" si="20"/>
        <v>1.7298628872296327</v>
      </c>
    </row>
    <row r="1289" spans="1:5" x14ac:dyDescent="0.25">
      <c r="A1289" s="17">
        <v>233</v>
      </c>
      <c r="B1289" s="31">
        <v>48121</v>
      </c>
      <c r="C1289" s="32">
        <f>INDEX('Input Data'!$B:$B,A1289)/2+IF(A1289&lt;&gt;A1290,100,0)</f>
        <v>2.125</v>
      </c>
      <c r="D1289" s="33">
        <f>INDEX('ZCB Curve - Payment Dates'!$D$2:$D$246,MATCH(B1289,'ZCB Curve - Payment Dates'!$A$2:$A$246,0))</f>
        <v>0.79521907488715848</v>
      </c>
      <c r="E1289" s="32">
        <f t="shared" si="20"/>
        <v>1.6898405341352118</v>
      </c>
    </row>
    <row r="1290" spans="1:5" x14ac:dyDescent="0.25">
      <c r="A1290" s="17">
        <v>233</v>
      </c>
      <c r="B1290" s="31">
        <v>48304</v>
      </c>
      <c r="C1290" s="32">
        <f>INDEX('Input Data'!$B:$B,A1290)/2+IF(A1290&lt;&gt;A1291,100,0)</f>
        <v>2.125</v>
      </c>
      <c r="D1290" s="33">
        <f>INDEX('ZCB Curve - Payment Dates'!$D$2:$D$246,MATCH(B1290,'ZCB Curve - Payment Dates'!$A$2:$A$246,0))</f>
        <v>0.77669025737629127</v>
      </c>
      <c r="E1290" s="32">
        <f t="shared" si="20"/>
        <v>1.650466796924619</v>
      </c>
    </row>
    <row r="1291" spans="1:5" x14ac:dyDescent="0.25">
      <c r="A1291" s="17">
        <v>233</v>
      </c>
      <c r="B1291" s="31">
        <v>48487</v>
      </c>
      <c r="C1291" s="32">
        <f>INDEX('Input Data'!$B:$B,A1291)/2+IF(A1291&lt;&gt;A1292,100,0)</f>
        <v>2.125</v>
      </c>
      <c r="D1291" s="33">
        <f>INDEX('ZCB Curve - Payment Dates'!$D$2:$D$246,MATCH(B1291,'ZCB Curve - Payment Dates'!$A$2:$A$246,0))</f>
        <v>0.75840794873352257</v>
      </c>
      <c r="E1291" s="32">
        <f t="shared" si="20"/>
        <v>1.6116168910587354</v>
      </c>
    </row>
    <row r="1292" spans="1:5" x14ac:dyDescent="0.25">
      <c r="A1292" s="17">
        <v>233</v>
      </c>
      <c r="B1292" s="31">
        <v>48669</v>
      </c>
      <c r="C1292" s="32">
        <f>INDEX('Input Data'!$B:$B,A1292)/2+IF(A1292&lt;&gt;A1293,100,0)</f>
        <v>102.125</v>
      </c>
      <c r="D1292" s="33">
        <f>INDEX('ZCB Curve - Payment Dates'!$D$2:$D$246,MATCH(B1292,'ZCB Curve - Payment Dates'!$A$2:$A$246,0))</f>
        <v>0.74043265946514736</v>
      </c>
      <c r="E1292" s="32">
        <f t="shared" si="20"/>
        <v>75.616685347878175</v>
      </c>
    </row>
    <row r="1293" spans="1:5" x14ac:dyDescent="0.25">
      <c r="A1293" s="17">
        <v>234</v>
      </c>
      <c r="B1293" s="31">
        <v>46326</v>
      </c>
      <c r="C1293" s="32">
        <f>INDEX('Input Data'!$B:$B,A1293)/2+IF(A1293&lt;&gt;A1294,100,0)</f>
        <v>2.0625</v>
      </c>
      <c r="D1293" s="33">
        <f>INDEX('ZCB Curve - Payment Dates'!$D$2:$D$246,MATCH(B1293,'ZCB Curve - Payment Dates'!$A$2:$A$246,0))</f>
        <v>0.99405055111674689</v>
      </c>
      <c r="E1293" s="32">
        <f t="shared" si="20"/>
        <v>2.0502292616782904</v>
      </c>
    </row>
    <row r="1294" spans="1:5" x14ac:dyDescent="0.25">
      <c r="A1294" s="17">
        <v>234</v>
      </c>
      <c r="B1294" s="31">
        <v>46507</v>
      </c>
      <c r="C1294" s="32">
        <f>INDEX('Input Data'!$B:$B,A1294)/2+IF(A1294&lt;&gt;A1295,100,0)</f>
        <v>2.0625</v>
      </c>
      <c r="D1294" s="33">
        <f>INDEX('ZCB Curve - Payment Dates'!$D$2:$D$246,MATCH(B1294,'ZCB Curve - Payment Dates'!$A$2:$A$246,0))</f>
        <v>0.97412390690574091</v>
      </c>
      <c r="E1294" s="32">
        <f t="shared" si="20"/>
        <v>2.0091305579930907</v>
      </c>
    </row>
    <row r="1295" spans="1:5" x14ac:dyDescent="0.25">
      <c r="A1295" s="17">
        <v>234</v>
      </c>
      <c r="B1295" s="31">
        <v>46691</v>
      </c>
      <c r="C1295" s="32">
        <f>INDEX('Input Data'!$B:$B,A1295)/2+IF(A1295&lt;&gt;A1296,100,0)</f>
        <v>2.0625</v>
      </c>
      <c r="D1295" s="33">
        <f>INDEX('ZCB Curve - Payment Dates'!$D$2:$D$246,MATCH(B1295,'ZCB Curve - Payment Dates'!$A$2:$A$246,0))</f>
        <v>0.95295491595466364</v>
      </c>
      <c r="E1295" s="32">
        <f t="shared" si="20"/>
        <v>1.9654695141564937</v>
      </c>
    </row>
    <row r="1296" spans="1:5" x14ac:dyDescent="0.25">
      <c r="A1296" s="17">
        <v>234</v>
      </c>
      <c r="B1296" s="31">
        <v>46873</v>
      </c>
      <c r="C1296" s="32">
        <f>INDEX('Input Data'!$B:$B,A1296)/2+IF(A1296&lt;&gt;A1297,100,0)</f>
        <v>2.0625</v>
      </c>
      <c r="D1296" s="33">
        <f>INDEX('ZCB Curve - Payment Dates'!$D$2:$D$246,MATCH(B1296,'ZCB Curve - Payment Dates'!$A$2:$A$246,0))</f>
        <v>0.93174702042500246</v>
      </c>
      <c r="E1296" s="32">
        <f t="shared" si="20"/>
        <v>1.9217282296265676</v>
      </c>
    </row>
    <row r="1297" spans="1:5" x14ac:dyDescent="0.25">
      <c r="A1297" s="17">
        <v>234</v>
      </c>
      <c r="B1297" s="31">
        <v>47057</v>
      </c>
      <c r="C1297" s="32">
        <f>INDEX('Input Data'!$B:$B,A1297)/2+IF(A1297&lt;&gt;A1298,100,0)</f>
        <v>2.0625</v>
      </c>
      <c r="D1297" s="33">
        <f>INDEX('ZCB Curve - Payment Dates'!$D$2:$D$246,MATCH(B1297,'ZCB Curve - Payment Dates'!$A$2:$A$246,0))</f>
        <v>0.91042649241905782</v>
      </c>
      <c r="E1297" s="32">
        <f t="shared" si="20"/>
        <v>1.8777546406143069</v>
      </c>
    </row>
    <row r="1298" spans="1:5" x14ac:dyDescent="0.25">
      <c r="A1298" s="17">
        <v>234</v>
      </c>
      <c r="B1298" s="31">
        <v>47238</v>
      </c>
      <c r="C1298" s="32">
        <f>INDEX('Input Data'!$B:$B,A1298)/2+IF(A1298&lt;&gt;A1299,100,0)</f>
        <v>2.0625</v>
      </c>
      <c r="D1298" s="33">
        <f>INDEX('ZCB Curve - Payment Dates'!$D$2:$D$246,MATCH(B1298,'ZCB Curve - Payment Dates'!$A$2:$A$246,0))</f>
        <v>0.88978547878922043</v>
      </c>
      <c r="E1298" s="32">
        <f t="shared" si="20"/>
        <v>1.8351825500027672</v>
      </c>
    </row>
    <row r="1299" spans="1:5" x14ac:dyDescent="0.25">
      <c r="A1299" s="17">
        <v>234</v>
      </c>
      <c r="B1299" s="31">
        <v>47422</v>
      </c>
      <c r="C1299" s="32">
        <f>INDEX('Input Data'!$B:$B,A1299)/2+IF(A1299&lt;&gt;A1300,100,0)</f>
        <v>2.0625</v>
      </c>
      <c r="D1299" s="33">
        <f>INDEX('ZCB Curve - Payment Dates'!$D$2:$D$246,MATCH(B1299,'ZCB Curve - Payment Dates'!$A$2:$A$246,0))</f>
        <v>0.86924243542459101</v>
      </c>
      <c r="E1299" s="32">
        <f t="shared" si="20"/>
        <v>1.792812523063219</v>
      </c>
    </row>
    <row r="1300" spans="1:5" x14ac:dyDescent="0.25">
      <c r="A1300" s="17">
        <v>234</v>
      </c>
      <c r="B1300" s="31">
        <v>47603</v>
      </c>
      <c r="C1300" s="32">
        <f>INDEX('Input Data'!$B:$B,A1300)/2+IF(A1300&lt;&gt;A1301,100,0)</f>
        <v>2.0625</v>
      </c>
      <c r="D1300" s="33">
        <f>INDEX('ZCB Curve - Payment Dates'!$D$2:$D$246,MATCH(B1300,'ZCB Curve - Payment Dates'!$A$2:$A$246,0))</f>
        <v>0.84949114767876688</v>
      </c>
      <c r="E1300" s="32">
        <f t="shared" si="20"/>
        <v>1.7520754920874566</v>
      </c>
    </row>
    <row r="1301" spans="1:5" x14ac:dyDescent="0.25">
      <c r="A1301" s="17">
        <v>234</v>
      </c>
      <c r="B1301" s="31">
        <v>47787</v>
      </c>
      <c r="C1301" s="32">
        <f>INDEX('Input Data'!$B:$B,A1301)/2+IF(A1301&lt;&gt;A1302,100,0)</f>
        <v>2.0625</v>
      </c>
      <c r="D1301" s="33">
        <f>INDEX('ZCB Curve - Payment Dates'!$D$2:$D$246,MATCH(B1301,'ZCB Curve - Payment Dates'!$A$2:$A$246,0))</f>
        <v>0.82985919250556395</v>
      </c>
      <c r="E1301" s="32">
        <f t="shared" si="20"/>
        <v>1.7115845845427256</v>
      </c>
    </row>
    <row r="1302" spans="1:5" x14ac:dyDescent="0.25">
      <c r="A1302" s="17">
        <v>234</v>
      </c>
      <c r="B1302" s="31">
        <v>47968</v>
      </c>
      <c r="C1302" s="32">
        <f>INDEX('Input Data'!$B:$B,A1302)/2+IF(A1302&lt;&gt;A1303,100,0)</f>
        <v>2.0625</v>
      </c>
      <c r="D1302" s="33">
        <f>INDEX('ZCB Curve - Payment Dates'!$D$2:$D$246,MATCH(B1302,'ZCB Curve - Payment Dates'!$A$2:$A$246,0))</f>
        <v>0.81094247698820199</v>
      </c>
      <c r="E1302" s="32">
        <f t="shared" si="20"/>
        <v>1.6725688587881666</v>
      </c>
    </row>
    <row r="1303" spans="1:5" x14ac:dyDescent="0.25">
      <c r="A1303" s="17">
        <v>234</v>
      </c>
      <c r="B1303" s="31">
        <v>48152</v>
      </c>
      <c r="C1303" s="32">
        <f>INDEX('Input Data'!$B:$B,A1303)/2+IF(A1303&lt;&gt;A1304,100,0)</f>
        <v>2.0625</v>
      </c>
      <c r="D1303" s="33">
        <f>INDEX('ZCB Curve - Payment Dates'!$D$2:$D$246,MATCH(B1303,'ZCB Curve - Payment Dates'!$A$2:$A$246,0))</f>
        <v>0.79206132015103392</v>
      </c>
      <c r="E1303" s="32">
        <f t="shared" si="20"/>
        <v>1.6336264728115075</v>
      </c>
    </row>
    <row r="1304" spans="1:5" x14ac:dyDescent="0.25">
      <c r="A1304" s="17">
        <v>234</v>
      </c>
      <c r="B1304" s="31">
        <v>48334</v>
      </c>
      <c r="C1304" s="32">
        <f>INDEX('Input Data'!$B:$B,A1304)/2+IF(A1304&lt;&gt;A1305,100,0)</f>
        <v>2.0625</v>
      </c>
      <c r="D1304" s="33">
        <f>INDEX('ZCB Curve - Payment Dates'!$D$2:$D$246,MATCH(B1304,'ZCB Curve - Payment Dates'!$A$2:$A$246,0))</f>
        <v>0.77367715717585139</v>
      </c>
      <c r="E1304" s="32">
        <f t="shared" si="20"/>
        <v>1.5957091366751934</v>
      </c>
    </row>
    <row r="1305" spans="1:5" x14ac:dyDescent="0.25">
      <c r="A1305" s="17">
        <v>234</v>
      </c>
      <c r="B1305" s="31">
        <v>48518</v>
      </c>
      <c r="C1305" s="32">
        <f>INDEX('Input Data'!$B:$B,A1305)/2+IF(A1305&lt;&gt;A1306,100,0)</f>
        <v>2.0625</v>
      </c>
      <c r="D1305" s="33">
        <f>INDEX('ZCB Curve - Payment Dates'!$D$2:$D$246,MATCH(B1305,'ZCB Curve - Payment Dates'!$A$2:$A$246,0))</f>
        <v>0.75533379252800203</v>
      </c>
      <c r="E1305" s="32">
        <f t="shared" si="20"/>
        <v>1.5578759470890042</v>
      </c>
    </row>
    <row r="1306" spans="1:5" x14ac:dyDescent="0.25">
      <c r="A1306" s="17">
        <v>234</v>
      </c>
      <c r="B1306" s="31">
        <v>48699</v>
      </c>
      <c r="C1306" s="32">
        <f>INDEX('Input Data'!$B:$B,A1306)/2+IF(A1306&lt;&gt;A1307,100,0)</f>
        <v>102.0625</v>
      </c>
      <c r="D1306" s="33">
        <f>INDEX('ZCB Curve - Payment Dates'!$D$2:$D$246,MATCH(B1306,'ZCB Curve - Payment Dates'!$A$2:$A$246,0))</f>
        <v>0.73748637047655485</v>
      </c>
      <c r="E1306" s="32">
        <f t="shared" si="20"/>
        <v>75.269702686763381</v>
      </c>
    </row>
    <row r="1307" spans="1:5" x14ac:dyDescent="0.25">
      <c r="A1307" s="17">
        <v>235</v>
      </c>
      <c r="B1307" s="31">
        <v>46341</v>
      </c>
      <c r="C1307" s="32">
        <f>INDEX('Input Data'!$B:$B,A1307)/2+IF(A1307&lt;&gt;A1308,100,0)</f>
        <v>1.6875</v>
      </c>
      <c r="D1307" s="33">
        <f>INDEX('ZCB Curve - Payment Dates'!$D$2:$D$246,MATCH(B1307,'ZCB Curve - Payment Dates'!$A$2:$A$246,0))</f>
        <v>0.99245367292309439</v>
      </c>
      <c r="E1307" s="32">
        <f t="shared" si="20"/>
        <v>1.6747655730577218</v>
      </c>
    </row>
    <row r="1308" spans="1:5" x14ac:dyDescent="0.25">
      <c r="A1308" s="17">
        <v>235</v>
      </c>
      <c r="B1308" s="31">
        <v>46522</v>
      </c>
      <c r="C1308" s="32">
        <f>INDEX('Input Data'!$B:$B,A1308)/2+IF(A1308&lt;&gt;A1309,100,0)</f>
        <v>1.6875</v>
      </c>
      <c r="D1308" s="33">
        <f>INDEX('ZCB Curve - Payment Dates'!$D$2:$D$246,MATCH(B1308,'ZCB Curve - Payment Dates'!$A$2:$A$246,0))</f>
        <v>0.97242179559611874</v>
      </c>
      <c r="E1308" s="32">
        <f t="shared" si="20"/>
        <v>1.6409617800684504</v>
      </c>
    </row>
    <row r="1309" spans="1:5" x14ac:dyDescent="0.25">
      <c r="A1309" s="17">
        <v>235</v>
      </c>
      <c r="B1309" s="31">
        <v>46706</v>
      </c>
      <c r="C1309" s="32">
        <f>INDEX('Input Data'!$B:$B,A1309)/2+IF(A1309&lt;&gt;A1310,100,0)</f>
        <v>1.6875</v>
      </c>
      <c r="D1309" s="33">
        <f>INDEX('ZCB Curve - Payment Dates'!$D$2:$D$246,MATCH(B1309,'ZCB Curve - Payment Dates'!$A$2:$A$246,0))</f>
        <v>0.95121018311627348</v>
      </c>
      <c r="E1309" s="32">
        <f t="shared" si="20"/>
        <v>1.6051671840087114</v>
      </c>
    </row>
    <row r="1310" spans="1:5" x14ac:dyDescent="0.25">
      <c r="A1310" s="17">
        <v>235</v>
      </c>
      <c r="B1310" s="31">
        <v>46888</v>
      </c>
      <c r="C1310" s="32">
        <f>INDEX('Input Data'!$B:$B,A1310)/2+IF(A1310&lt;&gt;A1311,100,0)</f>
        <v>1.6875</v>
      </c>
      <c r="D1310" s="33">
        <f>INDEX('ZCB Curve - Payment Dates'!$D$2:$D$246,MATCH(B1310,'ZCB Curve - Payment Dates'!$A$2:$A$246,0))</f>
        <v>0.93000025435083566</v>
      </c>
      <c r="E1310" s="32">
        <f t="shared" si="20"/>
        <v>1.5693754292170352</v>
      </c>
    </row>
    <row r="1311" spans="1:5" x14ac:dyDescent="0.25">
      <c r="A1311" s="17">
        <v>235</v>
      </c>
      <c r="B1311" s="31">
        <v>47072</v>
      </c>
      <c r="C1311" s="32">
        <f>INDEX('Input Data'!$B:$B,A1311)/2+IF(A1311&lt;&gt;A1312,100,0)</f>
        <v>1.6875</v>
      </c>
      <c r="D1311" s="33">
        <f>INDEX('ZCB Curve - Payment Dates'!$D$2:$D$246,MATCH(B1311,'ZCB Curve - Payment Dates'!$A$2:$A$246,0))</f>
        <v>0.90870125167038918</v>
      </c>
      <c r="E1311" s="32">
        <f t="shared" si="20"/>
        <v>1.5334333621937817</v>
      </c>
    </row>
    <row r="1312" spans="1:5" x14ac:dyDescent="0.25">
      <c r="A1312" s="17">
        <v>235</v>
      </c>
      <c r="B1312" s="31">
        <v>47253</v>
      </c>
      <c r="C1312" s="32">
        <f>INDEX('Input Data'!$B:$B,A1312)/2+IF(A1312&lt;&gt;A1313,100,0)</f>
        <v>1.6875</v>
      </c>
      <c r="D1312" s="33">
        <f>INDEX('ZCB Curve - Payment Dates'!$D$2:$D$246,MATCH(B1312,'ZCB Curve - Payment Dates'!$A$2:$A$246,0))</f>
        <v>0.88809325063638844</v>
      </c>
      <c r="E1312" s="32">
        <f t="shared" si="20"/>
        <v>1.4986573604489055</v>
      </c>
    </row>
    <row r="1313" spans="1:5" x14ac:dyDescent="0.25">
      <c r="A1313" s="17">
        <v>235</v>
      </c>
      <c r="B1313" s="31">
        <v>47437</v>
      </c>
      <c r="C1313" s="32">
        <f>INDEX('Input Data'!$B:$B,A1313)/2+IF(A1313&lt;&gt;A1314,100,0)</f>
        <v>1.6875</v>
      </c>
      <c r="D1313" s="33">
        <f>INDEX('ZCB Curve - Payment Dates'!$D$2:$D$246,MATCH(B1313,'ZCB Curve - Payment Dates'!$A$2:$A$246,0))</f>
        <v>0.86758824089536279</v>
      </c>
      <c r="E1313" s="32">
        <f t="shared" si="20"/>
        <v>1.4640551565109248</v>
      </c>
    </row>
    <row r="1314" spans="1:5" x14ac:dyDescent="0.25">
      <c r="A1314" s="17">
        <v>235</v>
      </c>
      <c r="B1314" s="31">
        <v>47618</v>
      </c>
      <c r="C1314" s="32">
        <f>INDEX('Input Data'!$B:$B,A1314)/2+IF(A1314&lt;&gt;A1315,100,0)</f>
        <v>1.6875</v>
      </c>
      <c r="D1314" s="33">
        <f>INDEX('ZCB Curve - Payment Dates'!$D$2:$D$246,MATCH(B1314,'ZCB Curve - Payment Dates'!$A$2:$A$246,0))</f>
        <v>0.84787416911783064</v>
      </c>
      <c r="E1314" s="32">
        <f t="shared" si="20"/>
        <v>1.4307876603863392</v>
      </c>
    </row>
    <row r="1315" spans="1:5" x14ac:dyDescent="0.25">
      <c r="A1315" s="17">
        <v>235</v>
      </c>
      <c r="B1315" s="31">
        <v>47802</v>
      </c>
      <c r="C1315" s="32">
        <f>INDEX('Input Data'!$B:$B,A1315)/2+IF(A1315&lt;&gt;A1316,100,0)</f>
        <v>1.6875</v>
      </c>
      <c r="D1315" s="33">
        <f>INDEX('ZCB Curve - Payment Dates'!$D$2:$D$246,MATCH(B1315,'ZCB Curve - Payment Dates'!$A$2:$A$246,0))</f>
        <v>0.82827715028796722</v>
      </c>
      <c r="E1315" s="32">
        <f t="shared" si="20"/>
        <v>1.3977176911109448</v>
      </c>
    </row>
    <row r="1316" spans="1:5" x14ac:dyDescent="0.25">
      <c r="A1316" s="17">
        <v>235</v>
      </c>
      <c r="B1316" s="31">
        <v>47983</v>
      </c>
      <c r="C1316" s="32">
        <f>INDEX('Input Data'!$B:$B,A1316)/2+IF(A1316&lt;&gt;A1317,100,0)</f>
        <v>1.6875</v>
      </c>
      <c r="D1316" s="33">
        <f>INDEX('ZCB Curve - Payment Dates'!$D$2:$D$246,MATCH(B1316,'ZCB Curve - Payment Dates'!$A$2:$A$246,0))</f>
        <v>0.80939067484273564</v>
      </c>
      <c r="E1316" s="32">
        <f t="shared" si="20"/>
        <v>1.3658467637971163</v>
      </c>
    </row>
    <row r="1317" spans="1:5" x14ac:dyDescent="0.25">
      <c r="A1317" s="17">
        <v>235</v>
      </c>
      <c r="B1317" s="31">
        <v>48167</v>
      </c>
      <c r="C1317" s="32">
        <f>INDEX('Input Data'!$B:$B,A1317)/2+IF(A1317&lt;&gt;A1318,100,0)</f>
        <v>1.6875</v>
      </c>
      <c r="D1317" s="33">
        <f>INDEX('ZCB Curve - Payment Dates'!$D$2:$D$246,MATCH(B1317,'ZCB Curve - Payment Dates'!$A$2:$A$246,0))</f>
        <v>0.79053567842581962</v>
      </c>
      <c r="E1317" s="32">
        <f t="shared" si="20"/>
        <v>1.3340289573435706</v>
      </c>
    </row>
    <row r="1318" spans="1:5" x14ac:dyDescent="0.25">
      <c r="A1318" s="17">
        <v>235</v>
      </c>
      <c r="B1318" s="31">
        <v>48349</v>
      </c>
      <c r="C1318" s="32">
        <f>INDEX('Input Data'!$B:$B,A1318)/2+IF(A1318&lt;&gt;A1319,100,0)</f>
        <v>1.6875</v>
      </c>
      <c r="D1318" s="33">
        <f>INDEX('ZCB Curve - Payment Dates'!$D$2:$D$246,MATCH(B1318,'ZCB Curve - Payment Dates'!$A$2:$A$246,0))</f>
        <v>0.77217305702007488</v>
      </c>
      <c r="E1318" s="32">
        <f t="shared" si="20"/>
        <v>1.3030420337213764</v>
      </c>
    </row>
    <row r="1319" spans="1:5" x14ac:dyDescent="0.25">
      <c r="A1319" s="17">
        <v>235</v>
      </c>
      <c r="B1319" s="31">
        <v>48533</v>
      </c>
      <c r="C1319" s="32">
        <f>INDEX('Input Data'!$B:$B,A1319)/2+IF(A1319&lt;&gt;A1320,100,0)</f>
        <v>1.6875</v>
      </c>
      <c r="D1319" s="33">
        <f>INDEX('ZCB Curve - Payment Dates'!$D$2:$D$246,MATCH(B1319,'ZCB Curve - Payment Dates'!$A$2:$A$246,0))</f>
        <v>0.75384766072076514</v>
      </c>
      <c r="E1319" s="32">
        <f t="shared" si="20"/>
        <v>1.2721179274662913</v>
      </c>
    </row>
    <row r="1320" spans="1:5" x14ac:dyDescent="0.25">
      <c r="A1320" s="17">
        <v>235</v>
      </c>
      <c r="B1320" s="31">
        <v>48714</v>
      </c>
      <c r="C1320" s="32">
        <f>INDEX('Input Data'!$B:$B,A1320)/2+IF(A1320&lt;&gt;A1321,100,0)</f>
        <v>101.6875</v>
      </c>
      <c r="D1320" s="33">
        <f>INDEX('ZCB Curve - Payment Dates'!$D$2:$D$246,MATCH(B1320,'ZCB Curve - Payment Dates'!$A$2:$A$246,0))</f>
        <v>0.73601491848746747</v>
      </c>
      <c r="E1320" s="32">
        <f t="shared" si="20"/>
        <v>74.843517023694346</v>
      </c>
    </row>
    <row r="1321" spans="1:5" x14ac:dyDescent="0.25">
      <c r="A1321" s="17">
        <v>236</v>
      </c>
      <c r="B1321" s="31">
        <v>46356</v>
      </c>
      <c r="C1321" s="32">
        <f>INDEX('Input Data'!$B:$B,A1321)/2+IF(A1321&lt;&gt;A1322,100,0)</f>
        <v>2.125</v>
      </c>
      <c r="D1321" s="33">
        <f>INDEX('ZCB Curve - Payment Dates'!$D$2:$D$246,MATCH(B1321,'ZCB Curve - Payment Dates'!$A$2:$A$246,0))</f>
        <v>0.99084497326382592</v>
      </c>
      <c r="E1321" s="32">
        <f t="shared" si="20"/>
        <v>2.1055455681856299</v>
      </c>
    </row>
    <row r="1322" spans="1:5" x14ac:dyDescent="0.25">
      <c r="A1322" s="17">
        <v>236</v>
      </c>
      <c r="B1322" s="31">
        <v>46538</v>
      </c>
      <c r="C1322" s="32">
        <f>INDEX('Input Data'!$B:$B,A1322)/2+IF(A1322&lt;&gt;A1323,100,0)</f>
        <v>2.125</v>
      </c>
      <c r="D1322" s="33">
        <f>INDEX('ZCB Curve - Payment Dates'!$D$2:$D$246,MATCH(B1322,'ZCB Curve - Payment Dates'!$A$2:$A$246,0))</f>
        <v>0.97060179184855555</v>
      </c>
      <c r="E1322" s="32">
        <f t="shared" si="20"/>
        <v>2.0625288076781807</v>
      </c>
    </row>
    <row r="1323" spans="1:5" x14ac:dyDescent="0.25">
      <c r="A1323" s="17">
        <v>236</v>
      </c>
      <c r="B1323" s="31">
        <v>46721</v>
      </c>
      <c r="C1323" s="32">
        <f>INDEX('Input Data'!$B:$B,A1323)/2+IF(A1323&lt;&gt;A1324,100,0)</f>
        <v>2.125</v>
      </c>
      <c r="D1323" s="33">
        <f>INDEX('ZCB Curve - Payment Dates'!$D$2:$D$246,MATCH(B1323,'ZCB Curve - Payment Dates'!$A$2:$A$246,0))</f>
        <v>0.94946404326393219</v>
      </c>
      <c r="E1323" s="32">
        <f t="shared" si="20"/>
        <v>2.0176110919358559</v>
      </c>
    </row>
    <row r="1324" spans="1:5" x14ac:dyDescent="0.25">
      <c r="A1324" s="17">
        <v>236</v>
      </c>
      <c r="B1324" s="31">
        <v>46904</v>
      </c>
      <c r="C1324" s="32">
        <f>INDEX('Input Data'!$B:$B,A1324)/2+IF(A1324&lt;&gt;A1325,100,0)</f>
        <v>2.125</v>
      </c>
      <c r="D1324" s="33">
        <f>INDEX('ZCB Curve - Payment Dates'!$D$2:$D$246,MATCH(B1324,'ZCB Curve - Payment Dates'!$A$2:$A$246,0))</f>
        <v>0.92813990099508414</v>
      </c>
      <c r="E1324" s="32">
        <f t="shared" si="20"/>
        <v>1.9722972896145539</v>
      </c>
    </row>
    <row r="1325" spans="1:5" x14ac:dyDescent="0.25">
      <c r="A1325" s="17">
        <v>236</v>
      </c>
      <c r="B1325" s="31">
        <v>47087</v>
      </c>
      <c r="C1325" s="32">
        <f>INDEX('Input Data'!$B:$B,A1325)/2+IF(A1325&lt;&gt;A1326,100,0)</f>
        <v>2.125</v>
      </c>
      <c r="D1325" s="33">
        <f>INDEX('ZCB Curve - Payment Dates'!$D$2:$D$246,MATCH(B1325,'ZCB Curve - Payment Dates'!$A$2:$A$246,0))</f>
        <v>0.90697842456009181</v>
      </c>
      <c r="E1325" s="32">
        <f t="shared" si="20"/>
        <v>1.9273291521901952</v>
      </c>
    </row>
    <row r="1326" spans="1:5" x14ac:dyDescent="0.25">
      <c r="A1326" s="17">
        <v>236</v>
      </c>
      <c r="B1326" s="31">
        <v>47269</v>
      </c>
      <c r="C1326" s="32">
        <f>INDEX('Input Data'!$B:$B,A1326)/2+IF(A1326&lt;&gt;A1327,100,0)</f>
        <v>2.125</v>
      </c>
      <c r="D1326" s="33">
        <f>INDEX('ZCB Curve - Payment Dates'!$D$2:$D$246,MATCH(B1326,'ZCB Curve - Payment Dates'!$A$2:$A$246,0))</f>
        <v>0.88629316931415014</v>
      </c>
      <c r="E1326" s="32">
        <f t="shared" si="20"/>
        <v>1.8833729847925691</v>
      </c>
    </row>
    <row r="1327" spans="1:5" x14ac:dyDescent="0.25">
      <c r="A1327" s="17">
        <v>236</v>
      </c>
      <c r="B1327" s="31">
        <v>47452</v>
      </c>
      <c r="C1327" s="32">
        <f>INDEX('Input Data'!$B:$B,A1327)/2+IF(A1327&lt;&gt;A1328,100,0)</f>
        <v>2.125</v>
      </c>
      <c r="D1327" s="33">
        <f>INDEX('ZCB Curve - Payment Dates'!$D$2:$D$246,MATCH(B1327,'ZCB Curve - Payment Dates'!$A$2:$A$246,0))</f>
        <v>0.86593718552386212</v>
      </c>
      <c r="E1327" s="32">
        <f t="shared" si="20"/>
        <v>1.840116519238207</v>
      </c>
    </row>
    <row r="1328" spans="1:5" x14ac:dyDescent="0.25">
      <c r="A1328" s="17">
        <v>236</v>
      </c>
      <c r="B1328" s="31">
        <v>47634</v>
      </c>
      <c r="C1328" s="32">
        <f>INDEX('Input Data'!$B:$B,A1328)/2+IF(A1328&lt;&gt;A1329,100,0)</f>
        <v>2.125</v>
      </c>
      <c r="D1328" s="33">
        <f>INDEX('ZCB Curve - Payment Dates'!$D$2:$D$246,MATCH(B1328,'ZCB Curve - Payment Dates'!$A$2:$A$246,0))</f>
        <v>0.84615424839536502</v>
      </c>
      <c r="E1328" s="32">
        <f t="shared" si="20"/>
        <v>1.7980777778401507</v>
      </c>
    </row>
    <row r="1329" spans="1:5" x14ac:dyDescent="0.25">
      <c r="A1329" s="17">
        <v>236</v>
      </c>
      <c r="B1329" s="31">
        <v>47817</v>
      </c>
      <c r="C1329" s="32">
        <f>INDEX('Input Data'!$B:$B,A1329)/2+IF(A1329&lt;&gt;A1330,100,0)</f>
        <v>2.125</v>
      </c>
      <c r="D1329" s="33">
        <f>INDEX('ZCB Curve - Payment Dates'!$D$2:$D$246,MATCH(B1329,'ZCB Curve - Payment Dates'!$A$2:$A$246,0))</f>
        <v>0.82669778003432226</v>
      </c>
      <c r="E1329" s="32">
        <f t="shared" si="20"/>
        <v>1.7567327825729349</v>
      </c>
    </row>
    <row r="1330" spans="1:5" x14ac:dyDescent="0.25">
      <c r="A1330" s="17">
        <v>236</v>
      </c>
      <c r="B1330" s="31">
        <v>47999</v>
      </c>
      <c r="C1330" s="32">
        <f>INDEX('Input Data'!$B:$B,A1330)/2+IF(A1330&lt;&gt;A1331,100,0)</f>
        <v>2.125</v>
      </c>
      <c r="D1330" s="33">
        <f>INDEX('ZCB Curve - Payment Dates'!$D$2:$D$246,MATCH(B1330,'ZCB Curve - Payment Dates'!$A$2:$A$246,0))</f>
        <v>0.80773946698731602</v>
      </c>
      <c r="E1330" s="32">
        <f t="shared" si="20"/>
        <v>1.7164463673480466</v>
      </c>
    </row>
    <row r="1331" spans="1:5" x14ac:dyDescent="0.25">
      <c r="A1331" s="17">
        <v>236</v>
      </c>
      <c r="B1331" s="31">
        <v>48182</v>
      </c>
      <c r="C1331" s="32">
        <f>INDEX('Input Data'!$B:$B,A1331)/2+IF(A1331&lt;&gt;A1332,100,0)</f>
        <v>2.125</v>
      </c>
      <c r="D1331" s="33">
        <f>INDEX('ZCB Curve - Payment Dates'!$D$2:$D$246,MATCH(B1331,'ZCB Curve - Payment Dates'!$A$2:$A$246,0))</f>
        <v>0.78901196947977614</v>
      </c>
      <c r="E1331" s="32">
        <f t="shared" si="20"/>
        <v>1.6766504351445244</v>
      </c>
    </row>
    <row r="1332" spans="1:5" x14ac:dyDescent="0.25">
      <c r="A1332" s="17">
        <v>236</v>
      </c>
      <c r="B1332" s="31">
        <v>48365</v>
      </c>
      <c r="C1332" s="32">
        <f>INDEX('Input Data'!$B:$B,A1332)/2+IF(A1332&lt;&gt;A1333,100,0)</f>
        <v>2.125</v>
      </c>
      <c r="D1332" s="33">
        <f>INDEX('ZCB Curve - Payment Dates'!$D$2:$D$246,MATCH(B1332,'ZCB Curve - Payment Dates'!$A$2:$A$246,0))</f>
        <v>0.77056825328760936</v>
      </c>
      <c r="E1332" s="32">
        <f t="shared" si="20"/>
        <v>1.6374575382361698</v>
      </c>
    </row>
    <row r="1333" spans="1:5" x14ac:dyDescent="0.25">
      <c r="A1333" s="17">
        <v>236</v>
      </c>
      <c r="B1333" s="31">
        <v>48548</v>
      </c>
      <c r="C1333" s="32">
        <f>INDEX('Input Data'!$B:$B,A1333)/2+IF(A1333&lt;&gt;A1334,100,0)</f>
        <v>2.125</v>
      </c>
      <c r="D1333" s="33">
        <f>INDEX('ZCB Curve - Payment Dates'!$D$2:$D$246,MATCH(B1333,'ZCB Curve - Payment Dates'!$A$2:$A$246,0))</f>
        <v>0.75236284756075855</v>
      </c>
      <c r="E1333" s="32">
        <f t="shared" si="20"/>
        <v>1.598771051066612</v>
      </c>
    </row>
    <row r="1334" spans="1:5" x14ac:dyDescent="0.25">
      <c r="A1334" s="17">
        <v>236</v>
      </c>
      <c r="B1334" s="31">
        <v>48730</v>
      </c>
      <c r="C1334" s="32">
        <f>INDEX('Input Data'!$B:$B,A1334)/2+IF(A1334&lt;&gt;A1335,100,0)</f>
        <v>102.125</v>
      </c>
      <c r="D1334" s="33">
        <f>INDEX('ZCB Curve - Payment Dates'!$D$2:$D$246,MATCH(B1334,'ZCB Curve - Payment Dates'!$A$2:$A$246,0))</f>
        <v>0.73444444542158749</v>
      </c>
      <c r="E1334" s="32">
        <f t="shared" si="20"/>
        <v>75.005138988679619</v>
      </c>
    </row>
    <row r="1335" spans="1:5" x14ac:dyDescent="0.25">
      <c r="A1335" s="17">
        <v>237</v>
      </c>
      <c r="B1335" s="31">
        <v>46387</v>
      </c>
      <c r="C1335" s="32">
        <f>INDEX('Input Data'!$B:$B,A1335)/2+IF(A1335&lt;&gt;A1336,100,0)</f>
        <v>2.125</v>
      </c>
      <c r="D1335" s="33">
        <f>INDEX('ZCB Curve - Payment Dates'!$D$2:$D$246,MATCH(B1335,'ZCB Curve - Payment Dates'!$A$2:$A$246,0))</f>
        <v>0.987487116303851</v>
      </c>
      <c r="E1335" s="32">
        <f t="shared" si="20"/>
        <v>2.0984101221456832</v>
      </c>
    </row>
    <row r="1336" spans="1:5" x14ac:dyDescent="0.25">
      <c r="A1336" s="17">
        <v>237</v>
      </c>
      <c r="B1336" s="31">
        <v>46568</v>
      </c>
      <c r="C1336" s="32">
        <f>INDEX('Input Data'!$B:$B,A1336)/2+IF(A1336&lt;&gt;A1337,100,0)</f>
        <v>2.125</v>
      </c>
      <c r="D1336" s="33">
        <f>INDEX('ZCB Curve - Payment Dates'!$D$2:$D$246,MATCH(B1336,'ZCB Curve - Payment Dates'!$A$2:$A$246,0))</f>
        <v>0.96717094344557664</v>
      </c>
      <c r="E1336" s="32">
        <f t="shared" si="20"/>
        <v>2.0552382548218504</v>
      </c>
    </row>
    <row r="1337" spans="1:5" x14ac:dyDescent="0.25">
      <c r="A1337" s="17">
        <v>237</v>
      </c>
      <c r="B1337" s="31">
        <v>46752</v>
      </c>
      <c r="C1337" s="32">
        <f>INDEX('Input Data'!$B:$B,A1337)/2+IF(A1337&lt;&gt;A1338,100,0)</f>
        <v>2.125</v>
      </c>
      <c r="D1337" s="33">
        <f>INDEX('ZCB Curve - Payment Dates'!$D$2:$D$246,MATCH(B1337,'ZCB Curve - Payment Dates'!$A$2:$A$246,0))</f>
        <v>0.94585368463190456</v>
      </c>
      <c r="E1337" s="32">
        <f t="shared" si="20"/>
        <v>2.0099390798427974</v>
      </c>
    </row>
    <row r="1338" spans="1:5" x14ac:dyDescent="0.25">
      <c r="A1338" s="17">
        <v>237</v>
      </c>
      <c r="B1338" s="31">
        <v>46934</v>
      </c>
      <c r="C1338" s="32">
        <f>INDEX('Input Data'!$B:$B,A1338)/2+IF(A1338&lt;&gt;A1339,100,0)</f>
        <v>2.125</v>
      </c>
      <c r="D1338" s="33">
        <f>INDEX('ZCB Curve - Payment Dates'!$D$2:$D$246,MATCH(B1338,'ZCB Curve - Payment Dates'!$A$2:$A$246,0))</f>
        <v>0.92465239860805604</v>
      </c>
      <c r="E1338" s="32">
        <f t="shared" si="20"/>
        <v>1.9648863470421192</v>
      </c>
    </row>
    <row r="1339" spans="1:5" x14ac:dyDescent="0.25">
      <c r="A1339" s="17">
        <v>237</v>
      </c>
      <c r="B1339" s="31">
        <v>47118</v>
      </c>
      <c r="C1339" s="32">
        <f>INDEX('Input Data'!$B:$B,A1339)/2+IF(A1339&lt;&gt;A1340,100,0)</f>
        <v>2.125</v>
      </c>
      <c r="D1339" s="33">
        <f>INDEX('ZCB Curve - Payment Dates'!$D$2:$D$246,MATCH(B1339,'ZCB Curve - Payment Dates'!$A$2:$A$246,0))</f>
        <v>0.90342754291436123</v>
      </c>
      <c r="E1339" s="32">
        <f t="shared" si="20"/>
        <v>1.9197835286930176</v>
      </c>
    </row>
    <row r="1340" spans="1:5" x14ac:dyDescent="0.25">
      <c r="A1340" s="17">
        <v>237</v>
      </c>
      <c r="B1340" s="31">
        <v>47299</v>
      </c>
      <c r="C1340" s="32">
        <f>INDEX('Input Data'!$B:$B,A1340)/2+IF(A1340&lt;&gt;A1341,100,0)</f>
        <v>2.125</v>
      </c>
      <c r="D1340" s="33">
        <f>INDEX('ZCB Curve - Payment Dates'!$D$2:$D$246,MATCH(B1340,'ZCB Curve - Payment Dates'!$A$2:$A$246,0))</f>
        <v>0.88292427004927643</v>
      </c>
      <c r="E1340" s="32">
        <f t="shared" si="20"/>
        <v>1.8762140738547124</v>
      </c>
    </row>
    <row r="1341" spans="1:5" x14ac:dyDescent="0.25">
      <c r="A1341" s="17">
        <v>237</v>
      </c>
      <c r="B1341" s="31">
        <v>47483</v>
      </c>
      <c r="C1341" s="32">
        <f>INDEX('Input Data'!$B:$B,A1341)/2+IF(A1341&lt;&gt;A1342,100,0)</f>
        <v>2.125</v>
      </c>
      <c r="D1341" s="33">
        <f>INDEX('ZCB Curve - Payment Dates'!$D$2:$D$246,MATCH(B1341,'ZCB Curve - Payment Dates'!$A$2:$A$246,0))</f>
        <v>0.86253652987508767</v>
      </c>
      <c r="E1341" s="32">
        <f t="shared" si="20"/>
        <v>1.8328901259845614</v>
      </c>
    </row>
    <row r="1342" spans="1:5" x14ac:dyDescent="0.25">
      <c r="A1342" s="17">
        <v>237</v>
      </c>
      <c r="B1342" s="31">
        <v>47664</v>
      </c>
      <c r="C1342" s="32">
        <f>INDEX('Input Data'!$B:$B,A1342)/2+IF(A1342&lt;&gt;A1343,100,0)</f>
        <v>2.125</v>
      </c>
      <c r="D1342" s="33">
        <f>INDEX('ZCB Curve - Payment Dates'!$D$2:$D$246,MATCH(B1342,'ZCB Curve - Payment Dates'!$A$2:$A$246,0))</f>
        <v>0.84293550634880554</v>
      </c>
      <c r="E1342" s="32">
        <f t="shared" si="20"/>
        <v>1.7912379509912117</v>
      </c>
    </row>
    <row r="1343" spans="1:5" x14ac:dyDescent="0.25">
      <c r="A1343" s="17">
        <v>237</v>
      </c>
      <c r="B1343" s="31">
        <v>47848</v>
      </c>
      <c r="C1343" s="32">
        <f>INDEX('Input Data'!$B:$B,A1343)/2+IF(A1343&lt;&gt;A1344,100,0)</f>
        <v>2.125</v>
      </c>
      <c r="D1343" s="33">
        <f>INDEX('ZCB Curve - Payment Dates'!$D$2:$D$246,MATCH(B1343,'ZCB Curve - Payment Dates'!$A$2:$A$246,0))</f>
        <v>0.82344362073276389</v>
      </c>
      <c r="E1343" s="32">
        <f t="shared" si="20"/>
        <v>1.7498176940571233</v>
      </c>
    </row>
    <row r="1344" spans="1:5" x14ac:dyDescent="0.25">
      <c r="A1344" s="17">
        <v>237</v>
      </c>
      <c r="B1344" s="31">
        <v>48029</v>
      </c>
      <c r="C1344" s="32">
        <f>INDEX('Input Data'!$B:$B,A1344)/2+IF(A1344&lt;&gt;A1345,100,0)</f>
        <v>2.125</v>
      </c>
      <c r="D1344" s="33">
        <f>INDEX('ZCB Curve - Payment Dates'!$D$2:$D$246,MATCH(B1344,'ZCB Curve - Payment Dates'!$A$2:$A$246,0))</f>
        <v>0.80464756354162947</v>
      </c>
      <c r="E1344" s="32">
        <f t="shared" si="20"/>
        <v>1.7098760725259625</v>
      </c>
    </row>
    <row r="1345" spans="1:5" x14ac:dyDescent="0.25">
      <c r="A1345" s="17">
        <v>237</v>
      </c>
      <c r="B1345" s="31">
        <v>48213</v>
      </c>
      <c r="C1345" s="32">
        <f>INDEX('Input Data'!$B:$B,A1345)/2+IF(A1345&lt;&gt;A1346,100,0)</f>
        <v>2.125</v>
      </c>
      <c r="D1345" s="33">
        <f>INDEX('ZCB Curve - Payment Dates'!$D$2:$D$246,MATCH(B1345,'ZCB Curve - Payment Dates'!$A$2:$A$246,0))</f>
        <v>0.78587044878095313</v>
      </c>
      <c r="E1345" s="32">
        <f t="shared" si="20"/>
        <v>1.6699747036595254</v>
      </c>
    </row>
    <row r="1346" spans="1:5" x14ac:dyDescent="0.25">
      <c r="A1346" s="17">
        <v>237</v>
      </c>
      <c r="B1346" s="31">
        <v>48395</v>
      </c>
      <c r="C1346" s="32">
        <f>INDEX('Input Data'!$B:$B,A1346)/2+IF(A1346&lt;&gt;A1347,100,0)</f>
        <v>2.125</v>
      </c>
      <c r="D1346" s="33">
        <f>INDEX('ZCB Curve - Payment Dates'!$D$2:$D$246,MATCH(B1346,'ZCB Curve - Payment Dates'!$A$2:$A$246,0))</f>
        <v>0.76756815876485573</v>
      </c>
      <c r="E1346" s="32">
        <f t="shared" ref="E1346:E1409" si="21">C1346*D1346</f>
        <v>1.6310823373753185</v>
      </c>
    </row>
    <row r="1347" spans="1:5" x14ac:dyDescent="0.25">
      <c r="A1347" s="17">
        <v>237</v>
      </c>
      <c r="B1347" s="31">
        <v>48579</v>
      </c>
      <c r="C1347" s="32">
        <f>INDEX('Input Data'!$B:$B,A1347)/2+IF(A1347&lt;&gt;A1348,100,0)</f>
        <v>2.125</v>
      </c>
      <c r="D1347" s="33">
        <f>INDEX('ZCB Curve - Payment Dates'!$D$2:$D$246,MATCH(B1347,'ZCB Curve - Payment Dates'!$A$2:$A$246,0))</f>
        <v>0.74929616428221479</v>
      </c>
      <c r="E1347" s="32">
        <f t="shared" si="21"/>
        <v>1.5922543490997065</v>
      </c>
    </row>
    <row r="1348" spans="1:5" x14ac:dyDescent="0.25">
      <c r="A1348" s="17">
        <v>237</v>
      </c>
      <c r="B1348" s="31">
        <v>48760</v>
      </c>
      <c r="C1348" s="32">
        <f>INDEX('Input Data'!$B:$B,A1348)/2+IF(A1348&lt;&gt;A1349,100,0)</f>
        <v>102.125</v>
      </c>
      <c r="D1348" s="33">
        <f>INDEX('ZCB Curve - Payment Dates'!$D$2:$D$246,MATCH(B1348,'ZCB Curve - Payment Dates'!$A$2:$A$246,0))</f>
        <v>0.73150717316482994</v>
      </c>
      <c r="E1348" s="32">
        <f t="shared" si="21"/>
        <v>74.705170059458254</v>
      </c>
    </row>
    <row r="1349" spans="1:5" x14ac:dyDescent="0.25">
      <c r="A1349" s="17">
        <v>238</v>
      </c>
      <c r="B1349" s="31">
        <v>46418</v>
      </c>
      <c r="C1349" s="32">
        <f>INDEX('Input Data'!$B:$B,A1349)/2+IF(A1349&lt;&gt;A1350,100,0)</f>
        <v>2.1875</v>
      </c>
      <c r="D1349" s="33">
        <f>INDEX('ZCB Curve - Payment Dates'!$D$2:$D$246,MATCH(B1349,'ZCB Curve - Payment Dates'!$A$2:$A$246,0))</f>
        <v>0.98408668818349121</v>
      </c>
      <c r="E1349" s="32">
        <f t="shared" si="21"/>
        <v>2.1526896304013872</v>
      </c>
    </row>
    <row r="1350" spans="1:5" x14ac:dyDescent="0.25">
      <c r="A1350" s="17">
        <v>238</v>
      </c>
      <c r="B1350" s="31">
        <v>46599</v>
      </c>
      <c r="C1350" s="32">
        <f>INDEX('Input Data'!$B:$B,A1350)/2+IF(A1350&lt;&gt;A1351,100,0)</f>
        <v>2.1875</v>
      </c>
      <c r="D1350" s="33">
        <f>INDEX('ZCB Curve - Payment Dates'!$D$2:$D$246,MATCH(B1350,'ZCB Curve - Payment Dates'!$A$2:$A$246,0))</f>
        <v>0.96360931883583933</v>
      </c>
      <c r="E1350" s="32">
        <f t="shared" si="21"/>
        <v>2.1078953849533986</v>
      </c>
    </row>
    <row r="1351" spans="1:5" x14ac:dyDescent="0.25">
      <c r="A1351" s="17">
        <v>238</v>
      </c>
      <c r="B1351" s="31">
        <v>46783</v>
      </c>
      <c r="C1351" s="32">
        <f>INDEX('Input Data'!$B:$B,A1351)/2+IF(A1351&lt;&gt;A1352,100,0)</f>
        <v>2.1875</v>
      </c>
      <c r="D1351" s="33">
        <f>INDEX('ZCB Curve - Payment Dates'!$D$2:$D$246,MATCH(B1351,'ZCB Curve - Payment Dates'!$A$2:$A$246,0))</f>
        <v>0.94224051785347052</v>
      </c>
      <c r="E1351" s="32">
        <f t="shared" si="21"/>
        <v>2.0611511328044667</v>
      </c>
    </row>
    <row r="1352" spans="1:5" x14ac:dyDescent="0.25">
      <c r="A1352" s="17">
        <v>238</v>
      </c>
      <c r="B1352" s="31">
        <v>46965</v>
      </c>
      <c r="C1352" s="32">
        <f>INDEX('Input Data'!$B:$B,A1352)/2+IF(A1352&lt;&gt;A1353,100,0)</f>
        <v>2.1875</v>
      </c>
      <c r="D1352" s="33">
        <f>INDEX('ZCB Curve - Payment Dates'!$D$2:$D$246,MATCH(B1352,'ZCB Curve - Payment Dates'!$A$2:$A$246,0))</f>
        <v>0.92105657743562108</v>
      </c>
      <c r="E1352" s="32">
        <f t="shared" si="21"/>
        <v>2.0148112631404209</v>
      </c>
    </row>
    <row r="1353" spans="1:5" x14ac:dyDescent="0.25">
      <c r="A1353" s="17">
        <v>238</v>
      </c>
      <c r="B1353" s="31">
        <v>47149</v>
      </c>
      <c r="C1353" s="32">
        <f>INDEX('Input Data'!$B:$B,A1353)/2+IF(A1353&lt;&gt;A1354,100,0)</f>
        <v>2.1875</v>
      </c>
      <c r="D1353" s="33">
        <f>INDEX('ZCB Curve - Payment Dates'!$D$2:$D$246,MATCH(B1353,'ZCB Curve - Payment Dates'!$A$2:$A$246,0))</f>
        <v>0.89988368588562773</v>
      </c>
      <c r="E1353" s="32">
        <f t="shared" si="21"/>
        <v>1.9684955628748106</v>
      </c>
    </row>
    <row r="1354" spans="1:5" x14ac:dyDescent="0.25">
      <c r="A1354" s="17">
        <v>238</v>
      </c>
      <c r="B1354" s="31">
        <v>47330</v>
      </c>
      <c r="C1354" s="32">
        <f>INDEX('Input Data'!$B:$B,A1354)/2+IF(A1354&lt;&gt;A1355,100,0)</f>
        <v>2.1875</v>
      </c>
      <c r="D1354" s="33">
        <f>INDEX('ZCB Curve - Payment Dates'!$D$2:$D$246,MATCH(B1354,'ZCB Curve - Payment Dates'!$A$2:$A$246,0))</f>
        <v>0.87945764483737499</v>
      </c>
      <c r="E1354" s="32">
        <f t="shared" si="21"/>
        <v>1.9238135980817579</v>
      </c>
    </row>
    <row r="1355" spans="1:5" x14ac:dyDescent="0.25">
      <c r="A1355" s="17">
        <v>238</v>
      </c>
      <c r="B1355" s="31">
        <v>47514</v>
      </c>
      <c r="C1355" s="32">
        <f>INDEX('Input Data'!$B:$B,A1355)/2+IF(A1355&lt;&gt;A1356,100,0)</f>
        <v>2.1875</v>
      </c>
      <c r="D1355" s="33">
        <f>INDEX('ZCB Curve - Payment Dates'!$D$2:$D$246,MATCH(B1355,'ZCB Curve - Payment Dates'!$A$2:$A$246,0))</f>
        <v>0.8591452031111062</v>
      </c>
      <c r="E1355" s="32">
        <f t="shared" si="21"/>
        <v>1.8793801318055448</v>
      </c>
    </row>
    <row r="1356" spans="1:5" x14ac:dyDescent="0.25">
      <c r="A1356" s="17">
        <v>238</v>
      </c>
      <c r="B1356" s="31">
        <v>47695</v>
      </c>
      <c r="C1356" s="32">
        <f>INDEX('Input Data'!$B:$B,A1356)/2+IF(A1356&lt;&gt;A1357,100,0)</f>
        <v>2.1875</v>
      </c>
      <c r="D1356" s="33">
        <f>INDEX('ZCB Curve - Payment Dates'!$D$2:$D$246,MATCH(B1356,'ZCB Curve - Payment Dates'!$A$2:$A$246,0))</f>
        <v>0.83962327815837468</v>
      </c>
      <c r="E1356" s="32">
        <f t="shared" si="21"/>
        <v>1.8366759209714445</v>
      </c>
    </row>
    <row r="1357" spans="1:5" x14ac:dyDescent="0.25">
      <c r="A1357" s="17">
        <v>238</v>
      </c>
      <c r="B1357" s="31">
        <v>47879</v>
      </c>
      <c r="C1357" s="32">
        <f>INDEX('Input Data'!$B:$B,A1357)/2+IF(A1357&lt;&gt;A1358,100,0)</f>
        <v>2.1875</v>
      </c>
      <c r="D1357" s="33">
        <f>INDEX('ZCB Curve - Payment Dates'!$D$2:$D$246,MATCH(B1357,'ZCB Curve - Payment Dates'!$A$2:$A$246,0))</f>
        <v>0.82019666458416451</v>
      </c>
      <c r="E1357" s="32">
        <f t="shared" si="21"/>
        <v>1.7941802037778598</v>
      </c>
    </row>
    <row r="1358" spans="1:5" x14ac:dyDescent="0.25">
      <c r="A1358" s="17">
        <v>238</v>
      </c>
      <c r="B1358" s="31">
        <v>48060</v>
      </c>
      <c r="C1358" s="32">
        <f>INDEX('Input Data'!$B:$B,A1358)/2+IF(A1358&lt;&gt;A1359,100,0)</f>
        <v>2.1875</v>
      </c>
      <c r="D1358" s="33">
        <f>INDEX('ZCB Curve - Payment Dates'!$D$2:$D$246,MATCH(B1358,'ZCB Curve - Payment Dates'!$A$2:$A$246,0))</f>
        <v>0.80146338329804601</v>
      </c>
      <c r="E1358" s="32">
        <f t="shared" si="21"/>
        <v>1.7532011509644756</v>
      </c>
    </row>
    <row r="1359" spans="1:5" x14ac:dyDescent="0.25">
      <c r="A1359" s="17">
        <v>238</v>
      </c>
      <c r="B1359" s="31">
        <v>48244</v>
      </c>
      <c r="C1359" s="32">
        <f>INDEX('Input Data'!$B:$B,A1359)/2+IF(A1359&lt;&gt;A1360,100,0)</f>
        <v>2.1875</v>
      </c>
      <c r="D1359" s="33">
        <f>INDEX('ZCB Curve - Payment Dates'!$D$2:$D$246,MATCH(B1359,'ZCB Curve - Payment Dates'!$A$2:$A$246,0))</f>
        <v>0.78273311074172958</v>
      </c>
      <c r="E1359" s="32">
        <f t="shared" si="21"/>
        <v>1.7122286797475335</v>
      </c>
    </row>
    <row r="1360" spans="1:5" x14ac:dyDescent="0.25">
      <c r="A1360" s="17">
        <v>238</v>
      </c>
      <c r="B1360" s="31">
        <v>48426</v>
      </c>
      <c r="C1360" s="32">
        <f>INDEX('Input Data'!$B:$B,A1360)/2+IF(A1360&lt;&gt;A1361,100,0)</f>
        <v>2.1875</v>
      </c>
      <c r="D1360" s="33">
        <f>INDEX('ZCB Curve - Payment Dates'!$D$2:$D$246,MATCH(B1360,'ZCB Curve - Payment Dates'!$A$2:$A$246,0))</f>
        <v>0.76447591459494202</v>
      </c>
      <c r="E1360" s="32">
        <f t="shared" si="21"/>
        <v>1.6722910631764356</v>
      </c>
    </row>
    <row r="1361" spans="1:5" x14ac:dyDescent="0.25">
      <c r="A1361" s="17">
        <v>238</v>
      </c>
      <c r="B1361" s="31">
        <v>48610</v>
      </c>
      <c r="C1361" s="32">
        <f>INDEX('Input Data'!$B:$B,A1361)/2+IF(A1361&lt;&gt;A1362,100,0)</f>
        <v>2.1875</v>
      </c>
      <c r="D1361" s="33">
        <f>INDEX('ZCB Curve - Payment Dates'!$D$2:$D$246,MATCH(B1361,'ZCB Curve - Payment Dates'!$A$2:$A$246,0))</f>
        <v>0.74623846412406436</v>
      </c>
      <c r="E1361" s="32">
        <f t="shared" si="21"/>
        <v>1.6323966402713908</v>
      </c>
    </row>
    <row r="1362" spans="1:5" x14ac:dyDescent="0.25">
      <c r="A1362" s="17">
        <v>238</v>
      </c>
      <c r="B1362" s="31">
        <v>48791</v>
      </c>
      <c r="C1362" s="32">
        <f>INDEX('Input Data'!$B:$B,A1362)/2+IF(A1362&lt;&gt;A1363,100,0)</f>
        <v>102.1875</v>
      </c>
      <c r="D1362" s="33">
        <f>INDEX('ZCB Curve - Payment Dates'!$D$2:$D$246,MATCH(B1362,'ZCB Curve - Payment Dates'!$A$2:$A$246,0))</f>
        <v>0.72847789527403006</v>
      </c>
      <c r="E1362" s="32">
        <f t="shared" si="21"/>
        <v>74.44133492331494</v>
      </c>
    </row>
    <row r="1363" spans="1:5" x14ac:dyDescent="0.25">
      <c r="A1363" s="17">
        <v>239</v>
      </c>
      <c r="B1363" s="31">
        <v>46433</v>
      </c>
      <c r="C1363" s="32">
        <f>INDEX('Input Data'!$B:$B,A1363)/2+IF(A1363&lt;&gt;A1364,100,0)</f>
        <v>1.9375</v>
      </c>
      <c r="D1363" s="33">
        <f>INDEX('ZCB Curve - Payment Dates'!$D$2:$D$246,MATCH(B1363,'ZCB Curve - Payment Dates'!$A$2:$A$246,0))</f>
        <v>0.98242671792446301</v>
      </c>
      <c r="E1363" s="32">
        <f t="shared" si="21"/>
        <v>1.9034517659786472</v>
      </c>
    </row>
    <row r="1364" spans="1:5" x14ac:dyDescent="0.25">
      <c r="A1364" s="17">
        <v>239</v>
      </c>
      <c r="B1364" s="31">
        <v>46614</v>
      </c>
      <c r="C1364" s="32">
        <f>INDEX('Input Data'!$B:$B,A1364)/2+IF(A1364&lt;&gt;A1365,100,0)</f>
        <v>1.9375</v>
      </c>
      <c r="D1364" s="33">
        <f>INDEX('ZCB Curve - Payment Dates'!$D$2:$D$246,MATCH(B1364,'ZCB Curve - Payment Dates'!$A$2:$A$246,0))</f>
        <v>0.96187948164765535</v>
      </c>
      <c r="E1364" s="32">
        <f t="shared" si="21"/>
        <v>1.8636414956923322</v>
      </c>
    </row>
    <row r="1365" spans="1:5" x14ac:dyDescent="0.25">
      <c r="A1365" s="17">
        <v>239</v>
      </c>
      <c r="B1365" s="31">
        <v>46798</v>
      </c>
      <c r="C1365" s="32">
        <f>INDEX('Input Data'!$B:$B,A1365)/2+IF(A1365&lt;&gt;A1366,100,0)</f>
        <v>1.9375</v>
      </c>
      <c r="D1365" s="33">
        <f>INDEX('ZCB Curve - Payment Dates'!$D$2:$D$246,MATCH(B1365,'ZCB Curve - Payment Dates'!$A$2:$A$246,0))</f>
        <v>0.94049096132648802</v>
      </c>
      <c r="E1365" s="32">
        <f t="shared" si="21"/>
        <v>1.8222012375700705</v>
      </c>
    </row>
    <row r="1366" spans="1:5" x14ac:dyDescent="0.25">
      <c r="A1366" s="17">
        <v>239</v>
      </c>
      <c r="B1366" s="31">
        <v>46980</v>
      </c>
      <c r="C1366" s="32">
        <f>INDEX('Input Data'!$B:$B,A1366)/2+IF(A1366&lt;&gt;A1367,100,0)</f>
        <v>1.9375</v>
      </c>
      <c r="D1366" s="33">
        <f>INDEX('ZCB Curve - Payment Dates'!$D$2:$D$246,MATCH(B1366,'ZCB Curve - Payment Dates'!$A$2:$A$246,0))</f>
        <v>0.91931844130238327</v>
      </c>
      <c r="E1366" s="32">
        <f t="shared" si="21"/>
        <v>1.7811794800233676</v>
      </c>
    </row>
    <row r="1367" spans="1:5" x14ac:dyDescent="0.25">
      <c r="A1367" s="17">
        <v>239</v>
      </c>
      <c r="B1367" s="31">
        <v>47164</v>
      </c>
      <c r="C1367" s="32">
        <f>INDEX('Input Data'!$B:$B,A1367)/2+IF(A1367&lt;&gt;A1368,100,0)</f>
        <v>1.9375</v>
      </c>
      <c r="D1367" s="33">
        <f>INDEX('ZCB Curve - Payment Dates'!$D$2:$D$246,MATCH(B1367,'ZCB Curve - Payment Dates'!$A$2:$A$246,0))</f>
        <v>0.89817430058086534</v>
      </c>
      <c r="E1367" s="32">
        <f t="shared" si="21"/>
        <v>1.7402127073754265</v>
      </c>
    </row>
    <row r="1368" spans="1:5" x14ac:dyDescent="0.25">
      <c r="A1368" s="17">
        <v>239</v>
      </c>
      <c r="B1368" s="31">
        <v>47345</v>
      </c>
      <c r="C1368" s="32">
        <f>INDEX('Input Data'!$B:$B,A1368)/2+IF(A1368&lt;&gt;A1369,100,0)</f>
        <v>1.9375</v>
      </c>
      <c r="D1368" s="33">
        <f>INDEX('ZCB Curve - Payment Dates'!$D$2:$D$246,MATCH(B1368,'ZCB Curve - Payment Dates'!$A$2:$A$246,0))</f>
        <v>0.87778421628860481</v>
      </c>
      <c r="E1368" s="32">
        <f t="shared" si="21"/>
        <v>1.7007069190591719</v>
      </c>
    </row>
    <row r="1369" spans="1:5" x14ac:dyDescent="0.25">
      <c r="A1369" s="17">
        <v>239</v>
      </c>
      <c r="B1369" s="31">
        <v>47529</v>
      </c>
      <c r="C1369" s="32">
        <f>INDEX('Input Data'!$B:$B,A1369)/2+IF(A1369&lt;&gt;A1370,100,0)</f>
        <v>1.9375</v>
      </c>
      <c r="D1369" s="33">
        <f>INDEX('ZCB Curve - Payment Dates'!$D$2:$D$246,MATCH(B1369,'ZCB Curve - Payment Dates'!$A$2:$A$246,0))</f>
        <v>0.85751015570959666</v>
      </c>
      <c r="E1369" s="32">
        <f t="shared" si="21"/>
        <v>1.6614259266873435</v>
      </c>
    </row>
    <row r="1370" spans="1:5" x14ac:dyDescent="0.25">
      <c r="A1370" s="17">
        <v>239</v>
      </c>
      <c r="B1370" s="31">
        <v>47710</v>
      </c>
      <c r="C1370" s="32">
        <f>INDEX('Input Data'!$B:$B,A1370)/2+IF(A1370&lt;&gt;A1371,100,0)</f>
        <v>1.9375</v>
      </c>
      <c r="D1370" s="33">
        <f>INDEX('ZCB Curve - Payment Dates'!$D$2:$D$246,MATCH(B1370,'ZCB Curve - Payment Dates'!$A$2:$A$246,0))</f>
        <v>0.83802423748211174</v>
      </c>
      <c r="E1370" s="32">
        <f t="shared" si="21"/>
        <v>1.6236719601215914</v>
      </c>
    </row>
    <row r="1371" spans="1:5" x14ac:dyDescent="0.25">
      <c r="A1371" s="17">
        <v>239</v>
      </c>
      <c r="B1371" s="31">
        <v>47894</v>
      </c>
      <c r="C1371" s="32">
        <f>INDEX('Input Data'!$B:$B,A1371)/2+IF(A1371&lt;&gt;A1372,100,0)</f>
        <v>1.9375</v>
      </c>
      <c r="D1371" s="33">
        <f>INDEX('ZCB Curve - Payment Dates'!$D$2:$D$246,MATCH(B1371,'ZCB Curve - Payment Dates'!$A$2:$A$246,0))</f>
        <v>0.8186305474741673</v>
      </c>
      <c r="E1371" s="32">
        <f t="shared" si="21"/>
        <v>1.5860966857311991</v>
      </c>
    </row>
    <row r="1372" spans="1:5" x14ac:dyDescent="0.25">
      <c r="A1372" s="17">
        <v>239</v>
      </c>
      <c r="B1372" s="31">
        <v>48075</v>
      </c>
      <c r="C1372" s="32">
        <f>INDEX('Input Data'!$B:$B,A1372)/2+IF(A1372&lt;&gt;A1373,100,0)</f>
        <v>1.9375</v>
      </c>
      <c r="D1372" s="33">
        <f>INDEX('ZCB Curve - Payment Dates'!$D$2:$D$246,MATCH(B1372,'ZCB Curve - Payment Dates'!$A$2:$A$246,0))</f>
        <v>0.7999252334775927</v>
      </c>
      <c r="E1372" s="32">
        <f t="shared" si="21"/>
        <v>1.549855139862836</v>
      </c>
    </row>
    <row r="1373" spans="1:5" x14ac:dyDescent="0.25">
      <c r="A1373" s="17">
        <v>239</v>
      </c>
      <c r="B1373" s="31">
        <v>48259</v>
      </c>
      <c r="C1373" s="32">
        <f>INDEX('Input Data'!$B:$B,A1373)/2+IF(A1373&lt;&gt;A1374,100,0)</f>
        <v>1.9375</v>
      </c>
      <c r="D1373" s="33">
        <f>INDEX('ZCB Curve - Payment Dates'!$D$2:$D$246,MATCH(B1373,'ZCB Curve - Payment Dates'!$A$2:$A$246,0))</f>
        <v>0.78121887027612602</v>
      </c>
      <c r="E1373" s="32">
        <f t="shared" si="21"/>
        <v>1.5136115611599941</v>
      </c>
    </row>
    <row r="1374" spans="1:5" x14ac:dyDescent="0.25">
      <c r="A1374" s="17">
        <v>239</v>
      </c>
      <c r="B1374" s="31">
        <v>48441</v>
      </c>
      <c r="C1374" s="32">
        <f>INDEX('Input Data'!$B:$B,A1374)/2+IF(A1374&lt;&gt;A1375,100,0)</f>
        <v>1.9375</v>
      </c>
      <c r="D1374" s="33">
        <f>INDEX('ZCB Curve - Payment Dates'!$D$2:$D$246,MATCH(B1374,'ZCB Curve - Payment Dates'!$A$2:$A$246,0))</f>
        <v>0.76298123459017864</v>
      </c>
      <c r="E1374" s="32">
        <f t="shared" si="21"/>
        <v>1.4782761420184711</v>
      </c>
    </row>
    <row r="1375" spans="1:5" x14ac:dyDescent="0.25">
      <c r="A1375" s="17">
        <v>239</v>
      </c>
      <c r="B1375" s="31">
        <v>48625</v>
      </c>
      <c r="C1375" s="32">
        <f>INDEX('Input Data'!$B:$B,A1375)/2+IF(A1375&lt;&gt;A1376,100,0)</f>
        <v>1.9375</v>
      </c>
      <c r="D1375" s="33">
        <f>INDEX('ZCB Curve - Payment Dates'!$D$2:$D$246,MATCH(B1375,'ZCB Curve - Payment Dates'!$A$2:$A$246,0))</f>
        <v>0.74476011611938586</v>
      </c>
      <c r="E1375" s="32">
        <f t="shared" si="21"/>
        <v>1.44297272498131</v>
      </c>
    </row>
    <row r="1376" spans="1:5" x14ac:dyDescent="0.25">
      <c r="A1376" s="17">
        <v>239</v>
      </c>
      <c r="B1376" s="31">
        <v>48806</v>
      </c>
      <c r="C1376" s="32">
        <f>INDEX('Input Data'!$B:$B,A1376)/2+IF(A1376&lt;&gt;A1377,100,0)</f>
        <v>101.9375</v>
      </c>
      <c r="D1376" s="33">
        <f>INDEX('ZCB Curve - Payment Dates'!$D$2:$D$246,MATCH(B1376,'ZCB Curve - Payment Dates'!$A$2:$A$246,0))</f>
        <v>0.72701302496114584</v>
      </c>
      <c r="E1376" s="32">
        <f t="shared" si="21"/>
        <v>74.109890231976806</v>
      </c>
    </row>
    <row r="1377" spans="1:5" x14ac:dyDescent="0.25">
      <c r="A1377" s="17">
        <v>240</v>
      </c>
      <c r="B1377" s="31">
        <v>46446</v>
      </c>
      <c r="C1377" s="32">
        <f>INDEX('Input Data'!$B:$B,A1377)/2+IF(A1377&lt;&gt;A1378,100,0)</f>
        <v>2.25</v>
      </c>
      <c r="D1377" s="33">
        <f>INDEX('ZCB Curve - Payment Dates'!$D$2:$D$246,MATCH(B1377,'ZCB Curve - Payment Dates'!$A$2:$A$246,0))</f>
        <v>0.98098215746395478</v>
      </c>
      <c r="E1377" s="32">
        <f t="shared" si="21"/>
        <v>2.2072098542938985</v>
      </c>
    </row>
    <row r="1378" spans="1:5" x14ac:dyDescent="0.25">
      <c r="A1378" s="17">
        <v>240</v>
      </c>
      <c r="B1378" s="31">
        <v>46630</v>
      </c>
      <c r="C1378" s="32">
        <f>INDEX('Input Data'!$B:$B,A1378)/2+IF(A1378&lt;&gt;A1379,100,0)</f>
        <v>2.25</v>
      </c>
      <c r="D1378" s="33">
        <f>INDEX('ZCB Curve - Payment Dates'!$D$2:$D$246,MATCH(B1378,'ZCB Curve - Payment Dates'!$A$2:$A$246,0))</f>
        <v>0.96003246313192503</v>
      </c>
      <c r="E1378" s="32">
        <f t="shared" si="21"/>
        <v>2.1600730420468315</v>
      </c>
    </row>
    <row r="1379" spans="1:5" x14ac:dyDescent="0.25">
      <c r="A1379" s="17">
        <v>240</v>
      </c>
      <c r="B1379" s="31">
        <v>46812</v>
      </c>
      <c r="C1379" s="32">
        <f>INDEX('Input Data'!$B:$B,A1379)/2+IF(A1379&lt;&gt;A1380,100,0)</f>
        <v>2.25</v>
      </c>
      <c r="D1379" s="33">
        <f>INDEX('ZCB Curve - Payment Dates'!$D$2:$D$246,MATCH(B1379,'ZCB Curve - Payment Dates'!$A$2:$A$246,0))</f>
        <v>0.938856338180596</v>
      </c>
      <c r="E1379" s="32">
        <f t="shared" si="21"/>
        <v>2.1124267609063412</v>
      </c>
    </row>
    <row r="1380" spans="1:5" x14ac:dyDescent="0.25">
      <c r="A1380" s="17">
        <v>240</v>
      </c>
      <c r="B1380" s="31">
        <v>46996</v>
      </c>
      <c r="C1380" s="32">
        <f>INDEX('Input Data'!$B:$B,A1380)/2+IF(A1380&lt;&gt;A1381,100,0)</f>
        <v>2.25</v>
      </c>
      <c r="D1380" s="33">
        <f>INDEX('ZCB Curve - Payment Dates'!$D$2:$D$246,MATCH(B1380,'ZCB Curve - Payment Dates'!$A$2:$A$246,0))</f>
        <v>0.91746393725908559</v>
      </c>
      <c r="E1380" s="32">
        <f t="shared" si="21"/>
        <v>2.0642938588329427</v>
      </c>
    </row>
    <row r="1381" spans="1:5" x14ac:dyDescent="0.25">
      <c r="A1381" s="17">
        <v>240</v>
      </c>
      <c r="B1381" s="31">
        <v>47177</v>
      </c>
      <c r="C1381" s="32">
        <f>INDEX('Input Data'!$B:$B,A1381)/2+IF(A1381&lt;&gt;A1382,100,0)</f>
        <v>2.25</v>
      </c>
      <c r="D1381" s="33">
        <f>INDEX('ZCB Curve - Payment Dates'!$D$2:$D$246,MATCH(B1381,'ZCB Curve - Payment Dates'!$A$2:$A$246,0))</f>
        <v>0.89669591867999909</v>
      </c>
      <c r="E1381" s="32">
        <f t="shared" si="21"/>
        <v>2.0175658170299982</v>
      </c>
    </row>
    <row r="1382" spans="1:5" x14ac:dyDescent="0.25">
      <c r="A1382" s="17">
        <v>240</v>
      </c>
      <c r="B1382" s="31">
        <v>47361</v>
      </c>
      <c r="C1382" s="32">
        <f>INDEX('Input Data'!$B:$B,A1382)/2+IF(A1382&lt;&gt;A1383,100,0)</f>
        <v>2.25</v>
      </c>
      <c r="D1382" s="33">
        <f>INDEX('ZCB Curve - Payment Dates'!$D$2:$D$246,MATCH(B1382,'ZCB Curve - Payment Dates'!$A$2:$A$246,0))</f>
        <v>0.87600023126237014</v>
      </c>
      <c r="E1382" s="32">
        <f t="shared" si="21"/>
        <v>1.9710005203403329</v>
      </c>
    </row>
    <row r="1383" spans="1:5" x14ac:dyDescent="0.25">
      <c r="A1383" s="17">
        <v>240</v>
      </c>
      <c r="B1383" s="31">
        <v>47542</v>
      </c>
      <c r="C1383" s="32">
        <f>INDEX('Input Data'!$B:$B,A1383)/2+IF(A1383&lt;&gt;A1384,100,0)</f>
        <v>2.25</v>
      </c>
      <c r="D1383" s="33">
        <f>INDEX('ZCB Curve - Payment Dates'!$D$2:$D$246,MATCH(B1383,'ZCB Curve - Payment Dates'!$A$2:$A$246,0))</f>
        <v>0.85609640433764933</v>
      </c>
      <c r="E1383" s="32">
        <f t="shared" si="21"/>
        <v>1.926216909759711</v>
      </c>
    </row>
    <row r="1384" spans="1:5" x14ac:dyDescent="0.25">
      <c r="A1384" s="17">
        <v>240</v>
      </c>
      <c r="B1384" s="31">
        <v>47726</v>
      </c>
      <c r="C1384" s="32">
        <f>INDEX('Input Data'!$B:$B,A1384)/2+IF(A1384&lt;&gt;A1385,100,0)</f>
        <v>2.25</v>
      </c>
      <c r="D1384" s="33">
        <f>INDEX('ZCB Curve - Payment Dates'!$D$2:$D$246,MATCH(B1384,'ZCB Curve - Payment Dates'!$A$2:$A$246,0))</f>
        <v>0.8363193958894809</v>
      </c>
      <c r="E1384" s="32">
        <f t="shared" si="21"/>
        <v>1.881718640751332</v>
      </c>
    </row>
    <row r="1385" spans="1:5" x14ac:dyDescent="0.25">
      <c r="A1385" s="17">
        <v>240</v>
      </c>
      <c r="B1385" s="31">
        <v>47907</v>
      </c>
      <c r="C1385" s="32">
        <f>INDEX('Input Data'!$B:$B,A1385)/2+IF(A1385&lt;&gt;A1386,100,0)</f>
        <v>2.25</v>
      </c>
      <c r="D1385" s="33">
        <f>INDEX('ZCB Curve - Payment Dates'!$D$2:$D$246,MATCH(B1385,'ZCB Curve - Payment Dates'!$A$2:$A$246,0))</f>
        <v>0.81727602093980778</v>
      </c>
      <c r="E1385" s="32">
        <f t="shared" si="21"/>
        <v>1.8388710471145675</v>
      </c>
    </row>
    <row r="1386" spans="1:5" x14ac:dyDescent="0.25">
      <c r="A1386" s="17">
        <v>240</v>
      </c>
      <c r="B1386" s="31">
        <v>48091</v>
      </c>
      <c r="C1386" s="32">
        <f>INDEX('Input Data'!$B:$B,A1386)/2+IF(A1386&lt;&gt;A1387,100,0)</f>
        <v>2.25</v>
      </c>
      <c r="D1386" s="33">
        <f>INDEX('ZCB Curve - Payment Dates'!$D$2:$D$246,MATCH(B1386,'ZCB Curve - Payment Dates'!$A$2:$A$246,0))</f>
        <v>0.79828463215547174</v>
      </c>
      <c r="E1386" s="32">
        <f t="shared" si="21"/>
        <v>1.7961404223498114</v>
      </c>
    </row>
    <row r="1387" spans="1:5" x14ac:dyDescent="0.25">
      <c r="A1387" s="17">
        <v>240</v>
      </c>
      <c r="B1387" s="31">
        <v>48273</v>
      </c>
      <c r="C1387" s="32">
        <f>INDEX('Input Data'!$B:$B,A1387)/2+IF(A1387&lt;&gt;A1388,100,0)</f>
        <v>2.25</v>
      </c>
      <c r="D1387" s="33">
        <f>INDEX('ZCB Curve - Payment Dates'!$D$2:$D$246,MATCH(B1387,'ZCB Curve - Payment Dates'!$A$2:$A$246,0))</f>
        <v>0.77980937275311846</v>
      </c>
      <c r="E1387" s="32">
        <f t="shared" si="21"/>
        <v>1.7545710886945165</v>
      </c>
    </row>
    <row r="1388" spans="1:5" x14ac:dyDescent="0.25">
      <c r="A1388" s="17">
        <v>240</v>
      </c>
      <c r="B1388" s="31">
        <v>48457</v>
      </c>
      <c r="C1388" s="32">
        <f>INDEX('Input Data'!$B:$B,A1388)/2+IF(A1388&lt;&gt;A1389,100,0)</f>
        <v>2.25</v>
      </c>
      <c r="D1388" s="33">
        <f>INDEX('ZCB Curve - Payment Dates'!$D$2:$D$246,MATCH(B1388,'ZCB Curve - Payment Dates'!$A$2:$A$246,0))</f>
        <v>0.76138996029544426</v>
      </c>
      <c r="E1388" s="32">
        <f t="shared" si="21"/>
        <v>1.7131274106647496</v>
      </c>
    </row>
    <row r="1389" spans="1:5" x14ac:dyDescent="0.25">
      <c r="A1389" s="17">
        <v>240</v>
      </c>
      <c r="B1389" s="31">
        <v>48638</v>
      </c>
      <c r="C1389" s="32">
        <f>INDEX('Input Data'!$B:$B,A1389)/2+IF(A1389&lt;&gt;A1390,100,0)</f>
        <v>2.25</v>
      </c>
      <c r="D1389" s="33">
        <f>INDEX('ZCB Curve - Payment Dates'!$D$2:$D$246,MATCH(B1389,'ZCB Curve - Payment Dates'!$A$2:$A$246,0))</f>
        <v>0.74348057376837495</v>
      </c>
      <c r="E1389" s="32">
        <f t="shared" si="21"/>
        <v>1.6728312909788436</v>
      </c>
    </row>
    <row r="1390" spans="1:5" x14ac:dyDescent="0.25">
      <c r="A1390" s="17">
        <v>240</v>
      </c>
      <c r="B1390" s="31">
        <v>48822</v>
      </c>
      <c r="C1390" s="32">
        <f>INDEX('Input Data'!$B:$B,A1390)/2+IF(A1390&lt;&gt;A1391,100,0)</f>
        <v>102.25</v>
      </c>
      <c r="D1390" s="33">
        <f>INDEX('ZCB Curve - Payment Dates'!$D$2:$D$246,MATCH(B1390,'ZCB Curve - Payment Dates'!$A$2:$A$246,0))</f>
        <v>0.72545305271714433</v>
      </c>
      <c r="E1390" s="32">
        <f t="shared" si="21"/>
        <v>74.177574640328004</v>
      </c>
    </row>
    <row r="1391" spans="1:5" x14ac:dyDescent="0.25">
      <c r="A1391" s="17">
        <v>241</v>
      </c>
      <c r="B1391" s="31">
        <v>46341</v>
      </c>
      <c r="C1391" s="32">
        <f>INDEX('Input Data'!$B:$B,A1391)/2+IF(A1391&lt;&gt;A1392,100,0)</f>
        <v>2.25</v>
      </c>
      <c r="D1391" s="33">
        <f>INDEX('ZCB Curve - Payment Dates'!$D$2:$D$246,MATCH(B1391,'ZCB Curve - Payment Dates'!$A$2:$A$246,0))</f>
        <v>0.99245367292309439</v>
      </c>
      <c r="E1391" s="32">
        <f t="shared" si="21"/>
        <v>2.2330207640769624</v>
      </c>
    </row>
    <row r="1392" spans="1:5" x14ac:dyDescent="0.25">
      <c r="A1392" s="17">
        <v>241</v>
      </c>
      <c r="B1392" s="31">
        <v>46522</v>
      </c>
      <c r="C1392" s="32">
        <f>INDEX('Input Data'!$B:$B,A1392)/2+IF(A1392&lt;&gt;A1393,100,0)</f>
        <v>2.25</v>
      </c>
      <c r="D1392" s="33">
        <f>INDEX('ZCB Curve - Payment Dates'!$D$2:$D$246,MATCH(B1392,'ZCB Curve - Payment Dates'!$A$2:$A$246,0))</f>
        <v>0.97242179559611874</v>
      </c>
      <c r="E1392" s="32">
        <f t="shared" si="21"/>
        <v>2.1879490400912673</v>
      </c>
    </row>
    <row r="1393" spans="1:5" x14ac:dyDescent="0.25">
      <c r="A1393" s="17">
        <v>241</v>
      </c>
      <c r="B1393" s="31">
        <v>46706</v>
      </c>
      <c r="C1393" s="32">
        <f>INDEX('Input Data'!$B:$B,A1393)/2+IF(A1393&lt;&gt;A1394,100,0)</f>
        <v>2.25</v>
      </c>
      <c r="D1393" s="33">
        <f>INDEX('ZCB Curve - Payment Dates'!$D$2:$D$246,MATCH(B1393,'ZCB Curve - Payment Dates'!$A$2:$A$246,0))</f>
        <v>0.95121018311627348</v>
      </c>
      <c r="E1393" s="32">
        <f t="shared" si="21"/>
        <v>2.1402229120116152</v>
      </c>
    </row>
    <row r="1394" spans="1:5" x14ac:dyDescent="0.25">
      <c r="A1394" s="17">
        <v>241</v>
      </c>
      <c r="B1394" s="31">
        <v>46888</v>
      </c>
      <c r="C1394" s="32">
        <f>INDEX('Input Data'!$B:$B,A1394)/2+IF(A1394&lt;&gt;A1395,100,0)</f>
        <v>2.25</v>
      </c>
      <c r="D1394" s="33">
        <f>INDEX('ZCB Curve - Payment Dates'!$D$2:$D$246,MATCH(B1394,'ZCB Curve - Payment Dates'!$A$2:$A$246,0))</f>
        <v>0.93000025435083566</v>
      </c>
      <c r="E1394" s="32">
        <f t="shared" si="21"/>
        <v>2.0925005722893801</v>
      </c>
    </row>
    <row r="1395" spans="1:5" x14ac:dyDescent="0.25">
      <c r="A1395" s="17">
        <v>241</v>
      </c>
      <c r="B1395" s="31">
        <v>47072</v>
      </c>
      <c r="C1395" s="32">
        <f>INDEX('Input Data'!$B:$B,A1395)/2+IF(A1395&lt;&gt;A1396,100,0)</f>
        <v>2.25</v>
      </c>
      <c r="D1395" s="33">
        <f>INDEX('ZCB Curve - Payment Dates'!$D$2:$D$246,MATCH(B1395,'ZCB Curve - Payment Dates'!$A$2:$A$246,0))</f>
        <v>0.90870125167038918</v>
      </c>
      <c r="E1395" s="32">
        <f t="shared" si="21"/>
        <v>2.0445778162583759</v>
      </c>
    </row>
    <row r="1396" spans="1:5" x14ac:dyDescent="0.25">
      <c r="A1396" s="17">
        <v>241</v>
      </c>
      <c r="B1396" s="31">
        <v>47253</v>
      </c>
      <c r="C1396" s="32">
        <f>INDEX('Input Data'!$B:$B,A1396)/2+IF(A1396&lt;&gt;A1397,100,0)</f>
        <v>2.25</v>
      </c>
      <c r="D1396" s="33">
        <f>INDEX('ZCB Curve - Payment Dates'!$D$2:$D$246,MATCH(B1396,'ZCB Curve - Payment Dates'!$A$2:$A$246,0))</f>
        <v>0.88809325063638844</v>
      </c>
      <c r="E1396" s="32">
        <f t="shared" si="21"/>
        <v>1.998209813931874</v>
      </c>
    </row>
    <row r="1397" spans="1:5" x14ac:dyDescent="0.25">
      <c r="A1397" s="17">
        <v>241</v>
      </c>
      <c r="B1397" s="31">
        <v>47437</v>
      </c>
      <c r="C1397" s="32">
        <f>INDEX('Input Data'!$B:$B,A1397)/2+IF(A1397&lt;&gt;A1398,100,0)</f>
        <v>2.25</v>
      </c>
      <c r="D1397" s="33">
        <f>INDEX('ZCB Curve - Payment Dates'!$D$2:$D$246,MATCH(B1397,'ZCB Curve - Payment Dates'!$A$2:$A$246,0))</f>
        <v>0.86758824089536279</v>
      </c>
      <c r="E1397" s="32">
        <f t="shared" si="21"/>
        <v>1.9520735420145663</v>
      </c>
    </row>
    <row r="1398" spans="1:5" x14ac:dyDescent="0.25">
      <c r="A1398" s="17">
        <v>241</v>
      </c>
      <c r="B1398" s="31">
        <v>47618</v>
      </c>
      <c r="C1398" s="32">
        <f>INDEX('Input Data'!$B:$B,A1398)/2+IF(A1398&lt;&gt;A1399,100,0)</f>
        <v>2.25</v>
      </c>
      <c r="D1398" s="33">
        <f>INDEX('ZCB Curve - Payment Dates'!$D$2:$D$246,MATCH(B1398,'ZCB Curve - Payment Dates'!$A$2:$A$246,0))</f>
        <v>0.84787416911783064</v>
      </c>
      <c r="E1398" s="32">
        <f t="shared" si="21"/>
        <v>1.907716880515119</v>
      </c>
    </row>
    <row r="1399" spans="1:5" x14ac:dyDescent="0.25">
      <c r="A1399" s="17">
        <v>241</v>
      </c>
      <c r="B1399" s="31">
        <v>47802</v>
      </c>
      <c r="C1399" s="32">
        <f>INDEX('Input Data'!$B:$B,A1399)/2+IF(A1399&lt;&gt;A1400,100,0)</f>
        <v>2.25</v>
      </c>
      <c r="D1399" s="33">
        <f>INDEX('ZCB Curve - Payment Dates'!$D$2:$D$246,MATCH(B1399,'ZCB Curve - Payment Dates'!$A$2:$A$246,0))</f>
        <v>0.82827715028796722</v>
      </c>
      <c r="E1399" s="32">
        <f t="shared" si="21"/>
        <v>1.8636235881479262</v>
      </c>
    </row>
    <row r="1400" spans="1:5" x14ac:dyDescent="0.25">
      <c r="A1400" s="17">
        <v>241</v>
      </c>
      <c r="B1400" s="31">
        <v>47983</v>
      </c>
      <c r="C1400" s="32">
        <f>INDEX('Input Data'!$B:$B,A1400)/2+IF(A1400&lt;&gt;A1401,100,0)</f>
        <v>2.25</v>
      </c>
      <c r="D1400" s="33">
        <f>INDEX('ZCB Curve - Payment Dates'!$D$2:$D$246,MATCH(B1400,'ZCB Curve - Payment Dates'!$A$2:$A$246,0))</f>
        <v>0.80939067484273564</v>
      </c>
      <c r="E1400" s="32">
        <f t="shared" si="21"/>
        <v>1.8211290183961553</v>
      </c>
    </row>
    <row r="1401" spans="1:5" x14ac:dyDescent="0.25">
      <c r="A1401" s="17">
        <v>241</v>
      </c>
      <c r="B1401" s="31">
        <v>48167</v>
      </c>
      <c r="C1401" s="32">
        <f>INDEX('Input Data'!$B:$B,A1401)/2+IF(A1401&lt;&gt;A1402,100,0)</f>
        <v>2.25</v>
      </c>
      <c r="D1401" s="33">
        <f>INDEX('ZCB Curve - Payment Dates'!$D$2:$D$246,MATCH(B1401,'ZCB Curve - Payment Dates'!$A$2:$A$246,0))</f>
        <v>0.79053567842581962</v>
      </c>
      <c r="E1401" s="32">
        <f t="shared" si="21"/>
        <v>1.7787052764580942</v>
      </c>
    </row>
    <row r="1402" spans="1:5" x14ac:dyDescent="0.25">
      <c r="A1402" s="17">
        <v>241</v>
      </c>
      <c r="B1402" s="31">
        <v>48349</v>
      </c>
      <c r="C1402" s="32">
        <f>INDEX('Input Data'!$B:$B,A1402)/2+IF(A1402&lt;&gt;A1403,100,0)</f>
        <v>2.25</v>
      </c>
      <c r="D1402" s="33">
        <f>INDEX('ZCB Curve - Payment Dates'!$D$2:$D$246,MATCH(B1402,'ZCB Curve - Payment Dates'!$A$2:$A$246,0))</f>
        <v>0.77217305702007488</v>
      </c>
      <c r="E1402" s="32">
        <f t="shared" si="21"/>
        <v>1.7373893782951684</v>
      </c>
    </row>
    <row r="1403" spans="1:5" x14ac:dyDescent="0.25">
      <c r="A1403" s="17">
        <v>241</v>
      </c>
      <c r="B1403" s="31">
        <v>48533</v>
      </c>
      <c r="C1403" s="32">
        <f>INDEX('Input Data'!$B:$B,A1403)/2+IF(A1403&lt;&gt;A1404,100,0)</f>
        <v>2.25</v>
      </c>
      <c r="D1403" s="33">
        <f>INDEX('ZCB Curve - Payment Dates'!$D$2:$D$246,MATCH(B1403,'ZCB Curve - Payment Dates'!$A$2:$A$246,0))</f>
        <v>0.75384766072076514</v>
      </c>
      <c r="E1403" s="32">
        <f t="shared" si="21"/>
        <v>1.6961572366217217</v>
      </c>
    </row>
    <row r="1404" spans="1:5" x14ac:dyDescent="0.25">
      <c r="A1404" s="17">
        <v>241</v>
      </c>
      <c r="B1404" s="31">
        <v>48714</v>
      </c>
      <c r="C1404" s="32">
        <f>INDEX('Input Data'!$B:$B,A1404)/2+IF(A1404&lt;&gt;A1405,100,0)</f>
        <v>2.25</v>
      </c>
      <c r="D1404" s="33">
        <f>INDEX('ZCB Curve - Payment Dates'!$D$2:$D$246,MATCH(B1404,'ZCB Curve - Payment Dates'!$A$2:$A$246,0))</f>
        <v>0.73601491848746747</v>
      </c>
      <c r="E1404" s="32">
        <f t="shared" si="21"/>
        <v>1.6560335665968018</v>
      </c>
    </row>
    <row r="1405" spans="1:5" x14ac:dyDescent="0.25">
      <c r="A1405" s="17">
        <v>241</v>
      </c>
      <c r="B1405" s="31">
        <v>48898</v>
      </c>
      <c r="C1405" s="32">
        <f>INDEX('Input Data'!$B:$B,A1405)/2+IF(A1405&lt;&gt;A1406,100,0)</f>
        <v>102.25</v>
      </c>
      <c r="D1405" s="33">
        <f>INDEX('ZCB Curve - Payment Dates'!$D$2:$D$246,MATCH(B1405,'ZCB Curve - Payment Dates'!$A$2:$A$246,0))</f>
        <v>0.71805338140354003</v>
      </c>
      <c r="E1405" s="32">
        <f t="shared" si="21"/>
        <v>73.420958248511965</v>
      </c>
    </row>
    <row r="1406" spans="1:5" x14ac:dyDescent="0.25">
      <c r="A1406" s="17">
        <v>242</v>
      </c>
      <c r="B1406" s="31">
        <v>46433</v>
      </c>
      <c r="C1406" s="32">
        <f>INDEX('Input Data'!$B:$B,A1406)/2+IF(A1406&lt;&gt;A1407,100,0)</f>
        <v>2</v>
      </c>
      <c r="D1406" s="33">
        <f>INDEX('ZCB Curve - Payment Dates'!$D$2:$D$246,MATCH(B1406,'ZCB Curve - Payment Dates'!$A$2:$A$246,0))</f>
        <v>0.98242671792446301</v>
      </c>
      <c r="E1406" s="32">
        <f t="shared" si="21"/>
        <v>1.964853435848926</v>
      </c>
    </row>
    <row r="1407" spans="1:5" x14ac:dyDescent="0.25">
      <c r="A1407" s="17">
        <v>242</v>
      </c>
      <c r="B1407" s="31">
        <v>46614</v>
      </c>
      <c r="C1407" s="32">
        <f>INDEX('Input Data'!$B:$B,A1407)/2+IF(A1407&lt;&gt;A1408,100,0)</f>
        <v>2</v>
      </c>
      <c r="D1407" s="33">
        <f>INDEX('ZCB Curve - Payment Dates'!$D$2:$D$246,MATCH(B1407,'ZCB Curve - Payment Dates'!$A$2:$A$246,0))</f>
        <v>0.96187948164765535</v>
      </c>
      <c r="E1407" s="32">
        <f t="shared" si="21"/>
        <v>1.9237589632953107</v>
      </c>
    </row>
    <row r="1408" spans="1:5" x14ac:dyDescent="0.25">
      <c r="A1408" s="17">
        <v>242</v>
      </c>
      <c r="B1408" s="31">
        <v>46798</v>
      </c>
      <c r="C1408" s="32">
        <f>INDEX('Input Data'!$B:$B,A1408)/2+IF(A1408&lt;&gt;A1409,100,0)</f>
        <v>2</v>
      </c>
      <c r="D1408" s="33">
        <f>INDEX('ZCB Curve - Payment Dates'!$D$2:$D$246,MATCH(B1408,'ZCB Curve - Payment Dates'!$A$2:$A$246,0))</f>
        <v>0.94049096132648802</v>
      </c>
      <c r="E1408" s="32">
        <f t="shared" si="21"/>
        <v>1.880981922652976</v>
      </c>
    </row>
    <row r="1409" spans="1:5" x14ac:dyDescent="0.25">
      <c r="A1409" s="17">
        <v>242</v>
      </c>
      <c r="B1409" s="31">
        <v>46980</v>
      </c>
      <c r="C1409" s="32">
        <f>INDEX('Input Data'!$B:$B,A1409)/2+IF(A1409&lt;&gt;A1410,100,0)</f>
        <v>2</v>
      </c>
      <c r="D1409" s="33">
        <f>INDEX('ZCB Curve - Payment Dates'!$D$2:$D$246,MATCH(B1409,'ZCB Curve - Payment Dates'!$A$2:$A$246,0))</f>
        <v>0.91931844130238327</v>
      </c>
      <c r="E1409" s="32">
        <f t="shared" si="21"/>
        <v>1.8386368826047665</v>
      </c>
    </row>
    <row r="1410" spans="1:5" x14ac:dyDescent="0.25">
      <c r="A1410" s="17">
        <v>242</v>
      </c>
      <c r="B1410" s="31">
        <v>47164</v>
      </c>
      <c r="C1410" s="32">
        <f>INDEX('Input Data'!$B:$B,A1410)/2+IF(A1410&lt;&gt;A1411,100,0)</f>
        <v>2</v>
      </c>
      <c r="D1410" s="33">
        <f>INDEX('ZCB Curve - Payment Dates'!$D$2:$D$246,MATCH(B1410,'ZCB Curve - Payment Dates'!$A$2:$A$246,0))</f>
        <v>0.89817430058086534</v>
      </c>
      <c r="E1410" s="32">
        <f t="shared" ref="E1410:E1473" si="22">C1410*D1410</f>
        <v>1.7963486011617307</v>
      </c>
    </row>
    <row r="1411" spans="1:5" x14ac:dyDescent="0.25">
      <c r="A1411" s="17">
        <v>242</v>
      </c>
      <c r="B1411" s="31">
        <v>47345</v>
      </c>
      <c r="C1411" s="32">
        <f>INDEX('Input Data'!$B:$B,A1411)/2+IF(A1411&lt;&gt;A1412,100,0)</f>
        <v>2</v>
      </c>
      <c r="D1411" s="33">
        <f>INDEX('ZCB Curve - Payment Dates'!$D$2:$D$246,MATCH(B1411,'ZCB Curve - Payment Dates'!$A$2:$A$246,0))</f>
        <v>0.87778421628860481</v>
      </c>
      <c r="E1411" s="32">
        <f t="shared" si="22"/>
        <v>1.7555684325772096</v>
      </c>
    </row>
    <row r="1412" spans="1:5" x14ac:dyDescent="0.25">
      <c r="A1412" s="17">
        <v>242</v>
      </c>
      <c r="B1412" s="31">
        <v>47529</v>
      </c>
      <c r="C1412" s="32">
        <f>INDEX('Input Data'!$B:$B,A1412)/2+IF(A1412&lt;&gt;A1413,100,0)</f>
        <v>2</v>
      </c>
      <c r="D1412" s="33">
        <f>INDEX('ZCB Curve - Payment Dates'!$D$2:$D$246,MATCH(B1412,'ZCB Curve - Payment Dates'!$A$2:$A$246,0))</f>
        <v>0.85751015570959666</v>
      </c>
      <c r="E1412" s="32">
        <f t="shared" si="22"/>
        <v>1.7150203114191933</v>
      </c>
    </row>
    <row r="1413" spans="1:5" x14ac:dyDescent="0.25">
      <c r="A1413" s="17">
        <v>242</v>
      </c>
      <c r="B1413" s="31">
        <v>47710</v>
      </c>
      <c r="C1413" s="32">
        <f>INDEX('Input Data'!$B:$B,A1413)/2+IF(A1413&lt;&gt;A1414,100,0)</f>
        <v>2</v>
      </c>
      <c r="D1413" s="33">
        <f>INDEX('ZCB Curve - Payment Dates'!$D$2:$D$246,MATCH(B1413,'ZCB Curve - Payment Dates'!$A$2:$A$246,0))</f>
        <v>0.83802423748211174</v>
      </c>
      <c r="E1413" s="32">
        <f t="shared" si="22"/>
        <v>1.6760484749642235</v>
      </c>
    </row>
    <row r="1414" spans="1:5" x14ac:dyDescent="0.25">
      <c r="A1414" s="17">
        <v>242</v>
      </c>
      <c r="B1414" s="31">
        <v>47894</v>
      </c>
      <c r="C1414" s="32">
        <f>INDEX('Input Data'!$B:$B,A1414)/2+IF(A1414&lt;&gt;A1415,100,0)</f>
        <v>2</v>
      </c>
      <c r="D1414" s="33">
        <f>INDEX('ZCB Curve - Payment Dates'!$D$2:$D$246,MATCH(B1414,'ZCB Curve - Payment Dates'!$A$2:$A$246,0))</f>
        <v>0.8186305474741673</v>
      </c>
      <c r="E1414" s="32">
        <f t="shared" si="22"/>
        <v>1.6372610949483346</v>
      </c>
    </row>
    <row r="1415" spans="1:5" x14ac:dyDescent="0.25">
      <c r="A1415" s="17">
        <v>242</v>
      </c>
      <c r="B1415" s="31">
        <v>48075</v>
      </c>
      <c r="C1415" s="32">
        <f>INDEX('Input Data'!$B:$B,A1415)/2+IF(A1415&lt;&gt;A1416,100,0)</f>
        <v>2</v>
      </c>
      <c r="D1415" s="33">
        <f>INDEX('ZCB Curve - Payment Dates'!$D$2:$D$246,MATCH(B1415,'ZCB Curve - Payment Dates'!$A$2:$A$246,0))</f>
        <v>0.7999252334775927</v>
      </c>
      <c r="E1415" s="32">
        <f t="shared" si="22"/>
        <v>1.5998504669551854</v>
      </c>
    </row>
    <row r="1416" spans="1:5" x14ac:dyDescent="0.25">
      <c r="A1416" s="17">
        <v>242</v>
      </c>
      <c r="B1416" s="31">
        <v>48259</v>
      </c>
      <c r="C1416" s="32">
        <f>INDEX('Input Data'!$B:$B,A1416)/2+IF(A1416&lt;&gt;A1417,100,0)</f>
        <v>2</v>
      </c>
      <c r="D1416" s="33">
        <f>INDEX('ZCB Curve - Payment Dates'!$D$2:$D$246,MATCH(B1416,'ZCB Curve - Payment Dates'!$A$2:$A$246,0))</f>
        <v>0.78121887027612602</v>
      </c>
      <c r="E1416" s="32">
        <f t="shared" si="22"/>
        <v>1.562437740552252</v>
      </c>
    </row>
    <row r="1417" spans="1:5" x14ac:dyDescent="0.25">
      <c r="A1417" s="17">
        <v>242</v>
      </c>
      <c r="B1417" s="31">
        <v>48441</v>
      </c>
      <c r="C1417" s="32">
        <f>INDEX('Input Data'!$B:$B,A1417)/2+IF(A1417&lt;&gt;A1418,100,0)</f>
        <v>2</v>
      </c>
      <c r="D1417" s="33">
        <f>INDEX('ZCB Curve - Payment Dates'!$D$2:$D$246,MATCH(B1417,'ZCB Curve - Payment Dates'!$A$2:$A$246,0))</f>
        <v>0.76298123459017864</v>
      </c>
      <c r="E1417" s="32">
        <f t="shared" si="22"/>
        <v>1.5259624691803573</v>
      </c>
    </row>
    <row r="1418" spans="1:5" x14ac:dyDescent="0.25">
      <c r="A1418" s="17">
        <v>242</v>
      </c>
      <c r="B1418" s="31">
        <v>48625</v>
      </c>
      <c r="C1418" s="32">
        <f>INDEX('Input Data'!$B:$B,A1418)/2+IF(A1418&lt;&gt;A1419,100,0)</f>
        <v>2</v>
      </c>
      <c r="D1418" s="33">
        <f>INDEX('ZCB Curve - Payment Dates'!$D$2:$D$246,MATCH(B1418,'ZCB Curve - Payment Dates'!$A$2:$A$246,0))</f>
        <v>0.74476011611938586</v>
      </c>
      <c r="E1418" s="32">
        <f t="shared" si="22"/>
        <v>1.4895202322387717</v>
      </c>
    </row>
    <row r="1419" spans="1:5" x14ac:dyDescent="0.25">
      <c r="A1419" s="17">
        <v>242</v>
      </c>
      <c r="B1419" s="31">
        <v>48806</v>
      </c>
      <c r="C1419" s="32">
        <f>INDEX('Input Data'!$B:$B,A1419)/2+IF(A1419&lt;&gt;A1420,100,0)</f>
        <v>2</v>
      </c>
      <c r="D1419" s="33">
        <f>INDEX('ZCB Curve - Payment Dates'!$D$2:$D$246,MATCH(B1419,'ZCB Curve - Payment Dates'!$A$2:$A$246,0))</f>
        <v>0.72701302496114584</v>
      </c>
      <c r="E1419" s="32">
        <f t="shared" si="22"/>
        <v>1.4540260499222917</v>
      </c>
    </row>
    <row r="1420" spans="1:5" x14ac:dyDescent="0.25">
      <c r="A1420" s="17">
        <v>242</v>
      </c>
      <c r="B1420" s="31">
        <v>48990</v>
      </c>
      <c r="C1420" s="32">
        <f>INDEX('Input Data'!$B:$B,A1420)/2+IF(A1420&lt;&gt;A1421,100,0)</f>
        <v>102</v>
      </c>
      <c r="D1420" s="33">
        <f>INDEX('ZCB Curve - Payment Dates'!$D$2:$D$246,MATCH(B1420,'ZCB Curve - Payment Dates'!$A$2:$A$246,0))</f>
        <v>0.70912647031380449</v>
      </c>
      <c r="E1420" s="32">
        <f t="shared" si="22"/>
        <v>72.330899972008055</v>
      </c>
    </row>
    <row r="1421" spans="1:5" x14ac:dyDescent="0.25">
      <c r="A1421" s="17">
        <v>243</v>
      </c>
      <c r="B1421" s="31">
        <v>46341</v>
      </c>
      <c r="C1421" s="32">
        <f>INDEX('Input Data'!$B:$B,A1421)/2+IF(A1421&lt;&gt;A1422,100,0)</f>
        <v>2.1875</v>
      </c>
      <c r="D1421" s="33">
        <f>INDEX('ZCB Curve - Payment Dates'!$D$2:$D$246,MATCH(B1421,'ZCB Curve - Payment Dates'!$A$2:$A$246,0))</f>
        <v>0.99245367292309439</v>
      </c>
      <c r="E1421" s="32">
        <f t="shared" si="22"/>
        <v>2.1709924095192692</v>
      </c>
    </row>
    <row r="1422" spans="1:5" x14ac:dyDescent="0.25">
      <c r="A1422" s="17">
        <v>243</v>
      </c>
      <c r="B1422" s="31">
        <v>46522</v>
      </c>
      <c r="C1422" s="32">
        <f>INDEX('Input Data'!$B:$B,A1422)/2+IF(A1422&lt;&gt;A1423,100,0)</f>
        <v>2.1875</v>
      </c>
      <c r="D1422" s="33">
        <f>INDEX('ZCB Curve - Payment Dates'!$D$2:$D$246,MATCH(B1422,'ZCB Curve - Payment Dates'!$A$2:$A$246,0))</f>
        <v>0.97242179559611874</v>
      </c>
      <c r="E1422" s="32">
        <f t="shared" si="22"/>
        <v>2.1271726778665099</v>
      </c>
    </row>
    <row r="1423" spans="1:5" x14ac:dyDescent="0.25">
      <c r="A1423" s="17">
        <v>243</v>
      </c>
      <c r="B1423" s="31">
        <v>46706</v>
      </c>
      <c r="C1423" s="32">
        <f>INDEX('Input Data'!$B:$B,A1423)/2+IF(A1423&lt;&gt;A1424,100,0)</f>
        <v>2.1875</v>
      </c>
      <c r="D1423" s="33">
        <f>INDEX('ZCB Curve - Payment Dates'!$D$2:$D$246,MATCH(B1423,'ZCB Curve - Payment Dates'!$A$2:$A$246,0))</f>
        <v>0.95121018311627348</v>
      </c>
      <c r="E1423" s="32">
        <f t="shared" si="22"/>
        <v>2.0807722755668481</v>
      </c>
    </row>
    <row r="1424" spans="1:5" x14ac:dyDescent="0.25">
      <c r="A1424" s="17">
        <v>243</v>
      </c>
      <c r="B1424" s="31">
        <v>46888</v>
      </c>
      <c r="C1424" s="32">
        <f>INDEX('Input Data'!$B:$B,A1424)/2+IF(A1424&lt;&gt;A1425,100,0)</f>
        <v>2.1875</v>
      </c>
      <c r="D1424" s="33">
        <f>INDEX('ZCB Curve - Payment Dates'!$D$2:$D$246,MATCH(B1424,'ZCB Curve - Payment Dates'!$A$2:$A$246,0))</f>
        <v>0.93000025435083566</v>
      </c>
      <c r="E1424" s="32">
        <f t="shared" si="22"/>
        <v>2.0343755563924528</v>
      </c>
    </row>
    <row r="1425" spans="1:5" x14ac:dyDescent="0.25">
      <c r="A1425" s="17">
        <v>243</v>
      </c>
      <c r="B1425" s="31">
        <v>47072</v>
      </c>
      <c r="C1425" s="32">
        <f>INDEX('Input Data'!$B:$B,A1425)/2+IF(A1425&lt;&gt;A1426,100,0)</f>
        <v>2.1875</v>
      </c>
      <c r="D1425" s="33">
        <f>INDEX('ZCB Curve - Payment Dates'!$D$2:$D$246,MATCH(B1425,'ZCB Curve - Payment Dates'!$A$2:$A$246,0))</f>
        <v>0.90870125167038918</v>
      </c>
      <c r="E1425" s="32">
        <f t="shared" si="22"/>
        <v>1.9877839880289763</v>
      </c>
    </row>
    <row r="1426" spans="1:5" x14ac:dyDescent="0.25">
      <c r="A1426" s="17">
        <v>243</v>
      </c>
      <c r="B1426" s="31">
        <v>47253</v>
      </c>
      <c r="C1426" s="32">
        <f>INDEX('Input Data'!$B:$B,A1426)/2+IF(A1426&lt;&gt;A1427,100,0)</f>
        <v>2.1875</v>
      </c>
      <c r="D1426" s="33">
        <f>INDEX('ZCB Curve - Payment Dates'!$D$2:$D$246,MATCH(B1426,'ZCB Curve - Payment Dates'!$A$2:$A$246,0))</f>
        <v>0.88809325063638844</v>
      </c>
      <c r="E1426" s="32">
        <f t="shared" si="22"/>
        <v>1.9427039857670998</v>
      </c>
    </row>
    <row r="1427" spans="1:5" x14ac:dyDescent="0.25">
      <c r="A1427" s="17">
        <v>243</v>
      </c>
      <c r="B1427" s="31">
        <v>47437</v>
      </c>
      <c r="C1427" s="32">
        <f>INDEX('Input Data'!$B:$B,A1427)/2+IF(A1427&lt;&gt;A1428,100,0)</f>
        <v>2.1875</v>
      </c>
      <c r="D1427" s="33">
        <f>INDEX('ZCB Curve - Payment Dates'!$D$2:$D$246,MATCH(B1427,'ZCB Curve - Payment Dates'!$A$2:$A$246,0))</f>
        <v>0.86758824089536279</v>
      </c>
      <c r="E1427" s="32">
        <f t="shared" si="22"/>
        <v>1.8978492769586062</v>
      </c>
    </row>
    <row r="1428" spans="1:5" x14ac:dyDescent="0.25">
      <c r="A1428" s="17">
        <v>243</v>
      </c>
      <c r="B1428" s="31">
        <v>47618</v>
      </c>
      <c r="C1428" s="32">
        <f>INDEX('Input Data'!$B:$B,A1428)/2+IF(A1428&lt;&gt;A1429,100,0)</f>
        <v>2.1875</v>
      </c>
      <c r="D1428" s="33">
        <f>INDEX('ZCB Curve - Payment Dates'!$D$2:$D$246,MATCH(B1428,'ZCB Curve - Payment Dates'!$A$2:$A$246,0))</f>
        <v>0.84787416911783064</v>
      </c>
      <c r="E1428" s="32">
        <f t="shared" si="22"/>
        <v>1.8547247449452546</v>
      </c>
    </row>
    <row r="1429" spans="1:5" x14ac:dyDescent="0.25">
      <c r="A1429" s="17">
        <v>243</v>
      </c>
      <c r="B1429" s="31">
        <v>47802</v>
      </c>
      <c r="C1429" s="32">
        <f>INDEX('Input Data'!$B:$B,A1429)/2+IF(A1429&lt;&gt;A1430,100,0)</f>
        <v>2.1875</v>
      </c>
      <c r="D1429" s="33">
        <f>INDEX('ZCB Curve - Payment Dates'!$D$2:$D$246,MATCH(B1429,'ZCB Curve - Payment Dates'!$A$2:$A$246,0))</f>
        <v>0.82827715028796722</v>
      </c>
      <c r="E1429" s="32">
        <f t="shared" si="22"/>
        <v>1.8118562662549282</v>
      </c>
    </row>
    <row r="1430" spans="1:5" x14ac:dyDescent="0.25">
      <c r="A1430" s="17">
        <v>243</v>
      </c>
      <c r="B1430" s="31">
        <v>47983</v>
      </c>
      <c r="C1430" s="32">
        <f>INDEX('Input Data'!$B:$B,A1430)/2+IF(A1430&lt;&gt;A1431,100,0)</f>
        <v>2.1875</v>
      </c>
      <c r="D1430" s="33">
        <f>INDEX('ZCB Curve - Payment Dates'!$D$2:$D$246,MATCH(B1430,'ZCB Curve - Payment Dates'!$A$2:$A$246,0))</f>
        <v>0.80939067484273564</v>
      </c>
      <c r="E1430" s="32">
        <f t="shared" si="22"/>
        <v>1.7705421012184841</v>
      </c>
    </row>
    <row r="1431" spans="1:5" x14ac:dyDescent="0.25">
      <c r="A1431" s="17">
        <v>243</v>
      </c>
      <c r="B1431" s="31">
        <v>48167</v>
      </c>
      <c r="C1431" s="32">
        <f>INDEX('Input Data'!$B:$B,A1431)/2+IF(A1431&lt;&gt;A1432,100,0)</f>
        <v>2.1875</v>
      </c>
      <c r="D1431" s="33">
        <f>INDEX('ZCB Curve - Payment Dates'!$D$2:$D$246,MATCH(B1431,'ZCB Curve - Payment Dates'!$A$2:$A$246,0))</f>
        <v>0.79053567842581962</v>
      </c>
      <c r="E1431" s="32">
        <f t="shared" si="22"/>
        <v>1.7292967965564805</v>
      </c>
    </row>
    <row r="1432" spans="1:5" x14ac:dyDescent="0.25">
      <c r="A1432" s="17">
        <v>243</v>
      </c>
      <c r="B1432" s="31">
        <v>48349</v>
      </c>
      <c r="C1432" s="32">
        <f>INDEX('Input Data'!$B:$B,A1432)/2+IF(A1432&lt;&gt;A1433,100,0)</f>
        <v>2.1875</v>
      </c>
      <c r="D1432" s="33">
        <f>INDEX('ZCB Curve - Payment Dates'!$D$2:$D$246,MATCH(B1432,'ZCB Curve - Payment Dates'!$A$2:$A$246,0))</f>
        <v>0.77217305702007488</v>
      </c>
      <c r="E1432" s="32">
        <f t="shared" si="22"/>
        <v>1.6891285622314138</v>
      </c>
    </row>
    <row r="1433" spans="1:5" x14ac:dyDescent="0.25">
      <c r="A1433" s="17">
        <v>243</v>
      </c>
      <c r="B1433" s="31">
        <v>48533</v>
      </c>
      <c r="C1433" s="32">
        <f>INDEX('Input Data'!$B:$B,A1433)/2+IF(A1433&lt;&gt;A1434,100,0)</f>
        <v>2.1875</v>
      </c>
      <c r="D1433" s="33">
        <f>INDEX('ZCB Curve - Payment Dates'!$D$2:$D$246,MATCH(B1433,'ZCB Curve - Payment Dates'!$A$2:$A$246,0))</f>
        <v>0.75384766072076514</v>
      </c>
      <c r="E1433" s="32">
        <f t="shared" si="22"/>
        <v>1.6490417578266738</v>
      </c>
    </row>
    <row r="1434" spans="1:5" x14ac:dyDescent="0.25">
      <c r="A1434" s="17">
        <v>243</v>
      </c>
      <c r="B1434" s="31">
        <v>48714</v>
      </c>
      <c r="C1434" s="32">
        <f>INDEX('Input Data'!$B:$B,A1434)/2+IF(A1434&lt;&gt;A1435,100,0)</f>
        <v>2.1875</v>
      </c>
      <c r="D1434" s="33">
        <f>INDEX('ZCB Curve - Payment Dates'!$D$2:$D$246,MATCH(B1434,'ZCB Curve - Payment Dates'!$A$2:$A$246,0))</f>
        <v>0.73601491848746747</v>
      </c>
      <c r="E1434" s="32">
        <f t="shared" si="22"/>
        <v>1.6100326341913351</v>
      </c>
    </row>
    <row r="1435" spans="1:5" x14ac:dyDescent="0.25">
      <c r="A1435" s="17">
        <v>243</v>
      </c>
      <c r="B1435" s="31">
        <v>48898</v>
      </c>
      <c r="C1435" s="32">
        <f>INDEX('Input Data'!$B:$B,A1435)/2+IF(A1435&lt;&gt;A1436,100,0)</f>
        <v>2.1875</v>
      </c>
      <c r="D1435" s="33">
        <f>INDEX('ZCB Curve - Payment Dates'!$D$2:$D$246,MATCH(B1435,'ZCB Curve - Payment Dates'!$A$2:$A$246,0))</f>
        <v>0.71805338140354003</v>
      </c>
      <c r="E1435" s="32">
        <f t="shared" si="22"/>
        <v>1.5707417718202439</v>
      </c>
    </row>
    <row r="1436" spans="1:5" x14ac:dyDescent="0.25">
      <c r="A1436" s="17">
        <v>243</v>
      </c>
      <c r="B1436" s="31">
        <v>49079</v>
      </c>
      <c r="C1436" s="32">
        <f>INDEX('Input Data'!$B:$B,A1436)/2+IF(A1436&lt;&gt;A1437,100,0)</f>
        <v>102.1875</v>
      </c>
      <c r="D1436" s="33">
        <f>INDEX('ZCB Curve - Payment Dates'!$D$2:$D$246,MATCH(B1436,'ZCB Curve - Payment Dates'!$A$2:$A$246,0))</f>
        <v>0.70052630492471468</v>
      </c>
      <c r="E1436" s="32">
        <f t="shared" si="22"/>
        <v>71.585031784494277</v>
      </c>
    </row>
    <row r="1437" spans="1:5" x14ac:dyDescent="0.25">
      <c r="A1437" s="17">
        <v>244</v>
      </c>
      <c r="B1437" s="31">
        <v>46433</v>
      </c>
      <c r="C1437" s="32">
        <f>INDEX('Input Data'!$B:$B,A1437)/2+IF(A1437&lt;&gt;A1438,100,0)</f>
        <v>1.9375</v>
      </c>
      <c r="D1437" s="33">
        <f>INDEX('ZCB Curve - Payment Dates'!$D$2:$D$246,MATCH(B1437,'ZCB Curve - Payment Dates'!$A$2:$A$246,0))</f>
        <v>0.98242671792446301</v>
      </c>
      <c r="E1437" s="32">
        <f t="shared" si="22"/>
        <v>1.9034517659786472</v>
      </c>
    </row>
    <row r="1438" spans="1:5" x14ac:dyDescent="0.25">
      <c r="A1438" s="17">
        <v>244</v>
      </c>
      <c r="B1438" s="31">
        <v>46614</v>
      </c>
      <c r="C1438" s="32">
        <f>INDEX('Input Data'!$B:$B,A1438)/2+IF(A1438&lt;&gt;A1439,100,0)</f>
        <v>1.9375</v>
      </c>
      <c r="D1438" s="33">
        <f>INDEX('ZCB Curve - Payment Dates'!$D$2:$D$246,MATCH(B1438,'ZCB Curve - Payment Dates'!$A$2:$A$246,0))</f>
        <v>0.96187948164765535</v>
      </c>
      <c r="E1438" s="32">
        <f t="shared" si="22"/>
        <v>1.8636414956923322</v>
      </c>
    </row>
    <row r="1439" spans="1:5" x14ac:dyDescent="0.25">
      <c r="A1439" s="17">
        <v>244</v>
      </c>
      <c r="B1439" s="31">
        <v>46798</v>
      </c>
      <c r="C1439" s="32">
        <f>INDEX('Input Data'!$B:$B,A1439)/2+IF(A1439&lt;&gt;A1440,100,0)</f>
        <v>1.9375</v>
      </c>
      <c r="D1439" s="33">
        <f>INDEX('ZCB Curve - Payment Dates'!$D$2:$D$246,MATCH(B1439,'ZCB Curve - Payment Dates'!$A$2:$A$246,0))</f>
        <v>0.94049096132648802</v>
      </c>
      <c r="E1439" s="32">
        <f t="shared" si="22"/>
        <v>1.8222012375700705</v>
      </c>
    </row>
    <row r="1440" spans="1:5" x14ac:dyDescent="0.25">
      <c r="A1440" s="17">
        <v>244</v>
      </c>
      <c r="B1440" s="31">
        <v>46980</v>
      </c>
      <c r="C1440" s="32">
        <f>INDEX('Input Data'!$B:$B,A1440)/2+IF(A1440&lt;&gt;A1441,100,0)</f>
        <v>1.9375</v>
      </c>
      <c r="D1440" s="33">
        <f>INDEX('ZCB Curve - Payment Dates'!$D$2:$D$246,MATCH(B1440,'ZCB Curve - Payment Dates'!$A$2:$A$246,0))</f>
        <v>0.91931844130238327</v>
      </c>
      <c r="E1440" s="32">
        <f t="shared" si="22"/>
        <v>1.7811794800233676</v>
      </c>
    </row>
    <row r="1441" spans="1:5" x14ac:dyDescent="0.25">
      <c r="A1441" s="17">
        <v>244</v>
      </c>
      <c r="B1441" s="31">
        <v>47164</v>
      </c>
      <c r="C1441" s="32">
        <f>INDEX('Input Data'!$B:$B,A1441)/2+IF(A1441&lt;&gt;A1442,100,0)</f>
        <v>1.9375</v>
      </c>
      <c r="D1441" s="33">
        <f>INDEX('ZCB Curve - Payment Dates'!$D$2:$D$246,MATCH(B1441,'ZCB Curve - Payment Dates'!$A$2:$A$246,0))</f>
        <v>0.89817430058086534</v>
      </c>
      <c r="E1441" s="32">
        <f t="shared" si="22"/>
        <v>1.7402127073754265</v>
      </c>
    </row>
    <row r="1442" spans="1:5" x14ac:dyDescent="0.25">
      <c r="A1442" s="17">
        <v>244</v>
      </c>
      <c r="B1442" s="31">
        <v>47345</v>
      </c>
      <c r="C1442" s="32">
        <f>INDEX('Input Data'!$B:$B,A1442)/2+IF(A1442&lt;&gt;A1443,100,0)</f>
        <v>1.9375</v>
      </c>
      <c r="D1442" s="33">
        <f>INDEX('ZCB Curve - Payment Dates'!$D$2:$D$246,MATCH(B1442,'ZCB Curve - Payment Dates'!$A$2:$A$246,0))</f>
        <v>0.87778421628860481</v>
      </c>
      <c r="E1442" s="32">
        <f t="shared" si="22"/>
        <v>1.7007069190591719</v>
      </c>
    </row>
    <row r="1443" spans="1:5" x14ac:dyDescent="0.25">
      <c r="A1443" s="17">
        <v>244</v>
      </c>
      <c r="B1443" s="31">
        <v>47529</v>
      </c>
      <c r="C1443" s="32">
        <f>INDEX('Input Data'!$B:$B,A1443)/2+IF(A1443&lt;&gt;A1444,100,0)</f>
        <v>1.9375</v>
      </c>
      <c r="D1443" s="33">
        <f>INDEX('ZCB Curve - Payment Dates'!$D$2:$D$246,MATCH(B1443,'ZCB Curve - Payment Dates'!$A$2:$A$246,0))</f>
        <v>0.85751015570959666</v>
      </c>
      <c r="E1443" s="32">
        <f t="shared" si="22"/>
        <v>1.6614259266873435</v>
      </c>
    </row>
    <row r="1444" spans="1:5" x14ac:dyDescent="0.25">
      <c r="A1444" s="17">
        <v>244</v>
      </c>
      <c r="B1444" s="31">
        <v>47710</v>
      </c>
      <c r="C1444" s="32">
        <f>INDEX('Input Data'!$B:$B,A1444)/2+IF(A1444&lt;&gt;A1445,100,0)</f>
        <v>1.9375</v>
      </c>
      <c r="D1444" s="33">
        <f>INDEX('ZCB Curve - Payment Dates'!$D$2:$D$246,MATCH(B1444,'ZCB Curve - Payment Dates'!$A$2:$A$246,0))</f>
        <v>0.83802423748211174</v>
      </c>
      <c r="E1444" s="32">
        <f t="shared" si="22"/>
        <v>1.6236719601215914</v>
      </c>
    </row>
    <row r="1445" spans="1:5" x14ac:dyDescent="0.25">
      <c r="A1445" s="17">
        <v>244</v>
      </c>
      <c r="B1445" s="31">
        <v>47894</v>
      </c>
      <c r="C1445" s="32">
        <f>INDEX('Input Data'!$B:$B,A1445)/2+IF(A1445&lt;&gt;A1446,100,0)</f>
        <v>1.9375</v>
      </c>
      <c r="D1445" s="33">
        <f>INDEX('ZCB Curve - Payment Dates'!$D$2:$D$246,MATCH(B1445,'ZCB Curve - Payment Dates'!$A$2:$A$246,0))</f>
        <v>0.8186305474741673</v>
      </c>
      <c r="E1445" s="32">
        <f t="shared" si="22"/>
        <v>1.5860966857311991</v>
      </c>
    </row>
    <row r="1446" spans="1:5" x14ac:dyDescent="0.25">
      <c r="A1446" s="17">
        <v>244</v>
      </c>
      <c r="B1446" s="31">
        <v>48075</v>
      </c>
      <c r="C1446" s="32">
        <f>INDEX('Input Data'!$B:$B,A1446)/2+IF(A1446&lt;&gt;A1447,100,0)</f>
        <v>1.9375</v>
      </c>
      <c r="D1446" s="33">
        <f>INDEX('ZCB Curve - Payment Dates'!$D$2:$D$246,MATCH(B1446,'ZCB Curve - Payment Dates'!$A$2:$A$246,0))</f>
        <v>0.7999252334775927</v>
      </c>
      <c r="E1446" s="32">
        <f t="shared" si="22"/>
        <v>1.549855139862836</v>
      </c>
    </row>
    <row r="1447" spans="1:5" x14ac:dyDescent="0.25">
      <c r="A1447" s="17">
        <v>244</v>
      </c>
      <c r="B1447" s="31">
        <v>48259</v>
      </c>
      <c r="C1447" s="32">
        <f>INDEX('Input Data'!$B:$B,A1447)/2+IF(A1447&lt;&gt;A1448,100,0)</f>
        <v>1.9375</v>
      </c>
      <c r="D1447" s="33">
        <f>INDEX('ZCB Curve - Payment Dates'!$D$2:$D$246,MATCH(B1447,'ZCB Curve - Payment Dates'!$A$2:$A$246,0))</f>
        <v>0.78121887027612602</v>
      </c>
      <c r="E1447" s="32">
        <f t="shared" si="22"/>
        <v>1.5136115611599941</v>
      </c>
    </row>
    <row r="1448" spans="1:5" x14ac:dyDescent="0.25">
      <c r="A1448" s="17">
        <v>244</v>
      </c>
      <c r="B1448" s="31">
        <v>48441</v>
      </c>
      <c r="C1448" s="32">
        <f>INDEX('Input Data'!$B:$B,A1448)/2+IF(A1448&lt;&gt;A1449,100,0)</f>
        <v>1.9375</v>
      </c>
      <c r="D1448" s="33">
        <f>INDEX('ZCB Curve - Payment Dates'!$D$2:$D$246,MATCH(B1448,'ZCB Curve - Payment Dates'!$A$2:$A$246,0))</f>
        <v>0.76298123459017864</v>
      </c>
      <c r="E1448" s="32">
        <f t="shared" si="22"/>
        <v>1.4782761420184711</v>
      </c>
    </row>
    <row r="1449" spans="1:5" x14ac:dyDescent="0.25">
      <c r="A1449" s="17">
        <v>244</v>
      </c>
      <c r="B1449" s="31">
        <v>48625</v>
      </c>
      <c r="C1449" s="32">
        <f>INDEX('Input Data'!$B:$B,A1449)/2+IF(A1449&lt;&gt;A1450,100,0)</f>
        <v>1.9375</v>
      </c>
      <c r="D1449" s="33">
        <f>INDEX('ZCB Curve - Payment Dates'!$D$2:$D$246,MATCH(B1449,'ZCB Curve - Payment Dates'!$A$2:$A$246,0))</f>
        <v>0.74476011611938586</v>
      </c>
      <c r="E1449" s="32">
        <f t="shared" si="22"/>
        <v>1.44297272498131</v>
      </c>
    </row>
    <row r="1450" spans="1:5" x14ac:dyDescent="0.25">
      <c r="A1450" s="17">
        <v>244</v>
      </c>
      <c r="B1450" s="31">
        <v>48806</v>
      </c>
      <c r="C1450" s="32">
        <f>INDEX('Input Data'!$B:$B,A1450)/2+IF(A1450&lt;&gt;A1451,100,0)</f>
        <v>1.9375</v>
      </c>
      <c r="D1450" s="33">
        <f>INDEX('ZCB Curve - Payment Dates'!$D$2:$D$246,MATCH(B1450,'ZCB Curve - Payment Dates'!$A$2:$A$246,0))</f>
        <v>0.72701302496114584</v>
      </c>
      <c r="E1450" s="32">
        <f t="shared" si="22"/>
        <v>1.4085877358622201</v>
      </c>
    </row>
    <row r="1451" spans="1:5" x14ac:dyDescent="0.25">
      <c r="A1451" s="17">
        <v>244</v>
      </c>
      <c r="B1451" s="31">
        <v>48990</v>
      </c>
      <c r="C1451" s="32">
        <f>INDEX('Input Data'!$B:$B,A1451)/2+IF(A1451&lt;&gt;A1452,100,0)</f>
        <v>1.9375</v>
      </c>
      <c r="D1451" s="33">
        <f>INDEX('ZCB Curve - Payment Dates'!$D$2:$D$246,MATCH(B1451,'ZCB Curve - Payment Dates'!$A$2:$A$246,0))</f>
        <v>0.70912647031380449</v>
      </c>
      <c r="E1451" s="32">
        <f t="shared" si="22"/>
        <v>1.3739325362329962</v>
      </c>
    </row>
    <row r="1452" spans="1:5" x14ac:dyDescent="0.25">
      <c r="A1452" s="17">
        <v>244</v>
      </c>
      <c r="B1452" s="31">
        <v>49171</v>
      </c>
      <c r="C1452" s="32">
        <f>INDEX('Input Data'!$B:$B,A1452)/2+IF(A1452&lt;&gt;A1453,100,0)</f>
        <v>101.9375</v>
      </c>
      <c r="D1452" s="33">
        <f>INDEX('ZCB Curve - Payment Dates'!$D$2:$D$246,MATCH(B1452,'ZCB Curve - Payment Dates'!$A$2:$A$246,0))</f>
        <v>0.6916661505723215</v>
      </c>
      <c r="E1452" s="32">
        <f t="shared" si="22"/>
        <v>70.506718223966018</v>
      </c>
    </row>
    <row r="1453" spans="1:5" x14ac:dyDescent="0.25">
      <c r="A1453" s="17">
        <v>245</v>
      </c>
      <c r="B1453" s="31">
        <v>46341</v>
      </c>
      <c r="C1453" s="32">
        <f>INDEX('Input Data'!$B:$B,A1453)/2+IF(A1453&lt;&gt;A1454,100,0)</f>
        <v>2.125</v>
      </c>
      <c r="D1453" s="33">
        <f>INDEX('ZCB Curve - Payment Dates'!$D$2:$D$246,MATCH(B1453,'ZCB Curve - Payment Dates'!$A$2:$A$246,0))</f>
        <v>0.99245367292309439</v>
      </c>
      <c r="E1453" s="32">
        <f t="shared" si="22"/>
        <v>2.1089640549615756</v>
      </c>
    </row>
    <row r="1454" spans="1:5" x14ac:dyDescent="0.25">
      <c r="A1454" s="17">
        <v>245</v>
      </c>
      <c r="B1454" s="31">
        <v>46522</v>
      </c>
      <c r="C1454" s="32">
        <f>INDEX('Input Data'!$B:$B,A1454)/2+IF(A1454&lt;&gt;A1455,100,0)</f>
        <v>2.125</v>
      </c>
      <c r="D1454" s="33">
        <f>INDEX('ZCB Curve - Payment Dates'!$D$2:$D$246,MATCH(B1454,'ZCB Curve - Payment Dates'!$A$2:$A$246,0))</f>
        <v>0.97242179559611874</v>
      </c>
      <c r="E1454" s="32">
        <f t="shared" si="22"/>
        <v>2.0663963156417524</v>
      </c>
    </row>
    <row r="1455" spans="1:5" x14ac:dyDescent="0.25">
      <c r="A1455" s="17">
        <v>245</v>
      </c>
      <c r="B1455" s="31">
        <v>46706</v>
      </c>
      <c r="C1455" s="32">
        <f>INDEX('Input Data'!$B:$B,A1455)/2+IF(A1455&lt;&gt;A1456,100,0)</f>
        <v>2.125</v>
      </c>
      <c r="D1455" s="33">
        <f>INDEX('ZCB Curve - Payment Dates'!$D$2:$D$246,MATCH(B1455,'ZCB Curve - Payment Dates'!$A$2:$A$246,0))</f>
        <v>0.95121018311627348</v>
      </c>
      <c r="E1455" s="32">
        <f t="shared" si="22"/>
        <v>2.021321639122081</v>
      </c>
    </row>
    <row r="1456" spans="1:5" x14ac:dyDescent="0.25">
      <c r="A1456" s="17">
        <v>245</v>
      </c>
      <c r="B1456" s="31">
        <v>46888</v>
      </c>
      <c r="C1456" s="32">
        <f>INDEX('Input Data'!$B:$B,A1456)/2+IF(A1456&lt;&gt;A1457,100,0)</f>
        <v>2.125</v>
      </c>
      <c r="D1456" s="33">
        <f>INDEX('ZCB Curve - Payment Dates'!$D$2:$D$246,MATCH(B1456,'ZCB Curve - Payment Dates'!$A$2:$A$246,0))</f>
        <v>0.93000025435083566</v>
      </c>
      <c r="E1456" s="32">
        <f t="shared" si="22"/>
        <v>1.9762505404955257</v>
      </c>
    </row>
    <row r="1457" spans="1:5" x14ac:dyDescent="0.25">
      <c r="A1457" s="17">
        <v>245</v>
      </c>
      <c r="B1457" s="31">
        <v>47072</v>
      </c>
      <c r="C1457" s="32">
        <f>INDEX('Input Data'!$B:$B,A1457)/2+IF(A1457&lt;&gt;A1458,100,0)</f>
        <v>2.125</v>
      </c>
      <c r="D1457" s="33">
        <f>INDEX('ZCB Curve - Payment Dates'!$D$2:$D$246,MATCH(B1457,'ZCB Curve - Payment Dates'!$A$2:$A$246,0))</f>
        <v>0.90870125167038918</v>
      </c>
      <c r="E1457" s="32">
        <f t="shared" si="22"/>
        <v>1.9309901597995771</v>
      </c>
    </row>
    <row r="1458" spans="1:5" x14ac:dyDescent="0.25">
      <c r="A1458" s="17">
        <v>245</v>
      </c>
      <c r="B1458" s="31">
        <v>47253</v>
      </c>
      <c r="C1458" s="32">
        <f>INDEX('Input Data'!$B:$B,A1458)/2+IF(A1458&lt;&gt;A1459,100,0)</f>
        <v>2.125</v>
      </c>
      <c r="D1458" s="33">
        <f>INDEX('ZCB Curve - Payment Dates'!$D$2:$D$246,MATCH(B1458,'ZCB Curve - Payment Dates'!$A$2:$A$246,0))</f>
        <v>0.88809325063638844</v>
      </c>
      <c r="E1458" s="32">
        <f t="shared" si="22"/>
        <v>1.8871981576023253</v>
      </c>
    </row>
    <row r="1459" spans="1:5" x14ac:dyDescent="0.25">
      <c r="A1459" s="17">
        <v>245</v>
      </c>
      <c r="B1459" s="31">
        <v>47437</v>
      </c>
      <c r="C1459" s="32">
        <f>INDEX('Input Data'!$B:$B,A1459)/2+IF(A1459&lt;&gt;A1460,100,0)</f>
        <v>2.125</v>
      </c>
      <c r="D1459" s="33">
        <f>INDEX('ZCB Curve - Payment Dates'!$D$2:$D$246,MATCH(B1459,'ZCB Curve - Payment Dates'!$A$2:$A$246,0))</f>
        <v>0.86758824089536279</v>
      </c>
      <c r="E1459" s="32">
        <f t="shared" si="22"/>
        <v>1.8436250119026458</v>
      </c>
    </row>
    <row r="1460" spans="1:5" x14ac:dyDescent="0.25">
      <c r="A1460" s="17">
        <v>245</v>
      </c>
      <c r="B1460" s="31">
        <v>47618</v>
      </c>
      <c r="C1460" s="32">
        <f>INDEX('Input Data'!$B:$B,A1460)/2+IF(A1460&lt;&gt;A1461,100,0)</f>
        <v>2.125</v>
      </c>
      <c r="D1460" s="33">
        <f>INDEX('ZCB Curve - Payment Dates'!$D$2:$D$246,MATCH(B1460,'ZCB Curve - Payment Dates'!$A$2:$A$246,0))</f>
        <v>0.84787416911783064</v>
      </c>
      <c r="E1460" s="32">
        <f t="shared" si="22"/>
        <v>1.80173260937539</v>
      </c>
    </row>
    <row r="1461" spans="1:5" x14ac:dyDescent="0.25">
      <c r="A1461" s="17">
        <v>245</v>
      </c>
      <c r="B1461" s="31">
        <v>47802</v>
      </c>
      <c r="C1461" s="32">
        <f>INDEX('Input Data'!$B:$B,A1461)/2+IF(A1461&lt;&gt;A1462,100,0)</f>
        <v>2.125</v>
      </c>
      <c r="D1461" s="33">
        <f>INDEX('ZCB Curve - Payment Dates'!$D$2:$D$246,MATCH(B1461,'ZCB Curve - Payment Dates'!$A$2:$A$246,0))</f>
        <v>0.82827715028796722</v>
      </c>
      <c r="E1461" s="32">
        <f t="shared" si="22"/>
        <v>1.7600889443619303</v>
      </c>
    </row>
    <row r="1462" spans="1:5" x14ac:dyDescent="0.25">
      <c r="A1462" s="17">
        <v>245</v>
      </c>
      <c r="B1462" s="31">
        <v>47983</v>
      </c>
      <c r="C1462" s="32">
        <f>INDEX('Input Data'!$B:$B,A1462)/2+IF(A1462&lt;&gt;A1463,100,0)</f>
        <v>2.125</v>
      </c>
      <c r="D1462" s="33">
        <f>INDEX('ZCB Curve - Payment Dates'!$D$2:$D$246,MATCH(B1462,'ZCB Curve - Payment Dates'!$A$2:$A$246,0))</f>
        <v>0.80939067484273564</v>
      </c>
      <c r="E1462" s="32">
        <f t="shared" si="22"/>
        <v>1.7199551840408132</v>
      </c>
    </row>
    <row r="1463" spans="1:5" x14ac:dyDescent="0.25">
      <c r="A1463" s="17">
        <v>245</v>
      </c>
      <c r="B1463" s="31">
        <v>48167</v>
      </c>
      <c r="C1463" s="32">
        <f>INDEX('Input Data'!$B:$B,A1463)/2+IF(A1463&lt;&gt;A1464,100,0)</f>
        <v>2.125</v>
      </c>
      <c r="D1463" s="33">
        <f>INDEX('ZCB Curve - Payment Dates'!$D$2:$D$246,MATCH(B1463,'ZCB Curve - Payment Dates'!$A$2:$A$246,0))</f>
        <v>0.79053567842581962</v>
      </c>
      <c r="E1463" s="32">
        <f t="shared" si="22"/>
        <v>1.6798883166548666</v>
      </c>
    </row>
    <row r="1464" spans="1:5" x14ac:dyDescent="0.25">
      <c r="A1464" s="17">
        <v>245</v>
      </c>
      <c r="B1464" s="31">
        <v>48349</v>
      </c>
      <c r="C1464" s="32">
        <f>INDEX('Input Data'!$B:$B,A1464)/2+IF(A1464&lt;&gt;A1465,100,0)</f>
        <v>2.125</v>
      </c>
      <c r="D1464" s="33">
        <f>INDEX('ZCB Curve - Payment Dates'!$D$2:$D$246,MATCH(B1464,'ZCB Curve - Payment Dates'!$A$2:$A$246,0))</f>
        <v>0.77217305702007488</v>
      </c>
      <c r="E1464" s="32">
        <f t="shared" si="22"/>
        <v>1.6408677461676591</v>
      </c>
    </row>
    <row r="1465" spans="1:5" x14ac:dyDescent="0.25">
      <c r="A1465" s="17">
        <v>245</v>
      </c>
      <c r="B1465" s="31">
        <v>48533</v>
      </c>
      <c r="C1465" s="32">
        <f>INDEX('Input Data'!$B:$B,A1465)/2+IF(A1465&lt;&gt;A1466,100,0)</f>
        <v>2.125</v>
      </c>
      <c r="D1465" s="33">
        <f>INDEX('ZCB Curve - Payment Dates'!$D$2:$D$246,MATCH(B1465,'ZCB Curve - Payment Dates'!$A$2:$A$246,0))</f>
        <v>0.75384766072076514</v>
      </c>
      <c r="E1465" s="32">
        <f t="shared" si="22"/>
        <v>1.601926279031626</v>
      </c>
    </row>
    <row r="1466" spans="1:5" x14ac:dyDescent="0.25">
      <c r="A1466" s="17">
        <v>245</v>
      </c>
      <c r="B1466" s="31">
        <v>48714</v>
      </c>
      <c r="C1466" s="32">
        <f>INDEX('Input Data'!$B:$B,A1466)/2+IF(A1466&lt;&gt;A1467,100,0)</f>
        <v>2.125</v>
      </c>
      <c r="D1466" s="33">
        <f>INDEX('ZCB Curve - Payment Dates'!$D$2:$D$246,MATCH(B1466,'ZCB Curve - Payment Dates'!$A$2:$A$246,0))</f>
        <v>0.73601491848746747</v>
      </c>
      <c r="E1466" s="32">
        <f t="shared" si="22"/>
        <v>1.5640317017858685</v>
      </c>
    </row>
    <row r="1467" spans="1:5" x14ac:dyDescent="0.25">
      <c r="A1467" s="17">
        <v>245</v>
      </c>
      <c r="B1467" s="31">
        <v>48898</v>
      </c>
      <c r="C1467" s="32">
        <f>INDEX('Input Data'!$B:$B,A1467)/2+IF(A1467&lt;&gt;A1468,100,0)</f>
        <v>2.125</v>
      </c>
      <c r="D1467" s="33">
        <f>INDEX('ZCB Curve - Payment Dates'!$D$2:$D$246,MATCH(B1467,'ZCB Curve - Payment Dates'!$A$2:$A$246,0))</f>
        <v>0.71805338140354003</v>
      </c>
      <c r="E1467" s="32">
        <f t="shared" si="22"/>
        <v>1.5258634354825225</v>
      </c>
    </row>
    <row r="1468" spans="1:5" x14ac:dyDescent="0.25">
      <c r="A1468" s="17">
        <v>245</v>
      </c>
      <c r="B1468" s="31">
        <v>49079</v>
      </c>
      <c r="C1468" s="32">
        <f>INDEX('Input Data'!$B:$B,A1468)/2+IF(A1468&lt;&gt;A1469,100,0)</f>
        <v>2.125</v>
      </c>
      <c r="D1468" s="33">
        <f>INDEX('ZCB Curve - Payment Dates'!$D$2:$D$246,MATCH(B1468,'ZCB Curve - Payment Dates'!$A$2:$A$246,0))</f>
        <v>0.70052630492471468</v>
      </c>
      <c r="E1468" s="32">
        <f t="shared" si="22"/>
        <v>1.4886183979650187</v>
      </c>
    </row>
    <row r="1469" spans="1:5" x14ac:dyDescent="0.25">
      <c r="A1469" s="17">
        <v>245</v>
      </c>
      <c r="B1469" s="31">
        <v>49263</v>
      </c>
      <c r="C1469" s="32">
        <f>INDEX('Input Data'!$B:$B,A1469)/2+IF(A1469&lt;&gt;A1470,100,0)</f>
        <v>102.125</v>
      </c>
      <c r="D1469" s="33">
        <f>INDEX('ZCB Curve - Payment Dates'!$D$2:$D$246,MATCH(B1469,'ZCB Curve - Payment Dates'!$A$2:$A$246,0))</f>
        <v>0.68284221202539863</v>
      </c>
      <c r="E1469" s="32">
        <f t="shared" si="22"/>
        <v>69.735260903093831</v>
      </c>
    </row>
    <row r="1470" spans="1:5" x14ac:dyDescent="0.25">
      <c r="A1470" s="17">
        <v>246</v>
      </c>
      <c r="B1470" s="31">
        <v>46433</v>
      </c>
      <c r="C1470" s="32">
        <f>INDEX('Input Data'!$B:$B,A1470)/2+IF(A1470&lt;&gt;A1471,100,0)</f>
        <v>2.3125</v>
      </c>
      <c r="D1470" s="33">
        <f>INDEX('ZCB Curve - Payment Dates'!$D$2:$D$246,MATCH(B1470,'ZCB Curve - Payment Dates'!$A$2:$A$246,0))</f>
        <v>0.98242671792446301</v>
      </c>
      <c r="E1470" s="32">
        <f t="shared" si="22"/>
        <v>2.2718617852003207</v>
      </c>
    </row>
    <row r="1471" spans="1:5" x14ac:dyDescent="0.25">
      <c r="A1471" s="17">
        <v>246</v>
      </c>
      <c r="B1471" s="31">
        <v>46614</v>
      </c>
      <c r="C1471" s="32">
        <f>INDEX('Input Data'!$B:$B,A1471)/2+IF(A1471&lt;&gt;A1472,100,0)</f>
        <v>2.3125</v>
      </c>
      <c r="D1471" s="33">
        <f>INDEX('ZCB Curve - Payment Dates'!$D$2:$D$246,MATCH(B1471,'ZCB Curve - Payment Dates'!$A$2:$A$246,0))</f>
        <v>0.96187948164765535</v>
      </c>
      <c r="E1471" s="32">
        <f t="shared" si="22"/>
        <v>2.2243463013102032</v>
      </c>
    </row>
    <row r="1472" spans="1:5" x14ac:dyDescent="0.25">
      <c r="A1472" s="17">
        <v>246</v>
      </c>
      <c r="B1472" s="31">
        <v>46798</v>
      </c>
      <c r="C1472" s="32">
        <f>INDEX('Input Data'!$B:$B,A1472)/2+IF(A1472&lt;&gt;A1473,100,0)</f>
        <v>2.3125</v>
      </c>
      <c r="D1472" s="33">
        <f>INDEX('ZCB Curve - Payment Dates'!$D$2:$D$246,MATCH(B1472,'ZCB Curve - Payment Dates'!$A$2:$A$246,0))</f>
        <v>0.94049096132648802</v>
      </c>
      <c r="E1472" s="32">
        <f t="shared" si="22"/>
        <v>2.1748853480675034</v>
      </c>
    </row>
    <row r="1473" spans="1:5" x14ac:dyDescent="0.25">
      <c r="A1473" s="17">
        <v>246</v>
      </c>
      <c r="B1473" s="31">
        <v>46980</v>
      </c>
      <c r="C1473" s="32">
        <f>INDEX('Input Data'!$B:$B,A1473)/2+IF(A1473&lt;&gt;A1474,100,0)</f>
        <v>2.3125</v>
      </c>
      <c r="D1473" s="33">
        <f>INDEX('ZCB Curve - Payment Dates'!$D$2:$D$246,MATCH(B1473,'ZCB Curve - Payment Dates'!$A$2:$A$246,0))</f>
        <v>0.91931844130238327</v>
      </c>
      <c r="E1473" s="32">
        <f t="shared" si="22"/>
        <v>2.1259238955117614</v>
      </c>
    </row>
    <row r="1474" spans="1:5" x14ac:dyDescent="0.25">
      <c r="A1474" s="17">
        <v>246</v>
      </c>
      <c r="B1474" s="31">
        <v>47164</v>
      </c>
      <c r="C1474" s="32">
        <f>INDEX('Input Data'!$B:$B,A1474)/2+IF(A1474&lt;&gt;A1475,100,0)</f>
        <v>2.3125</v>
      </c>
      <c r="D1474" s="33">
        <f>INDEX('ZCB Curve - Payment Dates'!$D$2:$D$246,MATCH(B1474,'ZCB Curve - Payment Dates'!$A$2:$A$246,0))</f>
        <v>0.89817430058086534</v>
      </c>
      <c r="E1474" s="32">
        <f t="shared" ref="E1474:E1537" si="23">C1474*D1474</f>
        <v>2.0770280700932511</v>
      </c>
    </row>
    <row r="1475" spans="1:5" x14ac:dyDescent="0.25">
      <c r="A1475" s="17">
        <v>246</v>
      </c>
      <c r="B1475" s="31">
        <v>47345</v>
      </c>
      <c r="C1475" s="32">
        <f>INDEX('Input Data'!$B:$B,A1475)/2+IF(A1475&lt;&gt;A1476,100,0)</f>
        <v>2.3125</v>
      </c>
      <c r="D1475" s="33">
        <f>INDEX('ZCB Curve - Payment Dates'!$D$2:$D$246,MATCH(B1475,'ZCB Curve - Payment Dates'!$A$2:$A$246,0))</f>
        <v>0.87778421628860481</v>
      </c>
      <c r="E1475" s="32">
        <f t="shared" si="23"/>
        <v>2.0298760001673988</v>
      </c>
    </row>
    <row r="1476" spans="1:5" x14ac:dyDescent="0.25">
      <c r="A1476" s="17">
        <v>246</v>
      </c>
      <c r="B1476" s="31">
        <v>47529</v>
      </c>
      <c r="C1476" s="32">
        <f>INDEX('Input Data'!$B:$B,A1476)/2+IF(A1476&lt;&gt;A1477,100,0)</f>
        <v>2.3125</v>
      </c>
      <c r="D1476" s="33">
        <f>INDEX('ZCB Curve - Payment Dates'!$D$2:$D$246,MATCH(B1476,'ZCB Curve - Payment Dates'!$A$2:$A$246,0))</f>
        <v>0.85751015570959666</v>
      </c>
      <c r="E1476" s="32">
        <f t="shared" si="23"/>
        <v>1.9829922350784424</v>
      </c>
    </row>
    <row r="1477" spans="1:5" x14ac:dyDescent="0.25">
      <c r="A1477" s="17">
        <v>246</v>
      </c>
      <c r="B1477" s="31">
        <v>47710</v>
      </c>
      <c r="C1477" s="32">
        <f>INDEX('Input Data'!$B:$B,A1477)/2+IF(A1477&lt;&gt;A1478,100,0)</f>
        <v>2.3125</v>
      </c>
      <c r="D1477" s="33">
        <f>INDEX('ZCB Curve - Payment Dates'!$D$2:$D$246,MATCH(B1477,'ZCB Curve - Payment Dates'!$A$2:$A$246,0))</f>
        <v>0.83802423748211174</v>
      </c>
      <c r="E1477" s="32">
        <f t="shared" si="23"/>
        <v>1.9379310491773833</v>
      </c>
    </row>
    <row r="1478" spans="1:5" x14ac:dyDescent="0.25">
      <c r="A1478" s="17">
        <v>246</v>
      </c>
      <c r="B1478" s="31">
        <v>47894</v>
      </c>
      <c r="C1478" s="32">
        <f>INDEX('Input Data'!$B:$B,A1478)/2+IF(A1478&lt;&gt;A1479,100,0)</f>
        <v>2.3125</v>
      </c>
      <c r="D1478" s="33">
        <f>INDEX('ZCB Curve - Payment Dates'!$D$2:$D$246,MATCH(B1478,'ZCB Curve - Payment Dates'!$A$2:$A$246,0))</f>
        <v>0.8186305474741673</v>
      </c>
      <c r="E1478" s="32">
        <f t="shared" si="23"/>
        <v>1.8930831410340119</v>
      </c>
    </row>
    <row r="1479" spans="1:5" x14ac:dyDescent="0.25">
      <c r="A1479" s="17">
        <v>246</v>
      </c>
      <c r="B1479" s="31">
        <v>48075</v>
      </c>
      <c r="C1479" s="32">
        <f>INDEX('Input Data'!$B:$B,A1479)/2+IF(A1479&lt;&gt;A1480,100,0)</f>
        <v>2.3125</v>
      </c>
      <c r="D1479" s="33">
        <f>INDEX('ZCB Curve - Payment Dates'!$D$2:$D$246,MATCH(B1479,'ZCB Curve - Payment Dates'!$A$2:$A$246,0))</f>
        <v>0.7999252334775927</v>
      </c>
      <c r="E1479" s="32">
        <f t="shared" si="23"/>
        <v>1.849827102416933</v>
      </c>
    </row>
    <row r="1480" spans="1:5" x14ac:dyDescent="0.25">
      <c r="A1480" s="17">
        <v>246</v>
      </c>
      <c r="B1480" s="31">
        <v>48259</v>
      </c>
      <c r="C1480" s="32">
        <f>INDEX('Input Data'!$B:$B,A1480)/2+IF(A1480&lt;&gt;A1481,100,0)</f>
        <v>2.3125</v>
      </c>
      <c r="D1480" s="33">
        <f>INDEX('ZCB Curve - Payment Dates'!$D$2:$D$246,MATCH(B1480,'ZCB Curve - Payment Dates'!$A$2:$A$246,0))</f>
        <v>0.78121887027612602</v>
      </c>
      <c r="E1480" s="32">
        <f t="shared" si="23"/>
        <v>1.8065686375135415</v>
      </c>
    </row>
    <row r="1481" spans="1:5" x14ac:dyDescent="0.25">
      <c r="A1481" s="17">
        <v>246</v>
      </c>
      <c r="B1481" s="31">
        <v>48441</v>
      </c>
      <c r="C1481" s="32">
        <f>INDEX('Input Data'!$B:$B,A1481)/2+IF(A1481&lt;&gt;A1482,100,0)</f>
        <v>2.3125</v>
      </c>
      <c r="D1481" s="33">
        <f>INDEX('ZCB Curve - Payment Dates'!$D$2:$D$246,MATCH(B1481,'ZCB Curve - Payment Dates'!$A$2:$A$246,0))</f>
        <v>0.76298123459017864</v>
      </c>
      <c r="E1481" s="32">
        <f t="shared" si="23"/>
        <v>1.764394104989788</v>
      </c>
    </row>
    <row r="1482" spans="1:5" x14ac:dyDescent="0.25">
      <c r="A1482" s="17">
        <v>246</v>
      </c>
      <c r="B1482" s="31">
        <v>48625</v>
      </c>
      <c r="C1482" s="32">
        <f>INDEX('Input Data'!$B:$B,A1482)/2+IF(A1482&lt;&gt;A1483,100,0)</f>
        <v>2.3125</v>
      </c>
      <c r="D1482" s="33">
        <f>INDEX('ZCB Curve - Payment Dates'!$D$2:$D$246,MATCH(B1482,'ZCB Curve - Payment Dates'!$A$2:$A$246,0))</f>
        <v>0.74476011611938586</v>
      </c>
      <c r="E1482" s="32">
        <f t="shared" si="23"/>
        <v>1.7222577685260798</v>
      </c>
    </row>
    <row r="1483" spans="1:5" x14ac:dyDescent="0.25">
      <c r="A1483" s="17">
        <v>246</v>
      </c>
      <c r="B1483" s="31">
        <v>48806</v>
      </c>
      <c r="C1483" s="32">
        <f>INDEX('Input Data'!$B:$B,A1483)/2+IF(A1483&lt;&gt;A1484,100,0)</f>
        <v>2.3125</v>
      </c>
      <c r="D1483" s="33">
        <f>INDEX('ZCB Curve - Payment Dates'!$D$2:$D$246,MATCH(B1483,'ZCB Curve - Payment Dates'!$A$2:$A$246,0))</f>
        <v>0.72701302496114584</v>
      </c>
      <c r="E1483" s="32">
        <f t="shared" si="23"/>
        <v>1.6812176202226496</v>
      </c>
    </row>
    <row r="1484" spans="1:5" x14ac:dyDescent="0.25">
      <c r="A1484" s="17">
        <v>246</v>
      </c>
      <c r="B1484" s="31">
        <v>48990</v>
      </c>
      <c r="C1484" s="32">
        <f>INDEX('Input Data'!$B:$B,A1484)/2+IF(A1484&lt;&gt;A1485,100,0)</f>
        <v>2.3125</v>
      </c>
      <c r="D1484" s="33">
        <f>INDEX('ZCB Curve - Payment Dates'!$D$2:$D$246,MATCH(B1484,'ZCB Curve - Payment Dates'!$A$2:$A$246,0))</f>
        <v>0.70912647031380449</v>
      </c>
      <c r="E1484" s="32">
        <f t="shared" si="23"/>
        <v>1.6398549626006729</v>
      </c>
    </row>
    <row r="1485" spans="1:5" x14ac:dyDescent="0.25">
      <c r="A1485" s="17">
        <v>246</v>
      </c>
      <c r="B1485" s="31">
        <v>49171</v>
      </c>
      <c r="C1485" s="32">
        <f>INDEX('Input Data'!$B:$B,A1485)/2+IF(A1485&lt;&gt;A1486,100,0)</f>
        <v>2.3125</v>
      </c>
      <c r="D1485" s="33">
        <f>INDEX('ZCB Curve - Payment Dates'!$D$2:$D$246,MATCH(B1485,'ZCB Curve - Payment Dates'!$A$2:$A$246,0))</f>
        <v>0.6916661505723215</v>
      </c>
      <c r="E1485" s="32">
        <f t="shared" si="23"/>
        <v>1.5994779731984934</v>
      </c>
    </row>
    <row r="1486" spans="1:5" x14ac:dyDescent="0.25">
      <c r="A1486" s="17">
        <v>246</v>
      </c>
      <c r="B1486" s="31">
        <v>49355</v>
      </c>
      <c r="C1486" s="32">
        <f>INDEX('Input Data'!$B:$B,A1486)/2+IF(A1486&lt;&gt;A1487,100,0)</f>
        <v>102.3125</v>
      </c>
      <c r="D1486" s="33">
        <f>INDEX('ZCB Curve - Payment Dates'!$D$2:$D$246,MATCH(B1486,'ZCB Curve - Payment Dates'!$A$2:$A$246,0))</f>
        <v>0.674047377898778</v>
      </c>
      <c r="E1486" s="32">
        <f t="shared" si="23"/>
        <v>68.96347235126872</v>
      </c>
    </row>
    <row r="1487" spans="1:5" x14ac:dyDescent="0.25">
      <c r="A1487" s="17">
        <v>247</v>
      </c>
      <c r="B1487" s="31">
        <v>46341</v>
      </c>
      <c r="C1487" s="32">
        <f>INDEX('Input Data'!$B:$B,A1487)/2+IF(A1487&lt;&gt;A1488,100,0)</f>
        <v>2.125</v>
      </c>
      <c r="D1487" s="33">
        <f>INDEX('ZCB Curve - Payment Dates'!$D$2:$D$246,MATCH(B1487,'ZCB Curve - Payment Dates'!$A$2:$A$246,0))</f>
        <v>0.99245367292309439</v>
      </c>
      <c r="E1487" s="32">
        <f t="shared" si="23"/>
        <v>2.1089640549615756</v>
      </c>
    </row>
    <row r="1488" spans="1:5" x14ac:dyDescent="0.25">
      <c r="A1488" s="17">
        <v>247</v>
      </c>
      <c r="B1488" s="31">
        <v>46522</v>
      </c>
      <c r="C1488" s="32">
        <f>INDEX('Input Data'!$B:$B,A1488)/2+IF(A1488&lt;&gt;A1489,100,0)</f>
        <v>2.125</v>
      </c>
      <c r="D1488" s="33">
        <f>INDEX('ZCB Curve - Payment Dates'!$D$2:$D$246,MATCH(B1488,'ZCB Curve - Payment Dates'!$A$2:$A$246,0))</f>
        <v>0.97242179559611874</v>
      </c>
      <c r="E1488" s="32">
        <f t="shared" si="23"/>
        <v>2.0663963156417524</v>
      </c>
    </row>
    <row r="1489" spans="1:5" x14ac:dyDescent="0.25">
      <c r="A1489" s="17">
        <v>247</v>
      </c>
      <c r="B1489" s="31">
        <v>46706</v>
      </c>
      <c r="C1489" s="32">
        <f>INDEX('Input Data'!$B:$B,A1489)/2+IF(A1489&lt;&gt;A1490,100,0)</f>
        <v>2.125</v>
      </c>
      <c r="D1489" s="33">
        <f>INDEX('ZCB Curve - Payment Dates'!$D$2:$D$246,MATCH(B1489,'ZCB Curve - Payment Dates'!$A$2:$A$246,0))</f>
        <v>0.95121018311627348</v>
      </c>
      <c r="E1489" s="32">
        <f t="shared" si="23"/>
        <v>2.021321639122081</v>
      </c>
    </row>
    <row r="1490" spans="1:5" x14ac:dyDescent="0.25">
      <c r="A1490" s="17">
        <v>247</v>
      </c>
      <c r="B1490" s="31">
        <v>46888</v>
      </c>
      <c r="C1490" s="32">
        <f>INDEX('Input Data'!$B:$B,A1490)/2+IF(A1490&lt;&gt;A1491,100,0)</f>
        <v>2.125</v>
      </c>
      <c r="D1490" s="33">
        <f>INDEX('ZCB Curve - Payment Dates'!$D$2:$D$246,MATCH(B1490,'ZCB Curve - Payment Dates'!$A$2:$A$246,0))</f>
        <v>0.93000025435083566</v>
      </c>
      <c r="E1490" s="32">
        <f t="shared" si="23"/>
        <v>1.9762505404955257</v>
      </c>
    </row>
    <row r="1491" spans="1:5" x14ac:dyDescent="0.25">
      <c r="A1491" s="17">
        <v>247</v>
      </c>
      <c r="B1491" s="31">
        <v>47072</v>
      </c>
      <c r="C1491" s="32">
        <f>INDEX('Input Data'!$B:$B,A1491)/2+IF(A1491&lt;&gt;A1492,100,0)</f>
        <v>2.125</v>
      </c>
      <c r="D1491" s="33">
        <f>INDEX('ZCB Curve - Payment Dates'!$D$2:$D$246,MATCH(B1491,'ZCB Curve - Payment Dates'!$A$2:$A$246,0))</f>
        <v>0.90870125167038918</v>
      </c>
      <c r="E1491" s="32">
        <f t="shared" si="23"/>
        <v>1.9309901597995771</v>
      </c>
    </row>
    <row r="1492" spans="1:5" x14ac:dyDescent="0.25">
      <c r="A1492" s="17">
        <v>247</v>
      </c>
      <c r="B1492" s="31">
        <v>47253</v>
      </c>
      <c r="C1492" s="32">
        <f>INDEX('Input Data'!$B:$B,A1492)/2+IF(A1492&lt;&gt;A1493,100,0)</f>
        <v>2.125</v>
      </c>
      <c r="D1492" s="33">
        <f>INDEX('ZCB Curve - Payment Dates'!$D$2:$D$246,MATCH(B1492,'ZCB Curve - Payment Dates'!$A$2:$A$246,0))</f>
        <v>0.88809325063638844</v>
      </c>
      <c r="E1492" s="32">
        <f t="shared" si="23"/>
        <v>1.8871981576023253</v>
      </c>
    </row>
    <row r="1493" spans="1:5" x14ac:dyDescent="0.25">
      <c r="A1493" s="17">
        <v>247</v>
      </c>
      <c r="B1493" s="31">
        <v>47437</v>
      </c>
      <c r="C1493" s="32">
        <f>INDEX('Input Data'!$B:$B,A1493)/2+IF(A1493&lt;&gt;A1494,100,0)</f>
        <v>2.125</v>
      </c>
      <c r="D1493" s="33">
        <f>INDEX('ZCB Curve - Payment Dates'!$D$2:$D$246,MATCH(B1493,'ZCB Curve - Payment Dates'!$A$2:$A$246,0))</f>
        <v>0.86758824089536279</v>
      </c>
      <c r="E1493" s="32">
        <f t="shared" si="23"/>
        <v>1.8436250119026458</v>
      </c>
    </row>
    <row r="1494" spans="1:5" x14ac:dyDescent="0.25">
      <c r="A1494" s="17">
        <v>247</v>
      </c>
      <c r="B1494" s="31">
        <v>47618</v>
      </c>
      <c r="C1494" s="32">
        <f>INDEX('Input Data'!$B:$B,A1494)/2+IF(A1494&lt;&gt;A1495,100,0)</f>
        <v>2.125</v>
      </c>
      <c r="D1494" s="33">
        <f>INDEX('ZCB Curve - Payment Dates'!$D$2:$D$246,MATCH(B1494,'ZCB Curve - Payment Dates'!$A$2:$A$246,0))</f>
        <v>0.84787416911783064</v>
      </c>
      <c r="E1494" s="32">
        <f t="shared" si="23"/>
        <v>1.80173260937539</v>
      </c>
    </row>
    <row r="1495" spans="1:5" x14ac:dyDescent="0.25">
      <c r="A1495" s="17">
        <v>247</v>
      </c>
      <c r="B1495" s="31">
        <v>47802</v>
      </c>
      <c r="C1495" s="32">
        <f>INDEX('Input Data'!$B:$B,A1495)/2+IF(A1495&lt;&gt;A1496,100,0)</f>
        <v>2.125</v>
      </c>
      <c r="D1495" s="33">
        <f>INDEX('ZCB Curve - Payment Dates'!$D$2:$D$246,MATCH(B1495,'ZCB Curve - Payment Dates'!$A$2:$A$246,0))</f>
        <v>0.82827715028796722</v>
      </c>
      <c r="E1495" s="32">
        <f t="shared" si="23"/>
        <v>1.7600889443619303</v>
      </c>
    </row>
    <row r="1496" spans="1:5" x14ac:dyDescent="0.25">
      <c r="A1496" s="17">
        <v>247</v>
      </c>
      <c r="B1496" s="31">
        <v>47983</v>
      </c>
      <c r="C1496" s="32">
        <f>INDEX('Input Data'!$B:$B,A1496)/2+IF(A1496&lt;&gt;A1497,100,0)</f>
        <v>2.125</v>
      </c>
      <c r="D1496" s="33">
        <f>INDEX('ZCB Curve - Payment Dates'!$D$2:$D$246,MATCH(B1496,'ZCB Curve - Payment Dates'!$A$2:$A$246,0))</f>
        <v>0.80939067484273564</v>
      </c>
      <c r="E1496" s="32">
        <f t="shared" si="23"/>
        <v>1.7199551840408132</v>
      </c>
    </row>
    <row r="1497" spans="1:5" x14ac:dyDescent="0.25">
      <c r="A1497" s="17">
        <v>247</v>
      </c>
      <c r="B1497" s="31">
        <v>48167</v>
      </c>
      <c r="C1497" s="32">
        <f>INDEX('Input Data'!$B:$B,A1497)/2+IF(A1497&lt;&gt;A1498,100,0)</f>
        <v>2.125</v>
      </c>
      <c r="D1497" s="33">
        <f>INDEX('ZCB Curve - Payment Dates'!$D$2:$D$246,MATCH(B1497,'ZCB Curve - Payment Dates'!$A$2:$A$246,0))</f>
        <v>0.79053567842581962</v>
      </c>
      <c r="E1497" s="32">
        <f t="shared" si="23"/>
        <v>1.6798883166548666</v>
      </c>
    </row>
    <row r="1498" spans="1:5" x14ac:dyDescent="0.25">
      <c r="A1498" s="17">
        <v>247</v>
      </c>
      <c r="B1498" s="31">
        <v>48349</v>
      </c>
      <c r="C1498" s="32">
        <f>INDEX('Input Data'!$B:$B,A1498)/2+IF(A1498&lt;&gt;A1499,100,0)</f>
        <v>2.125</v>
      </c>
      <c r="D1498" s="33">
        <f>INDEX('ZCB Curve - Payment Dates'!$D$2:$D$246,MATCH(B1498,'ZCB Curve - Payment Dates'!$A$2:$A$246,0))</f>
        <v>0.77217305702007488</v>
      </c>
      <c r="E1498" s="32">
        <f t="shared" si="23"/>
        <v>1.6408677461676591</v>
      </c>
    </row>
    <row r="1499" spans="1:5" x14ac:dyDescent="0.25">
      <c r="A1499" s="17">
        <v>247</v>
      </c>
      <c r="B1499" s="31">
        <v>48533</v>
      </c>
      <c r="C1499" s="32">
        <f>INDEX('Input Data'!$B:$B,A1499)/2+IF(A1499&lt;&gt;A1500,100,0)</f>
        <v>2.125</v>
      </c>
      <c r="D1499" s="33">
        <f>INDEX('ZCB Curve - Payment Dates'!$D$2:$D$246,MATCH(B1499,'ZCB Curve - Payment Dates'!$A$2:$A$246,0))</f>
        <v>0.75384766072076514</v>
      </c>
      <c r="E1499" s="32">
        <f t="shared" si="23"/>
        <v>1.601926279031626</v>
      </c>
    </row>
    <row r="1500" spans="1:5" x14ac:dyDescent="0.25">
      <c r="A1500" s="17">
        <v>247</v>
      </c>
      <c r="B1500" s="31">
        <v>48714</v>
      </c>
      <c r="C1500" s="32">
        <f>INDEX('Input Data'!$B:$B,A1500)/2+IF(A1500&lt;&gt;A1501,100,0)</f>
        <v>2.125</v>
      </c>
      <c r="D1500" s="33">
        <f>INDEX('ZCB Curve - Payment Dates'!$D$2:$D$246,MATCH(B1500,'ZCB Curve - Payment Dates'!$A$2:$A$246,0))</f>
        <v>0.73601491848746747</v>
      </c>
      <c r="E1500" s="32">
        <f t="shared" si="23"/>
        <v>1.5640317017858685</v>
      </c>
    </row>
    <row r="1501" spans="1:5" x14ac:dyDescent="0.25">
      <c r="A1501" s="17">
        <v>247</v>
      </c>
      <c r="B1501" s="31">
        <v>48898</v>
      </c>
      <c r="C1501" s="32">
        <f>INDEX('Input Data'!$B:$B,A1501)/2+IF(A1501&lt;&gt;A1502,100,0)</f>
        <v>2.125</v>
      </c>
      <c r="D1501" s="33">
        <f>INDEX('ZCB Curve - Payment Dates'!$D$2:$D$246,MATCH(B1501,'ZCB Curve - Payment Dates'!$A$2:$A$246,0))</f>
        <v>0.71805338140354003</v>
      </c>
      <c r="E1501" s="32">
        <f t="shared" si="23"/>
        <v>1.5258634354825225</v>
      </c>
    </row>
    <row r="1502" spans="1:5" x14ac:dyDescent="0.25">
      <c r="A1502" s="17">
        <v>247</v>
      </c>
      <c r="B1502" s="31">
        <v>49079</v>
      </c>
      <c r="C1502" s="32">
        <f>INDEX('Input Data'!$B:$B,A1502)/2+IF(A1502&lt;&gt;A1503,100,0)</f>
        <v>2.125</v>
      </c>
      <c r="D1502" s="33">
        <f>INDEX('ZCB Curve - Payment Dates'!$D$2:$D$246,MATCH(B1502,'ZCB Curve - Payment Dates'!$A$2:$A$246,0))</f>
        <v>0.70052630492471468</v>
      </c>
      <c r="E1502" s="32">
        <f t="shared" si="23"/>
        <v>1.4886183979650187</v>
      </c>
    </row>
    <row r="1503" spans="1:5" x14ac:dyDescent="0.25">
      <c r="A1503" s="17">
        <v>247</v>
      </c>
      <c r="B1503" s="31">
        <v>49263</v>
      </c>
      <c r="C1503" s="32">
        <f>INDEX('Input Data'!$B:$B,A1503)/2+IF(A1503&lt;&gt;A1504,100,0)</f>
        <v>2.125</v>
      </c>
      <c r="D1503" s="33">
        <f>INDEX('ZCB Curve - Payment Dates'!$D$2:$D$246,MATCH(B1503,'ZCB Curve - Payment Dates'!$A$2:$A$246,0))</f>
        <v>0.68284221202539863</v>
      </c>
      <c r="E1503" s="32">
        <f t="shared" si="23"/>
        <v>1.4510397005539721</v>
      </c>
    </row>
    <row r="1504" spans="1:5" x14ac:dyDescent="0.25">
      <c r="A1504" s="17">
        <v>247</v>
      </c>
      <c r="B1504" s="31">
        <v>49444</v>
      </c>
      <c r="C1504" s="32">
        <f>INDEX('Input Data'!$B:$B,A1504)/2+IF(A1504&lt;&gt;A1505,100,0)</f>
        <v>102.125</v>
      </c>
      <c r="D1504" s="33">
        <f>INDEX('ZCB Curve - Payment Dates'!$D$2:$D$246,MATCH(B1504,'ZCB Curve - Payment Dates'!$A$2:$A$246,0))</f>
        <v>0.66557347415228496</v>
      </c>
      <c r="E1504" s="32">
        <f t="shared" si="23"/>
        <v>67.971691047802096</v>
      </c>
    </row>
    <row r="1505" spans="1:5" x14ac:dyDescent="0.25">
      <c r="A1505" s="17">
        <v>248</v>
      </c>
      <c r="B1505" s="31">
        <v>46433</v>
      </c>
      <c r="C1505" s="32">
        <f>INDEX('Input Data'!$B:$B,A1505)/2+IF(A1505&lt;&gt;A1506,100,0)</f>
        <v>2.125</v>
      </c>
      <c r="D1505" s="33">
        <f>INDEX('ZCB Curve - Payment Dates'!$D$2:$D$246,MATCH(B1505,'ZCB Curve - Payment Dates'!$A$2:$A$246,0))</f>
        <v>0.98242671792446301</v>
      </c>
      <c r="E1505" s="32">
        <f t="shared" si="23"/>
        <v>2.0876567755894837</v>
      </c>
    </row>
    <row r="1506" spans="1:5" x14ac:dyDescent="0.25">
      <c r="A1506" s="17">
        <v>248</v>
      </c>
      <c r="B1506" s="31">
        <v>46614</v>
      </c>
      <c r="C1506" s="32">
        <f>INDEX('Input Data'!$B:$B,A1506)/2+IF(A1506&lt;&gt;A1507,100,0)</f>
        <v>2.125</v>
      </c>
      <c r="D1506" s="33">
        <f>INDEX('ZCB Curve - Payment Dates'!$D$2:$D$246,MATCH(B1506,'ZCB Curve - Payment Dates'!$A$2:$A$246,0))</f>
        <v>0.96187948164765535</v>
      </c>
      <c r="E1506" s="32">
        <f t="shared" si="23"/>
        <v>2.0439938985012676</v>
      </c>
    </row>
    <row r="1507" spans="1:5" x14ac:dyDescent="0.25">
      <c r="A1507" s="17">
        <v>248</v>
      </c>
      <c r="B1507" s="31">
        <v>46798</v>
      </c>
      <c r="C1507" s="32">
        <f>INDEX('Input Data'!$B:$B,A1507)/2+IF(A1507&lt;&gt;A1508,100,0)</f>
        <v>2.125</v>
      </c>
      <c r="D1507" s="33">
        <f>INDEX('ZCB Curve - Payment Dates'!$D$2:$D$246,MATCH(B1507,'ZCB Curve - Payment Dates'!$A$2:$A$246,0))</f>
        <v>0.94049096132648802</v>
      </c>
      <c r="E1507" s="32">
        <f t="shared" si="23"/>
        <v>1.998543292818787</v>
      </c>
    </row>
    <row r="1508" spans="1:5" x14ac:dyDescent="0.25">
      <c r="A1508" s="17">
        <v>248</v>
      </c>
      <c r="B1508" s="31">
        <v>46980</v>
      </c>
      <c r="C1508" s="32">
        <f>INDEX('Input Data'!$B:$B,A1508)/2+IF(A1508&lt;&gt;A1509,100,0)</f>
        <v>2.125</v>
      </c>
      <c r="D1508" s="33">
        <f>INDEX('ZCB Curve - Payment Dates'!$D$2:$D$246,MATCH(B1508,'ZCB Curve - Payment Dates'!$A$2:$A$246,0))</f>
        <v>0.91931844130238327</v>
      </c>
      <c r="E1508" s="32">
        <f t="shared" si="23"/>
        <v>1.9535516877675645</v>
      </c>
    </row>
    <row r="1509" spans="1:5" x14ac:dyDescent="0.25">
      <c r="A1509" s="17">
        <v>248</v>
      </c>
      <c r="B1509" s="31">
        <v>47164</v>
      </c>
      <c r="C1509" s="32">
        <f>INDEX('Input Data'!$B:$B,A1509)/2+IF(A1509&lt;&gt;A1510,100,0)</f>
        <v>2.125</v>
      </c>
      <c r="D1509" s="33">
        <f>INDEX('ZCB Curve - Payment Dates'!$D$2:$D$246,MATCH(B1509,'ZCB Curve - Payment Dates'!$A$2:$A$246,0))</f>
        <v>0.89817430058086534</v>
      </c>
      <c r="E1509" s="32">
        <f t="shared" si="23"/>
        <v>1.9086203887343389</v>
      </c>
    </row>
    <row r="1510" spans="1:5" x14ac:dyDescent="0.25">
      <c r="A1510" s="17">
        <v>248</v>
      </c>
      <c r="B1510" s="31">
        <v>47345</v>
      </c>
      <c r="C1510" s="32">
        <f>INDEX('Input Data'!$B:$B,A1510)/2+IF(A1510&lt;&gt;A1511,100,0)</f>
        <v>2.125</v>
      </c>
      <c r="D1510" s="33">
        <f>INDEX('ZCB Curve - Payment Dates'!$D$2:$D$246,MATCH(B1510,'ZCB Curve - Payment Dates'!$A$2:$A$246,0))</f>
        <v>0.87778421628860481</v>
      </c>
      <c r="E1510" s="32">
        <f t="shared" si="23"/>
        <v>1.8652914596132852</v>
      </c>
    </row>
    <row r="1511" spans="1:5" x14ac:dyDescent="0.25">
      <c r="A1511" s="17">
        <v>248</v>
      </c>
      <c r="B1511" s="31">
        <v>47529</v>
      </c>
      <c r="C1511" s="32">
        <f>INDEX('Input Data'!$B:$B,A1511)/2+IF(A1511&lt;&gt;A1512,100,0)</f>
        <v>2.125</v>
      </c>
      <c r="D1511" s="33">
        <f>INDEX('ZCB Curve - Payment Dates'!$D$2:$D$246,MATCH(B1511,'ZCB Curve - Payment Dates'!$A$2:$A$246,0))</f>
        <v>0.85751015570959666</v>
      </c>
      <c r="E1511" s="32">
        <f t="shared" si="23"/>
        <v>1.8222090808828928</v>
      </c>
    </row>
    <row r="1512" spans="1:5" x14ac:dyDescent="0.25">
      <c r="A1512" s="17">
        <v>248</v>
      </c>
      <c r="B1512" s="31">
        <v>47710</v>
      </c>
      <c r="C1512" s="32">
        <f>INDEX('Input Data'!$B:$B,A1512)/2+IF(A1512&lt;&gt;A1513,100,0)</f>
        <v>2.125</v>
      </c>
      <c r="D1512" s="33">
        <f>INDEX('ZCB Curve - Payment Dates'!$D$2:$D$246,MATCH(B1512,'ZCB Curve - Payment Dates'!$A$2:$A$246,0))</f>
        <v>0.83802423748211174</v>
      </c>
      <c r="E1512" s="32">
        <f t="shared" si="23"/>
        <v>1.7808015046494874</v>
      </c>
    </row>
    <row r="1513" spans="1:5" x14ac:dyDescent="0.25">
      <c r="A1513" s="17">
        <v>248</v>
      </c>
      <c r="B1513" s="31">
        <v>47894</v>
      </c>
      <c r="C1513" s="32">
        <f>INDEX('Input Data'!$B:$B,A1513)/2+IF(A1513&lt;&gt;A1514,100,0)</f>
        <v>2.125</v>
      </c>
      <c r="D1513" s="33">
        <f>INDEX('ZCB Curve - Payment Dates'!$D$2:$D$246,MATCH(B1513,'ZCB Curve - Payment Dates'!$A$2:$A$246,0))</f>
        <v>0.8186305474741673</v>
      </c>
      <c r="E1513" s="32">
        <f t="shared" si="23"/>
        <v>1.7395899133826056</v>
      </c>
    </row>
    <row r="1514" spans="1:5" x14ac:dyDescent="0.25">
      <c r="A1514" s="17">
        <v>248</v>
      </c>
      <c r="B1514" s="31">
        <v>48075</v>
      </c>
      <c r="C1514" s="32">
        <f>INDEX('Input Data'!$B:$B,A1514)/2+IF(A1514&lt;&gt;A1515,100,0)</f>
        <v>2.125</v>
      </c>
      <c r="D1514" s="33">
        <f>INDEX('ZCB Curve - Payment Dates'!$D$2:$D$246,MATCH(B1514,'ZCB Curve - Payment Dates'!$A$2:$A$246,0))</f>
        <v>0.7999252334775927</v>
      </c>
      <c r="E1514" s="32">
        <f t="shared" si="23"/>
        <v>1.6998411211398845</v>
      </c>
    </row>
    <row r="1515" spans="1:5" x14ac:dyDescent="0.25">
      <c r="A1515" s="17">
        <v>248</v>
      </c>
      <c r="B1515" s="31">
        <v>48259</v>
      </c>
      <c r="C1515" s="32">
        <f>INDEX('Input Data'!$B:$B,A1515)/2+IF(A1515&lt;&gt;A1516,100,0)</f>
        <v>2.125</v>
      </c>
      <c r="D1515" s="33">
        <f>INDEX('ZCB Curve - Payment Dates'!$D$2:$D$246,MATCH(B1515,'ZCB Curve - Payment Dates'!$A$2:$A$246,0))</f>
        <v>0.78121887027612602</v>
      </c>
      <c r="E1515" s="32">
        <f t="shared" si="23"/>
        <v>1.6600900993367678</v>
      </c>
    </row>
    <row r="1516" spans="1:5" x14ac:dyDescent="0.25">
      <c r="A1516" s="17">
        <v>248</v>
      </c>
      <c r="B1516" s="31">
        <v>48441</v>
      </c>
      <c r="C1516" s="32">
        <f>INDEX('Input Data'!$B:$B,A1516)/2+IF(A1516&lt;&gt;A1517,100,0)</f>
        <v>2.125</v>
      </c>
      <c r="D1516" s="33">
        <f>INDEX('ZCB Curve - Payment Dates'!$D$2:$D$246,MATCH(B1516,'ZCB Curve - Payment Dates'!$A$2:$A$246,0))</f>
        <v>0.76298123459017864</v>
      </c>
      <c r="E1516" s="32">
        <f t="shared" si="23"/>
        <v>1.6213351235041296</v>
      </c>
    </row>
    <row r="1517" spans="1:5" x14ac:dyDescent="0.25">
      <c r="A1517" s="17">
        <v>248</v>
      </c>
      <c r="B1517" s="31">
        <v>48625</v>
      </c>
      <c r="C1517" s="32">
        <f>INDEX('Input Data'!$B:$B,A1517)/2+IF(A1517&lt;&gt;A1518,100,0)</f>
        <v>2.125</v>
      </c>
      <c r="D1517" s="33">
        <f>INDEX('ZCB Curve - Payment Dates'!$D$2:$D$246,MATCH(B1517,'ZCB Curve - Payment Dates'!$A$2:$A$246,0))</f>
        <v>0.74476011611938586</v>
      </c>
      <c r="E1517" s="32">
        <f t="shared" si="23"/>
        <v>1.5826152467536949</v>
      </c>
    </row>
    <row r="1518" spans="1:5" x14ac:dyDescent="0.25">
      <c r="A1518" s="17">
        <v>248</v>
      </c>
      <c r="B1518" s="31">
        <v>48806</v>
      </c>
      <c r="C1518" s="32">
        <f>INDEX('Input Data'!$B:$B,A1518)/2+IF(A1518&lt;&gt;A1519,100,0)</f>
        <v>2.125</v>
      </c>
      <c r="D1518" s="33">
        <f>INDEX('ZCB Curve - Payment Dates'!$D$2:$D$246,MATCH(B1518,'ZCB Curve - Payment Dates'!$A$2:$A$246,0))</f>
        <v>0.72701302496114584</v>
      </c>
      <c r="E1518" s="32">
        <f t="shared" si="23"/>
        <v>1.5449026780424349</v>
      </c>
    </row>
    <row r="1519" spans="1:5" x14ac:dyDescent="0.25">
      <c r="A1519" s="17">
        <v>248</v>
      </c>
      <c r="B1519" s="31">
        <v>48990</v>
      </c>
      <c r="C1519" s="32">
        <f>INDEX('Input Data'!$B:$B,A1519)/2+IF(A1519&lt;&gt;A1520,100,0)</f>
        <v>2.125</v>
      </c>
      <c r="D1519" s="33">
        <f>INDEX('ZCB Curve - Payment Dates'!$D$2:$D$246,MATCH(B1519,'ZCB Curve - Payment Dates'!$A$2:$A$246,0))</f>
        <v>0.70912647031380449</v>
      </c>
      <c r="E1519" s="32">
        <f t="shared" si="23"/>
        <v>1.5068937494168346</v>
      </c>
    </row>
    <row r="1520" spans="1:5" x14ac:dyDescent="0.25">
      <c r="A1520" s="17">
        <v>248</v>
      </c>
      <c r="B1520" s="31">
        <v>49171</v>
      </c>
      <c r="C1520" s="32">
        <f>INDEX('Input Data'!$B:$B,A1520)/2+IF(A1520&lt;&gt;A1521,100,0)</f>
        <v>2.125</v>
      </c>
      <c r="D1520" s="33">
        <f>INDEX('ZCB Curve - Payment Dates'!$D$2:$D$246,MATCH(B1520,'ZCB Curve - Payment Dates'!$A$2:$A$246,0))</f>
        <v>0.6916661505723215</v>
      </c>
      <c r="E1520" s="32">
        <f t="shared" si="23"/>
        <v>1.4697905699661833</v>
      </c>
    </row>
    <row r="1521" spans="1:5" x14ac:dyDescent="0.25">
      <c r="A1521" s="17">
        <v>248</v>
      </c>
      <c r="B1521" s="31">
        <v>49355</v>
      </c>
      <c r="C1521" s="32">
        <f>INDEX('Input Data'!$B:$B,A1521)/2+IF(A1521&lt;&gt;A1522,100,0)</f>
        <v>2.125</v>
      </c>
      <c r="D1521" s="33">
        <f>INDEX('ZCB Curve - Payment Dates'!$D$2:$D$246,MATCH(B1521,'ZCB Curve - Payment Dates'!$A$2:$A$246,0))</f>
        <v>0.674047377898778</v>
      </c>
      <c r="E1521" s="32">
        <f t="shared" si="23"/>
        <v>1.4323506780349033</v>
      </c>
    </row>
    <row r="1522" spans="1:5" x14ac:dyDescent="0.25">
      <c r="A1522" s="17">
        <v>248</v>
      </c>
      <c r="B1522" s="31">
        <v>49536</v>
      </c>
      <c r="C1522" s="32">
        <f>INDEX('Input Data'!$B:$B,A1522)/2+IF(A1522&lt;&gt;A1523,100,0)</f>
        <v>102.125</v>
      </c>
      <c r="D1522" s="33">
        <f>INDEX('ZCB Curve - Payment Dates'!$D$2:$D$246,MATCH(B1522,'ZCB Curve - Payment Dates'!$A$2:$A$246,0))</f>
        <v>0.65684432300638129</v>
      </c>
      <c r="E1522" s="32">
        <f t="shared" si="23"/>
        <v>67.080226487026692</v>
      </c>
    </row>
    <row r="1523" spans="1:5" x14ac:dyDescent="0.25">
      <c r="A1523" s="17">
        <v>249</v>
      </c>
      <c r="B1523" s="31">
        <v>46341</v>
      </c>
      <c r="C1523" s="32">
        <f>INDEX('Input Data'!$B:$B,A1523)/2+IF(A1523&lt;&gt;A1524,100,0)</f>
        <v>2</v>
      </c>
      <c r="D1523" s="33">
        <f>INDEX('ZCB Curve - Payment Dates'!$D$2:$D$246,MATCH(B1523,'ZCB Curve - Payment Dates'!$A$2:$A$246,0))</f>
        <v>0.99245367292309439</v>
      </c>
      <c r="E1523" s="32">
        <f t="shared" si="23"/>
        <v>1.9849073458461888</v>
      </c>
    </row>
    <row r="1524" spans="1:5" x14ac:dyDescent="0.25">
      <c r="A1524" s="17">
        <v>249</v>
      </c>
      <c r="B1524" s="31">
        <v>46522</v>
      </c>
      <c r="C1524" s="32">
        <f>INDEX('Input Data'!$B:$B,A1524)/2+IF(A1524&lt;&gt;A1525,100,0)</f>
        <v>2</v>
      </c>
      <c r="D1524" s="33">
        <f>INDEX('ZCB Curve - Payment Dates'!$D$2:$D$246,MATCH(B1524,'ZCB Curve - Payment Dates'!$A$2:$A$246,0))</f>
        <v>0.97242179559611874</v>
      </c>
      <c r="E1524" s="32">
        <f t="shared" si="23"/>
        <v>1.9448435911922375</v>
      </c>
    </row>
    <row r="1525" spans="1:5" x14ac:dyDescent="0.25">
      <c r="A1525" s="17">
        <v>249</v>
      </c>
      <c r="B1525" s="31">
        <v>46706</v>
      </c>
      <c r="C1525" s="32">
        <f>INDEX('Input Data'!$B:$B,A1525)/2+IF(A1525&lt;&gt;A1526,100,0)</f>
        <v>2</v>
      </c>
      <c r="D1525" s="33">
        <f>INDEX('ZCB Curve - Payment Dates'!$D$2:$D$246,MATCH(B1525,'ZCB Curve - Payment Dates'!$A$2:$A$246,0))</f>
        <v>0.95121018311627348</v>
      </c>
      <c r="E1525" s="32">
        <f t="shared" si="23"/>
        <v>1.902420366232547</v>
      </c>
    </row>
    <row r="1526" spans="1:5" x14ac:dyDescent="0.25">
      <c r="A1526" s="17">
        <v>249</v>
      </c>
      <c r="B1526" s="31">
        <v>46888</v>
      </c>
      <c r="C1526" s="32">
        <f>INDEX('Input Data'!$B:$B,A1526)/2+IF(A1526&lt;&gt;A1527,100,0)</f>
        <v>2</v>
      </c>
      <c r="D1526" s="33">
        <f>INDEX('ZCB Curve - Payment Dates'!$D$2:$D$246,MATCH(B1526,'ZCB Curve - Payment Dates'!$A$2:$A$246,0))</f>
        <v>0.93000025435083566</v>
      </c>
      <c r="E1526" s="32">
        <f t="shared" si="23"/>
        <v>1.8600005087016713</v>
      </c>
    </row>
    <row r="1527" spans="1:5" x14ac:dyDescent="0.25">
      <c r="A1527" s="17">
        <v>249</v>
      </c>
      <c r="B1527" s="31">
        <v>47072</v>
      </c>
      <c r="C1527" s="32">
        <f>INDEX('Input Data'!$B:$B,A1527)/2+IF(A1527&lt;&gt;A1528,100,0)</f>
        <v>2</v>
      </c>
      <c r="D1527" s="33">
        <f>INDEX('ZCB Curve - Payment Dates'!$D$2:$D$246,MATCH(B1527,'ZCB Curve - Payment Dates'!$A$2:$A$246,0))</f>
        <v>0.90870125167038918</v>
      </c>
      <c r="E1527" s="32">
        <f t="shared" si="23"/>
        <v>1.8174025033407784</v>
      </c>
    </row>
    <row r="1528" spans="1:5" x14ac:dyDescent="0.25">
      <c r="A1528" s="17">
        <v>249</v>
      </c>
      <c r="B1528" s="31">
        <v>47253</v>
      </c>
      <c r="C1528" s="32">
        <f>INDEX('Input Data'!$B:$B,A1528)/2+IF(A1528&lt;&gt;A1529,100,0)</f>
        <v>2</v>
      </c>
      <c r="D1528" s="33">
        <f>INDEX('ZCB Curve - Payment Dates'!$D$2:$D$246,MATCH(B1528,'ZCB Curve - Payment Dates'!$A$2:$A$246,0))</f>
        <v>0.88809325063638844</v>
      </c>
      <c r="E1528" s="32">
        <f t="shared" si="23"/>
        <v>1.7761865012727769</v>
      </c>
    </row>
    <row r="1529" spans="1:5" x14ac:dyDescent="0.25">
      <c r="A1529" s="17">
        <v>249</v>
      </c>
      <c r="B1529" s="31">
        <v>47437</v>
      </c>
      <c r="C1529" s="32">
        <f>INDEX('Input Data'!$B:$B,A1529)/2+IF(A1529&lt;&gt;A1530,100,0)</f>
        <v>2</v>
      </c>
      <c r="D1529" s="33">
        <f>INDEX('ZCB Curve - Payment Dates'!$D$2:$D$246,MATCH(B1529,'ZCB Curve - Payment Dates'!$A$2:$A$246,0))</f>
        <v>0.86758824089536279</v>
      </c>
      <c r="E1529" s="32">
        <f t="shared" si="23"/>
        <v>1.7351764817907256</v>
      </c>
    </row>
    <row r="1530" spans="1:5" x14ac:dyDescent="0.25">
      <c r="A1530" s="17">
        <v>249</v>
      </c>
      <c r="B1530" s="31">
        <v>47618</v>
      </c>
      <c r="C1530" s="32">
        <f>INDEX('Input Data'!$B:$B,A1530)/2+IF(A1530&lt;&gt;A1531,100,0)</f>
        <v>2</v>
      </c>
      <c r="D1530" s="33">
        <f>INDEX('ZCB Curve - Payment Dates'!$D$2:$D$246,MATCH(B1530,'ZCB Curve - Payment Dates'!$A$2:$A$246,0))</f>
        <v>0.84787416911783064</v>
      </c>
      <c r="E1530" s="32">
        <f t="shared" si="23"/>
        <v>1.6957483382356613</v>
      </c>
    </row>
    <row r="1531" spans="1:5" x14ac:dyDescent="0.25">
      <c r="A1531" s="17">
        <v>249</v>
      </c>
      <c r="B1531" s="31">
        <v>47802</v>
      </c>
      <c r="C1531" s="32">
        <f>INDEX('Input Data'!$B:$B,A1531)/2+IF(A1531&lt;&gt;A1532,100,0)</f>
        <v>2</v>
      </c>
      <c r="D1531" s="33">
        <f>INDEX('ZCB Curve - Payment Dates'!$D$2:$D$246,MATCH(B1531,'ZCB Curve - Payment Dates'!$A$2:$A$246,0))</f>
        <v>0.82827715028796722</v>
      </c>
      <c r="E1531" s="32">
        <f t="shared" si="23"/>
        <v>1.6565543005759344</v>
      </c>
    </row>
    <row r="1532" spans="1:5" x14ac:dyDescent="0.25">
      <c r="A1532" s="17">
        <v>249</v>
      </c>
      <c r="B1532" s="31">
        <v>47983</v>
      </c>
      <c r="C1532" s="32">
        <f>INDEX('Input Data'!$B:$B,A1532)/2+IF(A1532&lt;&gt;A1533,100,0)</f>
        <v>2</v>
      </c>
      <c r="D1532" s="33">
        <f>INDEX('ZCB Curve - Payment Dates'!$D$2:$D$246,MATCH(B1532,'ZCB Curve - Payment Dates'!$A$2:$A$246,0))</f>
        <v>0.80939067484273564</v>
      </c>
      <c r="E1532" s="32">
        <f t="shared" si="23"/>
        <v>1.6187813496854713</v>
      </c>
    </row>
    <row r="1533" spans="1:5" x14ac:dyDescent="0.25">
      <c r="A1533" s="17">
        <v>249</v>
      </c>
      <c r="B1533" s="31">
        <v>48167</v>
      </c>
      <c r="C1533" s="32">
        <f>INDEX('Input Data'!$B:$B,A1533)/2+IF(A1533&lt;&gt;A1534,100,0)</f>
        <v>2</v>
      </c>
      <c r="D1533" s="33">
        <f>INDEX('ZCB Curve - Payment Dates'!$D$2:$D$246,MATCH(B1533,'ZCB Curve - Payment Dates'!$A$2:$A$246,0))</f>
        <v>0.79053567842581962</v>
      </c>
      <c r="E1533" s="32">
        <f t="shared" si="23"/>
        <v>1.5810713568516392</v>
      </c>
    </row>
    <row r="1534" spans="1:5" x14ac:dyDescent="0.25">
      <c r="A1534" s="17">
        <v>249</v>
      </c>
      <c r="B1534" s="31">
        <v>48349</v>
      </c>
      <c r="C1534" s="32">
        <f>INDEX('Input Data'!$B:$B,A1534)/2+IF(A1534&lt;&gt;A1535,100,0)</f>
        <v>2</v>
      </c>
      <c r="D1534" s="33">
        <f>INDEX('ZCB Curve - Payment Dates'!$D$2:$D$246,MATCH(B1534,'ZCB Curve - Payment Dates'!$A$2:$A$246,0))</f>
        <v>0.77217305702007488</v>
      </c>
      <c r="E1534" s="32">
        <f t="shared" si="23"/>
        <v>1.5443461140401498</v>
      </c>
    </row>
    <row r="1535" spans="1:5" x14ac:dyDescent="0.25">
      <c r="A1535" s="17">
        <v>249</v>
      </c>
      <c r="B1535" s="31">
        <v>48533</v>
      </c>
      <c r="C1535" s="32">
        <f>INDEX('Input Data'!$B:$B,A1535)/2+IF(A1535&lt;&gt;A1536,100,0)</f>
        <v>2</v>
      </c>
      <c r="D1535" s="33">
        <f>INDEX('ZCB Curve - Payment Dates'!$D$2:$D$246,MATCH(B1535,'ZCB Curve - Payment Dates'!$A$2:$A$246,0))</f>
        <v>0.75384766072076514</v>
      </c>
      <c r="E1535" s="32">
        <f t="shared" si="23"/>
        <v>1.5076953214415303</v>
      </c>
    </row>
    <row r="1536" spans="1:5" x14ac:dyDescent="0.25">
      <c r="A1536" s="17">
        <v>249</v>
      </c>
      <c r="B1536" s="31">
        <v>48714</v>
      </c>
      <c r="C1536" s="32">
        <f>INDEX('Input Data'!$B:$B,A1536)/2+IF(A1536&lt;&gt;A1537,100,0)</f>
        <v>2</v>
      </c>
      <c r="D1536" s="33">
        <f>INDEX('ZCB Curve - Payment Dates'!$D$2:$D$246,MATCH(B1536,'ZCB Curve - Payment Dates'!$A$2:$A$246,0))</f>
        <v>0.73601491848746747</v>
      </c>
      <c r="E1536" s="32">
        <f t="shared" si="23"/>
        <v>1.4720298369749349</v>
      </c>
    </row>
    <row r="1537" spans="1:5" x14ac:dyDescent="0.25">
      <c r="A1537" s="17">
        <v>249</v>
      </c>
      <c r="B1537" s="31">
        <v>48898</v>
      </c>
      <c r="C1537" s="32">
        <f>INDEX('Input Data'!$B:$B,A1537)/2+IF(A1537&lt;&gt;A1538,100,0)</f>
        <v>2</v>
      </c>
      <c r="D1537" s="33">
        <f>INDEX('ZCB Curve - Payment Dates'!$D$2:$D$246,MATCH(B1537,'ZCB Curve - Payment Dates'!$A$2:$A$246,0))</f>
        <v>0.71805338140354003</v>
      </c>
      <c r="E1537" s="32">
        <f t="shared" si="23"/>
        <v>1.4361067628070801</v>
      </c>
    </row>
    <row r="1538" spans="1:5" x14ac:dyDescent="0.25">
      <c r="A1538" s="17">
        <v>249</v>
      </c>
      <c r="B1538" s="31">
        <v>49079</v>
      </c>
      <c r="C1538" s="32">
        <f>INDEX('Input Data'!$B:$B,A1538)/2+IF(A1538&lt;&gt;A1539,100,0)</f>
        <v>2</v>
      </c>
      <c r="D1538" s="33">
        <f>INDEX('ZCB Curve - Payment Dates'!$D$2:$D$246,MATCH(B1538,'ZCB Curve - Payment Dates'!$A$2:$A$246,0))</f>
        <v>0.70052630492471468</v>
      </c>
      <c r="E1538" s="32">
        <f t="shared" ref="E1538:E1601" si="24">C1538*D1538</f>
        <v>1.4010526098494294</v>
      </c>
    </row>
    <row r="1539" spans="1:5" x14ac:dyDescent="0.25">
      <c r="A1539" s="17">
        <v>249</v>
      </c>
      <c r="B1539" s="31">
        <v>49263</v>
      </c>
      <c r="C1539" s="32">
        <f>INDEX('Input Data'!$B:$B,A1539)/2+IF(A1539&lt;&gt;A1540,100,0)</f>
        <v>2</v>
      </c>
      <c r="D1539" s="33">
        <f>INDEX('ZCB Curve - Payment Dates'!$D$2:$D$246,MATCH(B1539,'ZCB Curve - Payment Dates'!$A$2:$A$246,0))</f>
        <v>0.68284221202539863</v>
      </c>
      <c r="E1539" s="32">
        <f t="shared" si="24"/>
        <v>1.3656844240507973</v>
      </c>
    </row>
    <row r="1540" spans="1:5" x14ac:dyDescent="0.25">
      <c r="A1540" s="17">
        <v>249</v>
      </c>
      <c r="B1540" s="31">
        <v>49444</v>
      </c>
      <c r="C1540" s="32">
        <f>INDEX('Input Data'!$B:$B,A1540)/2+IF(A1540&lt;&gt;A1541,100,0)</f>
        <v>2</v>
      </c>
      <c r="D1540" s="33">
        <f>INDEX('ZCB Curve - Payment Dates'!$D$2:$D$246,MATCH(B1540,'ZCB Curve - Payment Dates'!$A$2:$A$246,0))</f>
        <v>0.66557347415228496</v>
      </c>
      <c r="E1540" s="32">
        <f t="shared" si="24"/>
        <v>1.3311469483045699</v>
      </c>
    </row>
    <row r="1541" spans="1:5" x14ac:dyDescent="0.25">
      <c r="A1541" s="17">
        <v>249</v>
      </c>
      <c r="B1541" s="31">
        <v>49628</v>
      </c>
      <c r="C1541" s="32">
        <f>INDEX('Input Data'!$B:$B,A1541)/2+IF(A1541&lt;&gt;A1542,100,0)</f>
        <v>102</v>
      </c>
      <c r="D1541" s="33">
        <f>INDEX('ZCB Curve - Payment Dates'!$D$2:$D$246,MATCH(B1541,'ZCB Curve - Payment Dates'!$A$2:$A$246,0))</f>
        <v>0.64815361918127823</v>
      </c>
      <c r="E1541" s="32">
        <f t="shared" si="24"/>
        <v>66.111669156490379</v>
      </c>
    </row>
    <row r="1542" spans="1:5" x14ac:dyDescent="0.25">
      <c r="A1542" s="17">
        <v>250</v>
      </c>
      <c r="B1542" s="31">
        <v>46433</v>
      </c>
      <c r="C1542" s="32">
        <f>INDEX('Input Data'!$B:$B,A1542)/2+IF(A1542&lt;&gt;A1543,100,0)</f>
        <v>2.0625</v>
      </c>
      <c r="D1542" s="33">
        <f>INDEX('ZCB Curve - Payment Dates'!$D$2:$D$246,MATCH(B1542,'ZCB Curve - Payment Dates'!$A$2:$A$246,0))</f>
        <v>0.98242671792446301</v>
      </c>
      <c r="E1542" s="32">
        <f t="shared" si="24"/>
        <v>2.0262551057192049</v>
      </c>
    </row>
    <row r="1543" spans="1:5" x14ac:dyDescent="0.25">
      <c r="A1543" s="17">
        <v>250</v>
      </c>
      <c r="B1543" s="31">
        <v>46614</v>
      </c>
      <c r="C1543" s="32">
        <f>INDEX('Input Data'!$B:$B,A1543)/2+IF(A1543&lt;&gt;A1544,100,0)</f>
        <v>2.0625</v>
      </c>
      <c r="D1543" s="33">
        <f>INDEX('ZCB Curve - Payment Dates'!$D$2:$D$246,MATCH(B1543,'ZCB Curve - Payment Dates'!$A$2:$A$246,0))</f>
        <v>0.96187948164765535</v>
      </c>
      <c r="E1543" s="32">
        <f t="shared" si="24"/>
        <v>1.9838764308982892</v>
      </c>
    </row>
    <row r="1544" spans="1:5" x14ac:dyDescent="0.25">
      <c r="A1544" s="17">
        <v>250</v>
      </c>
      <c r="B1544" s="31">
        <v>46798</v>
      </c>
      <c r="C1544" s="32">
        <f>INDEX('Input Data'!$B:$B,A1544)/2+IF(A1544&lt;&gt;A1545,100,0)</f>
        <v>2.0625</v>
      </c>
      <c r="D1544" s="33">
        <f>INDEX('ZCB Curve - Payment Dates'!$D$2:$D$246,MATCH(B1544,'ZCB Curve - Payment Dates'!$A$2:$A$246,0))</f>
        <v>0.94049096132648802</v>
      </c>
      <c r="E1544" s="32">
        <f t="shared" si="24"/>
        <v>1.9397626077358816</v>
      </c>
    </row>
    <row r="1545" spans="1:5" x14ac:dyDescent="0.25">
      <c r="A1545" s="17">
        <v>250</v>
      </c>
      <c r="B1545" s="31">
        <v>46980</v>
      </c>
      <c r="C1545" s="32">
        <f>INDEX('Input Data'!$B:$B,A1545)/2+IF(A1545&lt;&gt;A1546,100,0)</f>
        <v>2.0625</v>
      </c>
      <c r="D1545" s="33">
        <f>INDEX('ZCB Curve - Payment Dates'!$D$2:$D$246,MATCH(B1545,'ZCB Curve - Payment Dates'!$A$2:$A$246,0))</f>
        <v>0.91931844130238327</v>
      </c>
      <c r="E1545" s="32">
        <f t="shared" si="24"/>
        <v>1.8960942851861655</v>
      </c>
    </row>
    <row r="1546" spans="1:5" x14ac:dyDescent="0.25">
      <c r="A1546" s="17">
        <v>250</v>
      </c>
      <c r="B1546" s="31">
        <v>47164</v>
      </c>
      <c r="C1546" s="32">
        <f>INDEX('Input Data'!$B:$B,A1546)/2+IF(A1546&lt;&gt;A1547,100,0)</f>
        <v>2.0625</v>
      </c>
      <c r="D1546" s="33">
        <f>INDEX('ZCB Curve - Payment Dates'!$D$2:$D$246,MATCH(B1546,'ZCB Curve - Payment Dates'!$A$2:$A$246,0))</f>
        <v>0.89817430058086534</v>
      </c>
      <c r="E1546" s="32">
        <f t="shared" si="24"/>
        <v>1.8524844949480348</v>
      </c>
    </row>
    <row r="1547" spans="1:5" x14ac:dyDescent="0.25">
      <c r="A1547" s="17">
        <v>250</v>
      </c>
      <c r="B1547" s="31">
        <v>47345</v>
      </c>
      <c r="C1547" s="32">
        <f>INDEX('Input Data'!$B:$B,A1547)/2+IF(A1547&lt;&gt;A1548,100,0)</f>
        <v>2.0625</v>
      </c>
      <c r="D1547" s="33">
        <f>INDEX('ZCB Curve - Payment Dates'!$D$2:$D$246,MATCH(B1547,'ZCB Curve - Payment Dates'!$A$2:$A$246,0))</f>
        <v>0.87778421628860481</v>
      </c>
      <c r="E1547" s="32">
        <f t="shared" si="24"/>
        <v>1.8104299460952473</v>
      </c>
    </row>
    <row r="1548" spans="1:5" x14ac:dyDescent="0.25">
      <c r="A1548" s="17">
        <v>250</v>
      </c>
      <c r="B1548" s="31">
        <v>47529</v>
      </c>
      <c r="C1548" s="32">
        <f>INDEX('Input Data'!$B:$B,A1548)/2+IF(A1548&lt;&gt;A1549,100,0)</f>
        <v>2.0625</v>
      </c>
      <c r="D1548" s="33">
        <f>INDEX('ZCB Curve - Payment Dates'!$D$2:$D$246,MATCH(B1548,'ZCB Curve - Payment Dates'!$A$2:$A$246,0))</f>
        <v>0.85751015570959666</v>
      </c>
      <c r="E1548" s="32">
        <f t="shared" si="24"/>
        <v>1.7686146961510432</v>
      </c>
    </row>
    <row r="1549" spans="1:5" x14ac:dyDescent="0.25">
      <c r="A1549" s="17">
        <v>250</v>
      </c>
      <c r="B1549" s="31">
        <v>47710</v>
      </c>
      <c r="C1549" s="32">
        <f>INDEX('Input Data'!$B:$B,A1549)/2+IF(A1549&lt;&gt;A1550,100,0)</f>
        <v>2.0625</v>
      </c>
      <c r="D1549" s="33">
        <f>INDEX('ZCB Curve - Payment Dates'!$D$2:$D$246,MATCH(B1549,'ZCB Curve - Payment Dates'!$A$2:$A$246,0))</f>
        <v>0.83802423748211174</v>
      </c>
      <c r="E1549" s="32">
        <f t="shared" si="24"/>
        <v>1.7284249898068555</v>
      </c>
    </row>
    <row r="1550" spans="1:5" x14ac:dyDescent="0.25">
      <c r="A1550" s="17">
        <v>250</v>
      </c>
      <c r="B1550" s="31">
        <v>47894</v>
      </c>
      <c r="C1550" s="32">
        <f>INDEX('Input Data'!$B:$B,A1550)/2+IF(A1550&lt;&gt;A1551,100,0)</f>
        <v>2.0625</v>
      </c>
      <c r="D1550" s="33">
        <f>INDEX('ZCB Curve - Payment Dates'!$D$2:$D$246,MATCH(B1550,'ZCB Curve - Payment Dates'!$A$2:$A$246,0))</f>
        <v>0.8186305474741673</v>
      </c>
      <c r="E1550" s="32">
        <f t="shared" si="24"/>
        <v>1.6884255041654701</v>
      </c>
    </row>
    <row r="1551" spans="1:5" x14ac:dyDescent="0.25">
      <c r="A1551" s="17">
        <v>250</v>
      </c>
      <c r="B1551" s="31">
        <v>48075</v>
      </c>
      <c r="C1551" s="32">
        <f>INDEX('Input Data'!$B:$B,A1551)/2+IF(A1551&lt;&gt;A1552,100,0)</f>
        <v>2.0625</v>
      </c>
      <c r="D1551" s="33">
        <f>INDEX('ZCB Curve - Payment Dates'!$D$2:$D$246,MATCH(B1551,'ZCB Curve - Payment Dates'!$A$2:$A$246,0))</f>
        <v>0.7999252334775927</v>
      </c>
      <c r="E1551" s="32">
        <f t="shared" si="24"/>
        <v>1.6498457940475348</v>
      </c>
    </row>
    <row r="1552" spans="1:5" x14ac:dyDescent="0.25">
      <c r="A1552" s="17">
        <v>250</v>
      </c>
      <c r="B1552" s="31">
        <v>48259</v>
      </c>
      <c r="C1552" s="32">
        <f>INDEX('Input Data'!$B:$B,A1552)/2+IF(A1552&lt;&gt;A1553,100,0)</f>
        <v>2.0625</v>
      </c>
      <c r="D1552" s="33">
        <f>INDEX('ZCB Curve - Payment Dates'!$D$2:$D$246,MATCH(B1552,'ZCB Curve - Payment Dates'!$A$2:$A$246,0))</f>
        <v>0.78121887027612602</v>
      </c>
      <c r="E1552" s="32">
        <f t="shared" si="24"/>
        <v>1.61126391994451</v>
      </c>
    </row>
    <row r="1553" spans="1:5" x14ac:dyDescent="0.25">
      <c r="A1553" s="17">
        <v>250</v>
      </c>
      <c r="B1553" s="31">
        <v>48441</v>
      </c>
      <c r="C1553" s="32">
        <f>INDEX('Input Data'!$B:$B,A1553)/2+IF(A1553&lt;&gt;A1554,100,0)</f>
        <v>2.0625</v>
      </c>
      <c r="D1553" s="33">
        <f>INDEX('ZCB Curve - Payment Dates'!$D$2:$D$246,MATCH(B1553,'ZCB Curve - Payment Dates'!$A$2:$A$246,0))</f>
        <v>0.76298123459017864</v>
      </c>
      <c r="E1553" s="32">
        <f t="shared" si="24"/>
        <v>1.5736487963422434</v>
      </c>
    </row>
    <row r="1554" spans="1:5" x14ac:dyDescent="0.25">
      <c r="A1554" s="17">
        <v>250</v>
      </c>
      <c r="B1554" s="31">
        <v>48625</v>
      </c>
      <c r="C1554" s="32">
        <f>INDEX('Input Data'!$B:$B,A1554)/2+IF(A1554&lt;&gt;A1555,100,0)</f>
        <v>2.0625</v>
      </c>
      <c r="D1554" s="33">
        <f>INDEX('ZCB Curve - Payment Dates'!$D$2:$D$246,MATCH(B1554,'ZCB Curve - Payment Dates'!$A$2:$A$246,0))</f>
        <v>0.74476011611938586</v>
      </c>
      <c r="E1554" s="32">
        <f t="shared" si="24"/>
        <v>1.5360677394962334</v>
      </c>
    </row>
    <row r="1555" spans="1:5" x14ac:dyDescent="0.25">
      <c r="A1555" s="17">
        <v>250</v>
      </c>
      <c r="B1555" s="31">
        <v>48806</v>
      </c>
      <c r="C1555" s="32">
        <f>INDEX('Input Data'!$B:$B,A1555)/2+IF(A1555&lt;&gt;A1556,100,0)</f>
        <v>2.0625</v>
      </c>
      <c r="D1555" s="33">
        <f>INDEX('ZCB Curve - Payment Dates'!$D$2:$D$246,MATCH(B1555,'ZCB Curve - Payment Dates'!$A$2:$A$246,0))</f>
        <v>0.72701302496114584</v>
      </c>
      <c r="E1555" s="32">
        <f t="shared" si="24"/>
        <v>1.4994643639823633</v>
      </c>
    </row>
    <row r="1556" spans="1:5" x14ac:dyDescent="0.25">
      <c r="A1556" s="17">
        <v>250</v>
      </c>
      <c r="B1556" s="31">
        <v>48990</v>
      </c>
      <c r="C1556" s="32">
        <f>INDEX('Input Data'!$B:$B,A1556)/2+IF(A1556&lt;&gt;A1557,100,0)</f>
        <v>2.0625</v>
      </c>
      <c r="D1556" s="33">
        <f>INDEX('ZCB Curve - Payment Dates'!$D$2:$D$246,MATCH(B1556,'ZCB Curve - Payment Dates'!$A$2:$A$246,0))</f>
        <v>0.70912647031380449</v>
      </c>
      <c r="E1556" s="32">
        <f t="shared" si="24"/>
        <v>1.4625733450222218</v>
      </c>
    </row>
    <row r="1557" spans="1:5" x14ac:dyDescent="0.25">
      <c r="A1557" s="17">
        <v>250</v>
      </c>
      <c r="B1557" s="31">
        <v>49171</v>
      </c>
      <c r="C1557" s="32">
        <f>INDEX('Input Data'!$B:$B,A1557)/2+IF(A1557&lt;&gt;A1558,100,0)</f>
        <v>2.0625</v>
      </c>
      <c r="D1557" s="33">
        <f>INDEX('ZCB Curve - Payment Dates'!$D$2:$D$246,MATCH(B1557,'ZCB Curve - Payment Dates'!$A$2:$A$246,0))</f>
        <v>0.6916661505723215</v>
      </c>
      <c r="E1557" s="32">
        <f t="shared" si="24"/>
        <v>1.426561435555413</v>
      </c>
    </row>
    <row r="1558" spans="1:5" x14ac:dyDescent="0.25">
      <c r="A1558" s="17">
        <v>250</v>
      </c>
      <c r="B1558" s="31">
        <v>49355</v>
      </c>
      <c r="C1558" s="32">
        <f>INDEX('Input Data'!$B:$B,A1558)/2+IF(A1558&lt;&gt;A1559,100,0)</f>
        <v>2.0625</v>
      </c>
      <c r="D1558" s="33">
        <f>INDEX('ZCB Curve - Payment Dates'!$D$2:$D$246,MATCH(B1558,'ZCB Curve - Payment Dates'!$A$2:$A$246,0))</f>
        <v>0.674047377898778</v>
      </c>
      <c r="E1558" s="32">
        <f t="shared" si="24"/>
        <v>1.3902227169162296</v>
      </c>
    </row>
    <row r="1559" spans="1:5" x14ac:dyDescent="0.25">
      <c r="A1559" s="17">
        <v>250</v>
      </c>
      <c r="B1559" s="31">
        <v>49536</v>
      </c>
      <c r="C1559" s="32">
        <f>INDEX('Input Data'!$B:$B,A1559)/2+IF(A1559&lt;&gt;A1560,100,0)</f>
        <v>2.0625</v>
      </c>
      <c r="D1559" s="33">
        <f>INDEX('ZCB Curve - Payment Dates'!$D$2:$D$246,MATCH(B1559,'ZCB Curve - Payment Dates'!$A$2:$A$246,0))</f>
        <v>0.65684432300638129</v>
      </c>
      <c r="E1559" s="32">
        <f t="shared" si="24"/>
        <v>1.3547414162006615</v>
      </c>
    </row>
    <row r="1560" spans="1:5" x14ac:dyDescent="0.25">
      <c r="A1560" s="17">
        <v>250</v>
      </c>
      <c r="B1560" s="31">
        <v>49720</v>
      </c>
      <c r="C1560" s="32">
        <f>INDEX('Input Data'!$B:$B,A1560)/2+IF(A1560&lt;&gt;A1561,100,0)</f>
        <v>102.0625</v>
      </c>
      <c r="D1560" s="33">
        <f>INDEX('ZCB Curve - Payment Dates'!$D$2:$D$246,MATCH(B1560,'ZCB Curve - Payment Dates'!$A$2:$A$246,0))</f>
        <v>0.63949604524993764</v>
      </c>
      <c r="E1560" s="32">
        <f t="shared" si="24"/>
        <v>65.26856511832176</v>
      </c>
    </row>
    <row r="1561" spans="1:5" x14ac:dyDescent="0.25">
      <c r="A1561" s="17">
        <v>251</v>
      </c>
      <c r="B1561" s="31">
        <v>46433</v>
      </c>
      <c r="C1561" s="32">
        <f>INDEX('Input Data'!$B:$B,A1561)/2+IF(A1561&lt;&gt;A1562,100,0)</f>
        <v>2.25</v>
      </c>
      <c r="D1561" s="33">
        <f>INDEX('ZCB Curve - Payment Dates'!$D$2:$D$246,MATCH(B1561,'ZCB Curve - Payment Dates'!$A$2:$A$246,0))</f>
        <v>0.98242671792446301</v>
      </c>
      <c r="E1561" s="32">
        <f t="shared" si="24"/>
        <v>2.2104601153300418</v>
      </c>
    </row>
    <row r="1562" spans="1:5" x14ac:dyDescent="0.25">
      <c r="A1562" s="17">
        <v>251</v>
      </c>
      <c r="B1562" s="31">
        <v>46614</v>
      </c>
      <c r="C1562" s="32">
        <f>INDEX('Input Data'!$B:$B,A1562)/2+IF(A1562&lt;&gt;A1563,100,0)</f>
        <v>2.25</v>
      </c>
      <c r="D1562" s="33">
        <f>INDEX('ZCB Curve - Payment Dates'!$D$2:$D$246,MATCH(B1562,'ZCB Curve - Payment Dates'!$A$2:$A$246,0))</f>
        <v>0.96187948164765535</v>
      </c>
      <c r="E1562" s="32">
        <f t="shared" si="24"/>
        <v>2.1642288337072246</v>
      </c>
    </row>
    <row r="1563" spans="1:5" x14ac:dyDescent="0.25">
      <c r="A1563" s="17">
        <v>251</v>
      </c>
      <c r="B1563" s="31">
        <v>46798</v>
      </c>
      <c r="C1563" s="32">
        <f>INDEX('Input Data'!$B:$B,A1563)/2+IF(A1563&lt;&gt;A1564,100,0)</f>
        <v>2.25</v>
      </c>
      <c r="D1563" s="33">
        <f>INDEX('ZCB Curve - Payment Dates'!$D$2:$D$246,MATCH(B1563,'ZCB Curve - Payment Dates'!$A$2:$A$246,0))</f>
        <v>0.94049096132648802</v>
      </c>
      <c r="E1563" s="32">
        <f t="shared" si="24"/>
        <v>2.1161046629845979</v>
      </c>
    </row>
    <row r="1564" spans="1:5" x14ac:dyDescent="0.25">
      <c r="A1564" s="17">
        <v>251</v>
      </c>
      <c r="B1564" s="31">
        <v>46980</v>
      </c>
      <c r="C1564" s="32">
        <f>INDEX('Input Data'!$B:$B,A1564)/2+IF(A1564&lt;&gt;A1565,100,0)</f>
        <v>2.25</v>
      </c>
      <c r="D1564" s="33">
        <f>INDEX('ZCB Curve - Payment Dates'!$D$2:$D$246,MATCH(B1564,'ZCB Curve - Payment Dates'!$A$2:$A$246,0))</f>
        <v>0.91931844130238327</v>
      </c>
      <c r="E1564" s="32">
        <f t="shared" si="24"/>
        <v>2.0684664929303622</v>
      </c>
    </row>
    <row r="1565" spans="1:5" x14ac:dyDescent="0.25">
      <c r="A1565" s="17">
        <v>251</v>
      </c>
      <c r="B1565" s="31">
        <v>47164</v>
      </c>
      <c r="C1565" s="32">
        <f>INDEX('Input Data'!$B:$B,A1565)/2+IF(A1565&lt;&gt;A1566,100,0)</f>
        <v>2.25</v>
      </c>
      <c r="D1565" s="33">
        <f>INDEX('ZCB Curve - Payment Dates'!$D$2:$D$246,MATCH(B1565,'ZCB Curve - Payment Dates'!$A$2:$A$246,0))</f>
        <v>0.89817430058086534</v>
      </c>
      <c r="E1565" s="32">
        <f t="shared" si="24"/>
        <v>2.0208921763069472</v>
      </c>
    </row>
    <row r="1566" spans="1:5" x14ac:dyDescent="0.25">
      <c r="A1566" s="17">
        <v>251</v>
      </c>
      <c r="B1566" s="31">
        <v>47345</v>
      </c>
      <c r="C1566" s="32">
        <f>INDEX('Input Data'!$B:$B,A1566)/2+IF(A1566&lt;&gt;A1567,100,0)</f>
        <v>2.25</v>
      </c>
      <c r="D1566" s="33">
        <f>INDEX('ZCB Curve - Payment Dates'!$D$2:$D$246,MATCH(B1566,'ZCB Curve - Payment Dates'!$A$2:$A$246,0))</f>
        <v>0.87778421628860481</v>
      </c>
      <c r="E1566" s="32">
        <f t="shared" si="24"/>
        <v>1.9750144866493609</v>
      </c>
    </row>
    <row r="1567" spans="1:5" x14ac:dyDescent="0.25">
      <c r="A1567" s="17">
        <v>251</v>
      </c>
      <c r="B1567" s="31">
        <v>47529</v>
      </c>
      <c r="C1567" s="32">
        <f>INDEX('Input Data'!$B:$B,A1567)/2+IF(A1567&lt;&gt;A1568,100,0)</f>
        <v>2.25</v>
      </c>
      <c r="D1567" s="33">
        <f>INDEX('ZCB Curve - Payment Dates'!$D$2:$D$246,MATCH(B1567,'ZCB Curve - Payment Dates'!$A$2:$A$246,0))</f>
        <v>0.85751015570959666</v>
      </c>
      <c r="E1567" s="32">
        <f t="shared" si="24"/>
        <v>1.9293978503465925</v>
      </c>
    </row>
    <row r="1568" spans="1:5" x14ac:dyDescent="0.25">
      <c r="A1568" s="17">
        <v>251</v>
      </c>
      <c r="B1568" s="31">
        <v>47710</v>
      </c>
      <c r="C1568" s="32">
        <f>INDEX('Input Data'!$B:$B,A1568)/2+IF(A1568&lt;&gt;A1569,100,0)</f>
        <v>2.25</v>
      </c>
      <c r="D1568" s="33">
        <f>INDEX('ZCB Curve - Payment Dates'!$D$2:$D$246,MATCH(B1568,'ZCB Curve - Payment Dates'!$A$2:$A$246,0))</f>
        <v>0.83802423748211174</v>
      </c>
      <c r="E1568" s="32">
        <f t="shared" si="24"/>
        <v>1.8855545343347515</v>
      </c>
    </row>
    <row r="1569" spans="1:5" x14ac:dyDescent="0.25">
      <c r="A1569" s="17">
        <v>251</v>
      </c>
      <c r="B1569" s="31">
        <v>47894</v>
      </c>
      <c r="C1569" s="32">
        <f>INDEX('Input Data'!$B:$B,A1569)/2+IF(A1569&lt;&gt;A1570,100,0)</f>
        <v>2.25</v>
      </c>
      <c r="D1569" s="33">
        <f>INDEX('ZCB Curve - Payment Dates'!$D$2:$D$246,MATCH(B1569,'ZCB Curve - Payment Dates'!$A$2:$A$246,0))</f>
        <v>0.8186305474741673</v>
      </c>
      <c r="E1569" s="32">
        <f t="shared" si="24"/>
        <v>1.8419187318168764</v>
      </c>
    </row>
    <row r="1570" spans="1:5" x14ac:dyDescent="0.25">
      <c r="A1570" s="17">
        <v>251</v>
      </c>
      <c r="B1570" s="31">
        <v>48075</v>
      </c>
      <c r="C1570" s="32">
        <f>INDEX('Input Data'!$B:$B,A1570)/2+IF(A1570&lt;&gt;A1571,100,0)</f>
        <v>2.25</v>
      </c>
      <c r="D1570" s="33">
        <f>INDEX('ZCB Curve - Payment Dates'!$D$2:$D$246,MATCH(B1570,'ZCB Curve - Payment Dates'!$A$2:$A$246,0))</f>
        <v>0.7999252334775927</v>
      </c>
      <c r="E1570" s="32">
        <f t="shared" si="24"/>
        <v>1.7998317753245836</v>
      </c>
    </row>
    <row r="1571" spans="1:5" x14ac:dyDescent="0.25">
      <c r="A1571" s="17">
        <v>251</v>
      </c>
      <c r="B1571" s="31">
        <v>48259</v>
      </c>
      <c r="C1571" s="32">
        <f>INDEX('Input Data'!$B:$B,A1571)/2+IF(A1571&lt;&gt;A1572,100,0)</f>
        <v>2.25</v>
      </c>
      <c r="D1571" s="33">
        <f>INDEX('ZCB Curve - Payment Dates'!$D$2:$D$246,MATCH(B1571,'ZCB Curve - Payment Dates'!$A$2:$A$246,0))</f>
        <v>0.78121887027612602</v>
      </c>
      <c r="E1571" s="32">
        <f t="shared" si="24"/>
        <v>1.7577424581212835</v>
      </c>
    </row>
    <row r="1572" spans="1:5" x14ac:dyDescent="0.25">
      <c r="A1572" s="17">
        <v>251</v>
      </c>
      <c r="B1572" s="31">
        <v>48441</v>
      </c>
      <c r="C1572" s="32">
        <f>INDEX('Input Data'!$B:$B,A1572)/2+IF(A1572&lt;&gt;A1573,100,0)</f>
        <v>2.25</v>
      </c>
      <c r="D1572" s="33">
        <f>INDEX('ZCB Curve - Payment Dates'!$D$2:$D$246,MATCH(B1572,'ZCB Curve - Payment Dates'!$A$2:$A$246,0))</f>
        <v>0.76298123459017864</v>
      </c>
      <c r="E1572" s="32">
        <f t="shared" si="24"/>
        <v>1.7167077778279018</v>
      </c>
    </row>
    <row r="1573" spans="1:5" x14ac:dyDescent="0.25">
      <c r="A1573" s="17">
        <v>251</v>
      </c>
      <c r="B1573" s="31">
        <v>48625</v>
      </c>
      <c r="C1573" s="32">
        <f>INDEX('Input Data'!$B:$B,A1573)/2+IF(A1573&lt;&gt;A1574,100,0)</f>
        <v>2.25</v>
      </c>
      <c r="D1573" s="33">
        <f>INDEX('ZCB Curve - Payment Dates'!$D$2:$D$246,MATCH(B1573,'ZCB Curve - Payment Dates'!$A$2:$A$246,0))</f>
        <v>0.74476011611938586</v>
      </c>
      <c r="E1573" s="32">
        <f t="shared" si="24"/>
        <v>1.6757102612686181</v>
      </c>
    </row>
    <row r="1574" spans="1:5" x14ac:dyDescent="0.25">
      <c r="A1574" s="17">
        <v>251</v>
      </c>
      <c r="B1574" s="31">
        <v>48806</v>
      </c>
      <c r="C1574" s="32">
        <f>INDEX('Input Data'!$B:$B,A1574)/2+IF(A1574&lt;&gt;A1575,100,0)</f>
        <v>2.25</v>
      </c>
      <c r="D1574" s="33">
        <f>INDEX('ZCB Curve - Payment Dates'!$D$2:$D$246,MATCH(B1574,'ZCB Curve - Payment Dates'!$A$2:$A$246,0))</f>
        <v>0.72701302496114584</v>
      </c>
      <c r="E1574" s="32">
        <f t="shared" si="24"/>
        <v>1.6357793061625781</v>
      </c>
    </row>
    <row r="1575" spans="1:5" x14ac:dyDescent="0.25">
      <c r="A1575" s="17">
        <v>251</v>
      </c>
      <c r="B1575" s="31">
        <v>48990</v>
      </c>
      <c r="C1575" s="32">
        <f>INDEX('Input Data'!$B:$B,A1575)/2+IF(A1575&lt;&gt;A1576,100,0)</f>
        <v>2.25</v>
      </c>
      <c r="D1575" s="33">
        <f>INDEX('ZCB Curve - Payment Dates'!$D$2:$D$246,MATCH(B1575,'ZCB Curve - Payment Dates'!$A$2:$A$246,0))</f>
        <v>0.70912647031380449</v>
      </c>
      <c r="E1575" s="32">
        <f t="shared" si="24"/>
        <v>1.59553455820606</v>
      </c>
    </row>
    <row r="1576" spans="1:5" x14ac:dyDescent="0.25">
      <c r="A1576" s="17">
        <v>251</v>
      </c>
      <c r="B1576" s="31">
        <v>49171</v>
      </c>
      <c r="C1576" s="32">
        <f>INDEX('Input Data'!$B:$B,A1576)/2+IF(A1576&lt;&gt;A1577,100,0)</f>
        <v>2.25</v>
      </c>
      <c r="D1576" s="33">
        <f>INDEX('ZCB Curve - Payment Dates'!$D$2:$D$246,MATCH(B1576,'ZCB Curve - Payment Dates'!$A$2:$A$246,0))</f>
        <v>0.6916661505723215</v>
      </c>
      <c r="E1576" s="32">
        <f t="shared" si="24"/>
        <v>1.5562488387877234</v>
      </c>
    </row>
    <row r="1577" spans="1:5" x14ac:dyDescent="0.25">
      <c r="A1577" s="17">
        <v>251</v>
      </c>
      <c r="B1577" s="31">
        <v>49355</v>
      </c>
      <c r="C1577" s="32">
        <f>INDEX('Input Data'!$B:$B,A1577)/2+IF(A1577&lt;&gt;A1578,100,0)</f>
        <v>2.25</v>
      </c>
      <c r="D1577" s="33">
        <f>INDEX('ZCB Curve - Payment Dates'!$D$2:$D$246,MATCH(B1577,'ZCB Curve - Payment Dates'!$A$2:$A$246,0))</f>
        <v>0.674047377898778</v>
      </c>
      <c r="E1577" s="32">
        <f t="shared" si="24"/>
        <v>1.5166066002722505</v>
      </c>
    </row>
    <row r="1578" spans="1:5" x14ac:dyDescent="0.25">
      <c r="A1578" s="17">
        <v>251</v>
      </c>
      <c r="B1578" s="31">
        <v>49536</v>
      </c>
      <c r="C1578" s="32">
        <f>INDEX('Input Data'!$B:$B,A1578)/2+IF(A1578&lt;&gt;A1579,100,0)</f>
        <v>2.25</v>
      </c>
      <c r="D1578" s="33">
        <f>INDEX('ZCB Curve - Payment Dates'!$D$2:$D$246,MATCH(B1578,'ZCB Curve - Payment Dates'!$A$2:$A$246,0))</f>
        <v>0.65684432300638129</v>
      </c>
      <c r="E1578" s="32">
        <f t="shared" si="24"/>
        <v>1.4778997267643579</v>
      </c>
    </row>
    <row r="1579" spans="1:5" x14ac:dyDescent="0.25">
      <c r="A1579" s="17">
        <v>251</v>
      </c>
      <c r="B1579" s="31">
        <v>49720</v>
      </c>
      <c r="C1579" s="32">
        <f>INDEX('Input Data'!$B:$B,A1579)/2+IF(A1579&lt;&gt;A1580,100,0)</f>
        <v>102.25</v>
      </c>
      <c r="D1579" s="33">
        <f>INDEX('ZCB Curve - Payment Dates'!$D$2:$D$246,MATCH(B1579,'ZCB Curve - Payment Dates'!$A$2:$A$246,0))</f>
        <v>0.63949604524993764</v>
      </c>
      <c r="E1579" s="32">
        <f t="shared" si="24"/>
        <v>65.388470626806125</v>
      </c>
    </row>
    <row r="1580" spans="1:5" x14ac:dyDescent="0.25">
      <c r="A1580" s="17">
        <v>252</v>
      </c>
      <c r="B1580" s="31">
        <v>46341</v>
      </c>
      <c r="C1580" s="32">
        <f>INDEX('Input Data'!$B:$B,A1580)/2+IF(A1580&lt;&gt;A1581,100,0)</f>
        <v>2.1875</v>
      </c>
      <c r="D1580" s="33">
        <f>INDEX('ZCB Curve - Payment Dates'!$D$2:$D$246,MATCH(B1580,'ZCB Curve - Payment Dates'!$A$2:$A$246,0))</f>
        <v>0.99245367292309439</v>
      </c>
      <c r="E1580" s="32">
        <f t="shared" si="24"/>
        <v>2.1709924095192692</v>
      </c>
    </row>
    <row r="1581" spans="1:5" x14ac:dyDescent="0.25">
      <c r="A1581" s="17">
        <v>252</v>
      </c>
      <c r="B1581" s="31">
        <v>46522</v>
      </c>
      <c r="C1581" s="32">
        <f>INDEX('Input Data'!$B:$B,A1581)/2+IF(A1581&lt;&gt;A1582,100,0)</f>
        <v>2.1875</v>
      </c>
      <c r="D1581" s="33">
        <f>INDEX('ZCB Curve - Payment Dates'!$D$2:$D$246,MATCH(B1581,'ZCB Curve - Payment Dates'!$A$2:$A$246,0))</f>
        <v>0.97242179559611874</v>
      </c>
      <c r="E1581" s="32">
        <f t="shared" si="24"/>
        <v>2.1271726778665099</v>
      </c>
    </row>
    <row r="1582" spans="1:5" x14ac:dyDescent="0.25">
      <c r="A1582" s="17">
        <v>252</v>
      </c>
      <c r="B1582" s="31">
        <v>46706</v>
      </c>
      <c r="C1582" s="32">
        <f>INDEX('Input Data'!$B:$B,A1582)/2+IF(A1582&lt;&gt;A1583,100,0)</f>
        <v>2.1875</v>
      </c>
      <c r="D1582" s="33">
        <f>INDEX('ZCB Curve - Payment Dates'!$D$2:$D$246,MATCH(B1582,'ZCB Curve - Payment Dates'!$A$2:$A$246,0))</f>
        <v>0.95121018311627348</v>
      </c>
      <c r="E1582" s="32">
        <f t="shared" si="24"/>
        <v>2.0807722755668481</v>
      </c>
    </row>
    <row r="1583" spans="1:5" x14ac:dyDescent="0.25">
      <c r="A1583" s="17">
        <v>252</v>
      </c>
      <c r="B1583" s="31">
        <v>46888</v>
      </c>
      <c r="C1583" s="32">
        <f>INDEX('Input Data'!$B:$B,A1583)/2+IF(A1583&lt;&gt;A1584,100,0)</f>
        <v>2.1875</v>
      </c>
      <c r="D1583" s="33">
        <f>INDEX('ZCB Curve - Payment Dates'!$D$2:$D$246,MATCH(B1583,'ZCB Curve - Payment Dates'!$A$2:$A$246,0))</f>
        <v>0.93000025435083566</v>
      </c>
      <c r="E1583" s="32">
        <f t="shared" si="24"/>
        <v>2.0343755563924528</v>
      </c>
    </row>
    <row r="1584" spans="1:5" x14ac:dyDescent="0.25">
      <c r="A1584" s="17">
        <v>252</v>
      </c>
      <c r="B1584" s="31">
        <v>47072</v>
      </c>
      <c r="C1584" s="32">
        <f>INDEX('Input Data'!$B:$B,A1584)/2+IF(A1584&lt;&gt;A1585,100,0)</f>
        <v>2.1875</v>
      </c>
      <c r="D1584" s="33">
        <f>INDEX('ZCB Curve - Payment Dates'!$D$2:$D$246,MATCH(B1584,'ZCB Curve - Payment Dates'!$A$2:$A$246,0))</f>
        <v>0.90870125167038918</v>
      </c>
      <c r="E1584" s="32">
        <f t="shared" si="24"/>
        <v>1.9877839880289763</v>
      </c>
    </row>
    <row r="1585" spans="1:5" x14ac:dyDescent="0.25">
      <c r="A1585" s="17">
        <v>252</v>
      </c>
      <c r="B1585" s="31">
        <v>47253</v>
      </c>
      <c r="C1585" s="32">
        <f>INDEX('Input Data'!$B:$B,A1585)/2+IF(A1585&lt;&gt;A1586,100,0)</f>
        <v>2.1875</v>
      </c>
      <c r="D1585" s="33">
        <f>INDEX('ZCB Curve - Payment Dates'!$D$2:$D$246,MATCH(B1585,'ZCB Curve - Payment Dates'!$A$2:$A$246,0))</f>
        <v>0.88809325063638844</v>
      </c>
      <c r="E1585" s="32">
        <f t="shared" si="24"/>
        <v>1.9427039857670998</v>
      </c>
    </row>
    <row r="1586" spans="1:5" x14ac:dyDescent="0.25">
      <c r="A1586" s="17">
        <v>252</v>
      </c>
      <c r="B1586" s="31">
        <v>47437</v>
      </c>
      <c r="C1586" s="32">
        <f>INDEX('Input Data'!$B:$B,A1586)/2+IF(A1586&lt;&gt;A1587,100,0)</f>
        <v>2.1875</v>
      </c>
      <c r="D1586" s="33">
        <f>INDEX('ZCB Curve - Payment Dates'!$D$2:$D$246,MATCH(B1586,'ZCB Curve - Payment Dates'!$A$2:$A$246,0))</f>
        <v>0.86758824089536279</v>
      </c>
      <c r="E1586" s="32">
        <f t="shared" si="24"/>
        <v>1.8978492769586062</v>
      </c>
    </row>
    <row r="1587" spans="1:5" x14ac:dyDescent="0.25">
      <c r="A1587" s="17">
        <v>252</v>
      </c>
      <c r="B1587" s="31">
        <v>47618</v>
      </c>
      <c r="C1587" s="32">
        <f>INDEX('Input Data'!$B:$B,A1587)/2+IF(A1587&lt;&gt;A1588,100,0)</f>
        <v>2.1875</v>
      </c>
      <c r="D1587" s="33">
        <f>INDEX('ZCB Curve - Payment Dates'!$D$2:$D$246,MATCH(B1587,'ZCB Curve - Payment Dates'!$A$2:$A$246,0))</f>
        <v>0.84787416911783064</v>
      </c>
      <c r="E1587" s="32">
        <f t="shared" si="24"/>
        <v>1.8547247449452546</v>
      </c>
    </row>
    <row r="1588" spans="1:5" x14ac:dyDescent="0.25">
      <c r="A1588" s="17">
        <v>252</v>
      </c>
      <c r="B1588" s="31">
        <v>47802</v>
      </c>
      <c r="C1588" s="32">
        <f>INDEX('Input Data'!$B:$B,A1588)/2+IF(A1588&lt;&gt;A1589,100,0)</f>
        <v>2.1875</v>
      </c>
      <c r="D1588" s="33">
        <f>INDEX('ZCB Curve - Payment Dates'!$D$2:$D$246,MATCH(B1588,'ZCB Curve - Payment Dates'!$A$2:$A$246,0))</f>
        <v>0.82827715028796722</v>
      </c>
      <c r="E1588" s="32">
        <f t="shared" si="24"/>
        <v>1.8118562662549282</v>
      </c>
    </row>
    <row r="1589" spans="1:5" x14ac:dyDescent="0.25">
      <c r="A1589" s="17">
        <v>252</v>
      </c>
      <c r="B1589" s="31">
        <v>47983</v>
      </c>
      <c r="C1589" s="32">
        <f>INDEX('Input Data'!$B:$B,A1589)/2+IF(A1589&lt;&gt;A1590,100,0)</f>
        <v>2.1875</v>
      </c>
      <c r="D1589" s="33">
        <f>INDEX('ZCB Curve - Payment Dates'!$D$2:$D$246,MATCH(B1589,'ZCB Curve - Payment Dates'!$A$2:$A$246,0))</f>
        <v>0.80939067484273564</v>
      </c>
      <c r="E1589" s="32">
        <f t="shared" si="24"/>
        <v>1.7705421012184841</v>
      </c>
    </row>
    <row r="1590" spans="1:5" x14ac:dyDescent="0.25">
      <c r="A1590" s="17">
        <v>252</v>
      </c>
      <c r="B1590" s="31">
        <v>48167</v>
      </c>
      <c r="C1590" s="32">
        <f>INDEX('Input Data'!$B:$B,A1590)/2+IF(A1590&lt;&gt;A1591,100,0)</f>
        <v>2.1875</v>
      </c>
      <c r="D1590" s="33">
        <f>INDEX('ZCB Curve - Payment Dates'!$D$2:$D$246,MATCH(B1590,'ZCB Curve - Payment Dates'!$A$2:$A$246,0))</f>
        <v>0.79053567842581962</v>
      </c>
      <c r="E1590" s="32">
        <f t="shared" si="24"/>
        <v>1.7292967965564805</v>
      </c>
    </row>
    <row r="1591" spans="1:5" x14ac:dyDescent="0.25">
      <c r="A1591" s="17">
        <v>252</v>
      </c>
      <c r="B1591" s="31">
        <v>48349</v>
      </c>
      <c r="C1591" s="32">
        <f>INDEX('Input Data'!$B:$B,A1591)/2+IF(A1591&lt;&gt;A1592,100,0)</f>
        <v>2.1875</v>
      </c>
      <c r="D1591" s="33">
        <f>INDEX('ZCB Curve - Payment Dates'!$D$2:$D$246,MATCH(B1591,'ZCB Curve - Payment Dates'!$A$2:$A$246,0))</f>
        <v>0.77217305702007488</v>
      </c>
      <c r="E1591" s="32">
        <f t="shared" si="24"/>
        <v>1.6891285622314138</v>
      </c>
    </row>
    <row r="1592" spans="1:5" x14ac:dyDescent="0.25">
      <c r="A1592" s="17">
        <v>252</v>
      </c>
      <c r="B1592" s="31">
        <v>48533</v>
      </c>
      <c r="C1592" s="32">
        <f>INDEX('Input Data'!$B:$B,A1592)/2+IF(A1592&lt;&gt;A1593,100,0)</f>
        <v>2.1875</v>
      </c>
      <c r="D1592" s="33">
        <f>INDEX('ZCB Curve - Payment Dates'!$D$2:$D$246,MATCH(B1592,'ZCB Curve - Payment Dates'!$A$2:$A$246,0))</f>
        <v>0.75384766072076514</v>
      </c>
      <c r="E1592" s="32">
        <f t="shared" si="24"/>
        <v>1.6490417578266738</v>
      </c>
    </row>
    <row r="1593" spans="1:5" x14ac:dyDescent="0.25">
      <c r="A1593" s="17">
        <v>252</v>
      </c>
      <c r="B1593" s="31">
        <v>48714</v>
      </c>
      <c r="C1593" s="32">
        <f>INDEX('Input Data'!$B:$B,A1593)/2+IF(A1593&lt;&gt;A1594,100,0)</f>
        <v>2.1875</v>
      </c>
      <c r="D1593" s="33">
        <f>INDEX('ZCB Curve - Payment Dates'!$D$2:$D$246,MATCH(B1593,'ZCB Curve - Payment Dates'!$A$2:$A$246,0))</f>
        <v>0.73601491848746747</v>
      </c>
      <c r="E1593" s="32">
        <f t="shared" si="24"/>
        <v>1.6100326341913351</v>
      </c>
    </row>
    <row r="1594" spans="1:5" x14ac:dyDescent="0.25">
      <c r="A1594" s="17">
        <v>252</v>
      </c>
      <c r="B1594" s="31">
        <v>48898</v>
      </c>
      <c r="C1594" s="32">
        <f>INDEX('Input Data'!$B:$B,A1594)/2+IF(A1594&lt;&gt;A1595,100,0)</f>
        <v>2.1875</v>
      </c>
      <c r="D1594" s="33">
        <f>INDEX('ZCB Curve - Payment Dates'!$D$2:$D$246,MATCH(B1594,'ZCB Curve - Payment Dates'!$A$2:$A$246,0))</f>
        <v>0.71805338140354003</v>
      </c>
      <c r="E1594" s="32">
        <f t="shared" si="24"/>
        <v>1.5707417718202439</v>
      </c>
    </row>
    <row r="1595" spans="1:5" x14ac:dyDescent="0.25">
      <c r="A1595" s="17">
        <v>252</v>
      </c>
      <c r="B1595" s="31">
        <v>49079</v>
      </c>
      <c r="C1595" s="32">
        <f>INDEX('Input Data'!$B:$B,A1595)/2+IF(A1595&lt;&gt;A1596,100,0)</f>
        <v>2.1875</v>
      </c>
      <c r="D1595" s="33">
        <f>INDEX('ZCB Curve - Payment Dates'!$D$2:$D$246,MATCH(B1595,'ZCB Curve - Payment Dates'!$A$2:$A$246,0))</f>
        <v>0.70052630492471468</v>
      </c>
      <c r="E1595" s="32">
        <f t="shared" si="24"/>
        <v>1.5324012920228134</v>
      </c>
    </row>
    <row r="1596" spans="1:5" x14ac:dyDescent="0.25">
      <c r="A1596" s="17">
        <v>252</v>
      </c>
      <c r="B1596" s="31">
        <v>49263</v>
      </c>
      <c r="C1596" s="32">
        <f>INDEX('Input Data'!$B:$B,A1596)/2+IF(A1596&lt;&gt;A1597,100,0)</f>
        <v>2.1875</v>
      </c>
      <c r="D1596" s="33">
        <f>INDEX('ZCB Curve - Payment Dates'!$D$2:$D$246,MATCH(B1596,'ZCB Curve - Payment Dates'!$A$2:$A$246,0))</f>
        <v>0.68284221202539863</v>
      </c>
      <c r="E1596" s="32">
        <f t="shared" si="24"/>
        <v>1.4937173388055596</v>
      </c>
    </row>
    <row r="1597" spans="1:5" x14ac:dyDescent="0.25">
      <c r="A1597" s="17">
        <v>252</v>
      </c>
      <c r="B1597" s="31">
        <v>49444</v>
      </c>
      <c r="C1597" s="32">
        <f>INDEX('Input Data'!$B:$B,A1597)/2+IF(A1597&lt;&gt;A1598,100,0)</f>
        <v>2.1875</v>
      </c>
      <c r="D1597" s="33">
        <f>INDEX('ZCB Curve - Payment Dates'!$D$2:$D$246,MATCH(B1597,'ZCB Curve - Payment Dates'!$A$2:$A$246,0))</f>
        <v>0.66557347415228496</v>
      </c>
      <c r="E1597" s="32">
        <f t="shared" si="24"/>
        <v>1.4559419747081233</v>
      </c>
    </row>
    <row r="1598" spans="1:5" x14ac:dyDescent="0.25">
      <c r="A1598" s="17">
        <v>252</v>
      </c>
      <c r="B1598" s="31">
        <v>49628</v>
      </c>
      <c r="C1598" s="32">
        <f>INDEX('Input Data'!$B:$B,A1598)/2+IF(A1598&lt;&gt;A1599,100,0)</f>
        <v>2.1875</v>
      </c>
      <c r="D1598" s="33">
        <f>INDEX('ZCB Curve - Payment Dates'!$D$2:$D$246,MATCH(B1598,'ZCB Curve - Payment Dates'!$A$2:$A$246,0))</f>
        <v>0.64815361918127823</v>
      </c>
      <c r="E1598" s="32">
        <f t="shared" si="24"/>
        <v>1.4178360419590461</v>
      </c>
    </row>
    <row r="1599" spans="1:5" x14ac:dyDescent="0.25">
      <c r="A1599" s="17">
        <v>252</v>
      </c>
      <c r="B1599" s="31">
        <v>49810</v>
      </c>
      <c r="C1599" s="32">
        <f>INDEX('Input Data'!$B:$B,A1599)/2+IF(A1599&lt;&gt;A1600,100,0)</f>
        <v>102.1875</v>
      </c>
      <c r="D1599" s="33">
        <f>INDEX('ZCB Curve - Payment Dates'!$D$2:$D$246,MATCH(B1599,'ZCB Curve - Payment Dates'!$A$2:$A$246,0))</f>
        <v>0.63106457078577471</v>
      </c>
      <c r="E1599" s="32">
        <f t="shared" si="24"/>
        <v>64.486910827171357</v>
      </c>
    </row>
    <row r="1600" spans="1:5" x14ac:dyDescent="0.25">
      <c r="A1600" s="17">
        <v>253</v>
      </c>
      <c r="B1600" s="31">
        <v>46433</v>
      </c>
      <c r="C1600" s="32">
        <f>INDEX('Input Data'!$B:$B,A1600)/2+IF(A1600&lt;&gt;A1601,100,0)</f>
        <v>2.3125</v>
      </c>
      <c r="D1600" s="33">
        <f>INDEX('ZCB Curve - Payment Dates'!$D$2:$D$246,MATCH(B1600,'ZCB Curve - Payment Dates'!$A$2:$A$246,0))</f>
        <v>0.98242671792446301</v>
      </c>
      <c r="E1600" s="32">
        <f t="shared" si="24"/>
        <v>2.2718617852003207</v>
      </c>
    </row>
    <row r="1601" spans="1:5" x14ac:dyDescent="0.25">
      <c r="A1601" s="17">
        <v>253</v>
      </c>
      <c r="B1601" s="31">
        <v>46614</v>
      </c>
      <c r="C1601" s="32">
        <f>INDEX('Input Data'!$B:$B,A1601)/2+IF(A1601&lt;&gt;A1602,100,0)</f>
        <v>2.3125</v>
      </c>
      <c r="D1601" s="33">
        <f>INDEX('ZCB Curve - Payment Dates'!$D$2:$D$246,MATCH(B1601,'ZCB Curve - Payment Dates'!$A$2:$A$246,0))</f>
        <v>0.96187948164765535</v>
      </c>
      <c r="E1601" s="32">
        <f t="shared" si="24"/>
        <v>2.2243463013102032</v>
      </c>
    </row>
    <row r="1602" spans="1:5" x14ac:dyDescent="0.25">
      <c r="A1602" s="17">
        <v>253</v>
      </c>
      <c r="B1602" s="31">
        <v>46798</v>
      </c>
      <c r="C1602" s="32">
        <f>INDEX('Input Data'!$B:$B,A1602)/2+IF(A1602&lt;&gt;A1603,100,0)</f>
        <v>2.3125</v>
      </c>
      <c r="D1602" s="33">
        <f>INDEX('ZCB Curve - Payment Dates'!$D$2:$D$246,MATCH(B1602,'ZCB Curve - Payment Dates'!$A$2:$A$246,0))</f>
        <v>0.94049096132648802</v>
      </c>
      <c r="E1602" s="32">
        <f t="shared" ref="E1602:E1665" si="25">C1602*D1602</f>
        <v>2.1748853480675034</v>
      </c>
    </row>
    <row r="1603" spans="1:5" x14ac:dyDescent="0.25">
      <c r="A1603" s="17">
        <v>253</v>
      </c>
      <c r="B1603" s="31">
        <v>46980</v>
      </c>
      <c r="C1603" s="32">
        <f>INDEX('Input Data'!$B:$B,A1603)/2+IF(A1603&lt;&gt;A1604,100,0)</f>
        <v>2.3125</v>
      </c>
      <c r="D1603" s="33">
        <f>INDEX('ZCB Curve - Payment Dates'!$D$2:$D$246,MATCH(B1603,'ZCB Curve - Payment Dates'!$A$2:$A$246,0))</f>
        <v>0.91931844130238327</v>
      </c>
      <c r="E1603" s="32">
        <f t="shared" si="25"/>
        <v>2.1259238955117614</v>
      </c>
    </row>
    <row r="1604" spans="1:5" x14ac:dyDescent="0.25">
      <c r="A1604" s="17">
        <v>253</v>
      </c>
      <c r="B1604" s="31">
        <v>47164</v>
      </c>
      <c r="C1604" s="32">
        <f>INDEX('Input Data'!$B:$B,A1604)/2+IF(A1604&lt;&gt;A1605,100,0)</f>
        <v>2.3125</v>
      </c>
      <c r="D1604" s="33">
        <f>INDEX('ZCB Curve - Payment Dates'!$D$2:$D$246,MATCH(B1604,'ZCB Curve - Payment Dates'!$A$2:$A$246,0))</f>
        <v>0.89817430058086534</v>
      </c>
      <c r="E1604" s="32">
        <f t="shared" si="25"/>
        <v>2.0770280700932511</v>
      </c>
    </row>
    <row r="1605" spans="1:5" x14ac:dyDescent="0.25">
      <c r="A1605" s="17">
        <v>253</v>
      </c>
      <c r="B1605" s="31">
        <v>47345</v>
      </c>
      <c r="C1605" s="32">
        <f>INDEX('Input Data'!$B:$B,A1605)/2+IF(A1605&lt;&gt;A1606,100,0)</f>
        <v>2.3125</v>
      </c>
      <c r="D1605" s="33">
        <f>INDEX('ZCB Curve - Payment Dates'!$D$2:$D$246,MATCH(B1605,'ZCB Curve - Payment Dates'!$A$2:$A$246,0))</f>
        <v>0.87778421628860481</v>
      </c>
      <c r="E1605" s="32">
        <f t="shared" si="25"/>
        <v>2.0298760001673988</v>
      </c>
    </row>
    <row r="1606" spans="1:5" x14ac:dyDescent="0.25">
      <c r="A1606" s="17">
        <v>253</v>
      </c>
      <c r="B1606" s="31">
        <v>47529</v>
      </c>
      <c r="C1606" s="32">
        <f>INDEX('Input Data'!$B:$B,A1606)/2+IF(A1606&lt;&gt;A1607,100,0)</f>
        <v>2.3125</v>
      </c>
      <c r="D1606" s="33">
        <f>INDEX('ZCB Curve - Payment Dates'!$D$2:$D$246,MATCH(B1606,'ZCB Curve - Payment Dates'!$A$2:$A$246,0))</f>
        <v>0.85751015570959666</v>
      </c>
      <c r="E1606" s="32">
        <f t="shared" si="25"/>
        <v>1.9829922350784424</v>
      </c>
    </row>
    <row r="1607" spans="1:5" x14ac:dyDescent="0.25">
      <c r="A1607" s="17">
        <v>253</v>
      </c>
      <c r="B1607" s="31">
        <v>47710</v>
      </c>
      <c r="C1607" s="32">
        <f>INDEX('Input Data'!$B:$B,A1607)/2+IF(A1607&lt;&gt;A1608,100,0)</f>
        <v>2.3125</v>
      </c>
      <c r="D1607" s="33">
        <f>INDEX('ZCB Curve - Payment Dates'!$D$2:$D$246,MATCH(B1607,'ZCB Curve - Payment Dates'!$A$2:$A$246,0))</f>
        <v>0.83802423748211174</v>
      </c>
      <c r="E1607" s="32">
        <f t="shared" si="25"/>
        <v>1.9379310491773833</v>
      </c>
    </row>
    <row r="1608" spans="1:5" x14ac:dyDescent="0.25">
      <c r="A1608" s="17">
        <v>253</v>
      </c>
      <c r="B1608" s="31">
        <v>47894</v>
      </c>
      <c r="C1608" s="32">
        <f>INDEX('Input Data'!$B:$B,A1608)/2+IF(A1608&lt;&gt;A1609,100,0)</f>
        <v>2.3125</v>
      </c>
      <c r="D1608" s="33">
        <f>INDEX('ZCB Curve - Payment Dates'!$D$2:$D$246,MATCH(B1608,'ZCB Curve - Payment Dates'!$A$2:$A$246,0))</f>
        <v>0.8186305474741673</v>
      </c>
      <c r="E1608" s="32">
        <f t="shared" si="25"/>
        <v>1.8930831410340119</v>
      </c>
    </row>
    <row r="1609" spans="1:5" x14ac:dyDescent="0.25">
      <c r="A1609" s="17">
        <v>253</v>
      </c>
      <c r="B1609" s="31">
        <v>48075</v>
      </c>
      <c r="C1609" s="32">
        <f>INDEX('Input Data'!$B:$B,A1609)/2+IF(A1609&lt;&gt;A1610,100,0)</f>
        <v>2.3125</v>
      </c>
      <c r="D1609" s="33">
        <f>INDEX('ZCB Curve - Payment Dates'!$D$2:$D$246,MATCH(B1609,'ZCB Curve - Payment Dates'!$A$2:$A$246,0))</f>
        <v>0.7999252334775927</v>
      </c>
      <c r="E1609" s="32">
        <f t="shared" si="25"/>
        <v>1.849827102416933</v>
      </c>
    </row>
    <row r="1610" spans="1:5" x14ac:dyDescent="0.25">
      <c r="A1610" s="17">
        <v>253</v>
      </c>
      <c r="B1610" s="31">
        <v>48259</v>
      </c>
      <c r="C1610" s="32">
        <f>INDEX('Input Data'!$B:$B,A1610)/2+IF(A1610&lt;&gt;A1611,100,0)</f>
        <v>2.3125</v>
      </c>
      <c r="D1610" s="33">
        <f>INDEX('ZCB Curve - Payment Dates'!$D$2:$D$246,MATCH(B1610,'ZCB Curve - Payment Dates'!$A$2:$A$246,0))</f>
        <v>0.78121887027612602</v>
      </c>
      <c r="E1610" s="32">
        <f t="shared" si="25"/>
        <v>1.8065686375135415</v>
      </c>
    </row>
    <row r="1611" spans="1:5" x14ac:dyDescent="0.25">
      <c r="A1611" s="17">
        <v>253</v>
      </c>
      <c r="B1611" s="31">
        <v>48441</v>
      </c>
      <c r="C1611" s="32">
        <f>INDEX('Input Data'!$B:$B,A1611)/2+IF(A1611&lt;&gt;A1612,100,0)</f>
        <v>2.3125</v>
      </c>
      <c r="D1611" s="33">
        <f>INDEX('ZCB Curve - Payment Dates'!$D$2:$D$246,MATCH(B1611,'ZCB Curve - Payment Dates'!$A$2:$A$246,0))</f>
        <v>0.76298123459017864</v>
      </c>
      <c r="E1611" s="32">
        <f t="shared" si="25"/>
        <v>1.764394104989788</v>
      </c>
    </row>
    <row r="1612" spans="1:5" x14ac:dyDescent="0.25">
      <c r="A1612" s="17">
        <v>253</v>
      </c>
      <c r="B1612" s="31">
        <v>48625</v>
      </c>
      <c r="C1612" s="32">
        <f>INDEX('Input Data'!$B:$B,A1612)/2+IF(A1612&lt;&gt;A1613,100,0)</f>
        <v>2.3125</v>
      </c>
      <c r="D1612" s="33">
        <f>INDEX('ZCB Curve - Payment Dates'!$D$2:$D$246,MATCH(B1612,'ZCB Curve - Payment Dates'!$A$2:$A$246,0))</f>
        <v>0.74476011611938586</v>
      </c>
      <c r="E1612" s="32">
        <f t="shared" si="25"/>
        <v>1.7222577685260798</v>
      </c>
    </row>
    <row r="1613" spans="1:5" x14ac:dyDescent="0.25">
      <c r="A1613" s="17">
        <v>253</v>
      </c>
      <c r="B1613" s="31">
        <v>48806</v>
      </c>
      <c r="C1613" s="32">
        <f>INDEX('Input Data'!$B:$B,A1613)/2+IF(A1613&lt;&gt;A1614,100,0)</f>
        <v>2.3125</v>
      </c>
      <c r="D1613" s="33">
        <f>INDEX('ZCB Curve - Payment Dates'!$D$2:$D$246,MATCH(B1613,'ZCB Curve - Payment Dates'!$A$2:$A$246,0))</f>
        <v>0.72701302496114584</v>
      </c>
      <c r="E1613" s="32">
        <f t="shared" si="25"/>
        <v>1.6812176202226496</v>
      </c>
    </row>
    <row r="1614" spans="1:5" x14ac:dyDescent="0.25">
      <c r="A1614" s="17">
        <v>253</v>
      </c>
      <c r="B1614" s="31">
        <v>48990</v>
      </c>
      <c r="C1614" s="32">
        <f>INDEX('Input Data'!$B:$B,A1614)/2+IF(A1614&lt;&gt;A1615,100,0)</f>
        <v>2.3125</v>
      </c>
      <c r="D1614" s="33">
        <f>INDEX('ZCB Curve - Payment Dates'!$D$2:$D$246,MATCH(B1614,'ZCB Curve - Payment Dates'!$A$2:$A$246,0))</f>
        <v>0.70912647031380449</v>
      </c>
      <c r="E1614" s="32">
        <f t="shared" si="25"/>
        <v>1.6398549626006729</v>
      </c>
    </row>
    <row r="1615" spans="1:5" x14ac:dyDescent="0.25">
      <c r="A1615" s="17">
        <v>253</v>
      </c>
      <c r="B1615" s="31">
        <v>49171</v>
      </c>
      <c r="C1615" s="32">
        <f>INDEX('Input Data'!$B:$B,A1615)/2+IF(A1615&lt;&gt;A1616,100,0)</f>
        <v>2.3125</v>
      </c>
      <c r="D1615" s="33">
        <f>INDEX('ZCB Curve - Payment Dates'!$D$2:$D$246,MATCH(B1615,'ZCB Curve - Payment Dates'!$A$2:$A$246,0))</f>
        <v>0.6916661505723215</v>
      </c>
      <c r="E1615" s="32">
        <f t="shared" si="25"/>
        <v>1.5994779731984934</v>
      </c>
    </row>
    <row r="1616" spans="1:5" x14ac:dyDescent="0.25">
      <c r="A1616" s="17">
        <v>253</v>
      </c>
      <c r="B1616" s="31">
        <v>49355</v>
      </c>
      <c r="C1616" s="32">
        <f>INDEX('Input Data'!$B:$B,A1616)/2+IF(A1616&lt;&gt;A1617,100,0)</f>
        <v>2.3125</v>
      </c>
      <c r="D1616" s="33">
        <f>INDEX('ZCB Curve - Payment Dates'!$D$2:$D$246,MATCH(B1616,'ZCB Curve - Payment Dates'!$A$2:$A$246,0))</f>
        <v>0.674047377898778</v>
      </c>
      <c r="E1616" s="32">
        <f t="shared" si="25"/>
        <v>1.558734561390924</v>
      </c>
    </row>
    <row r="1617" spans="1:5" x14ac:dyDescent="0.25">
      <c r="A1617" s="17">
        <v>253</v>
      </c>
      <c r="B1617" s="31">
        <v>49536</v>
      </c>
      <c r="C1617" s="32">
        <f>INDEX('Input Data'!$B:$B,A1617)/2+IF(A1617&lt;&gt;A1618,100,0)</f>
        <v>2.3125</v>
      </c>
      <c r="D1617" s="33">
        <f>INDEX('ZCB Curve - Payment Dates'!$D$2:$D$246,MATCH(B1617,'ZCB Curve - Payment Dates'!$A$2:$A$246,0))</f>
        <v>0.65684432300638129</v>
      </c>
      <c r="E1617" s="32">
        <f t="shared" si="25"/>
        <v>1.5189524969522568</v>
      </c>
    </row>
    <row r="1618" spans="1:5" x14ac:dyDescent="0.25">
      <c r="A1618" s="17">
        <v>253</v>
      </c>
      <c r="B1618" s="31">
        <v>49720</v>
      </c>
      <c r="C1618" s="32">
        <f>INDEX('Input Data'!$B:$B,A1618)/2+IF(A1618&lt;&gt;A1619,100,0)</f>
        <v>2.3125</v>
      </c>
      <c r="D1618" s="33">
        <f>INDEX('ZCB Curve - Payment Dates'!$D$2:$D$246,MATCH(B1618,'ZCB Curve - Payment Dates'!$A$2:$A$246,0))</f>
        <v>0.63949604524993764</v>
      </c>
      <c r="E1618" s="32">
        <f t="shared" si="25"/>
        <v>1.4788346046404808</v>
      </c>
    </row>
    <row r="1619" spans="1:5" x14ac:dyDescent="0.25">
      <c r="A1619" s="17">
        <v>253</v>
      </c>
      <c r="B1619" s="31">
        <v>49902</v>
      </c>
      <c r="C1619" s="32">
        <f>INDEX('Input Data'!$B:$B,A1619)/2+IF(A1619&lt;&gt;A1620,100,0)</f>
        <v>102.3125</v>
      </c>
      <c r="D1619" s="33">
        <f>INDEX('ZCB Curve - Payment Dates'!$D$2:$D$246,MATCH(B1619,'ZCB Curve - Payment Dates'!$A$2:$A$246,0))</f>
        <v>0.62248862376822711</v>
      </c>
      <c r="E1619" s="32">
        <f t="shared" si="25"/>
        <v>63.688367319286733</v>
      </c>
    </row>
    <row r="1620" spans="1:5" x14ac:dyDescent="0.25">
      <c r="A1620" s="17">
        <v>254</v>
      </c>
      <c r="B1620" s="31">
        <v>46433</v>
      </c>
      <c r="C1620" s="32">
        <f>INDEX('Input Data'!$B:$B,A1620)/2+IF(A1620&lt;&gt;A1621,100,0)</f>
        <v>2.375</v>
      </c>
      <c r="D1620" s="33">
        <f>INDEX('ZCB Curve - Payment Dates'!$D$2:$D$246,MATCH(B1620,'ZCB Curve - Payment Dates'!$A$2:$A$246,0))</f>
        <v>0.98242671792446301</v>
      </c>
      <c r="E1620" s="32">
        <f t="shared" si="25"/>
        <v>2.3332634550705995</v>
      </c>
    </row>
    <row r="1621" spans="1:5" x14ac:dyDescent="0.25">
      <c r="A1621" s="17">
        <v>254</v>
      </c>
      <c r="B1621" s="31">
        <v>46614</v>
      </c>
      <c r="C1621" s="32">
        <f>INDEX('Input Data'!$B:$B,A1621)/2+IF(A1621&lt;&gt;A1622,100,0)</f>
        <v>2.375</v>
      </c>
      <c r="D1621" s="33">
        <f>INDEX('ZCB Curve - Payment Dates'!$D$2:$D$246,MATCH(B1621,'ZCB Curve - Payment Dates'!$A$2:$A$246,0))</f>
        <v>0.96187948164765535</v>
      </c>
      <c r="E1621" s="32">
        <f t="shared" si="25"/>
        <v>2.2844637689131813</v>
      </c>
    </row>
    <row r="1622" spans="1:5" x14ac:dyDescent="0.25">
      <c r="A1622" s="17">
        <v>254</v>
      </c>
      <c r="B1622" s="31">
        <v>46798</v>
      </c>
      <c r="C1622" s="32">
        <f>INDEX('Input Data'!$B:$B,A1622)/2+IF(A1622&lt;&gt;A1623,100,0)</f>
        <v>2.375</v>
      </c>
      <c r="D1622" s="33">
        <f>INDEX('ZCB Curve - Payment Dates'!$D$2:$D$246,MATCH(B1622,'ZCB Curve - Payment Dates'!$A$2:$A$246,0))</f>
        <v>0.94049096132648802</v>
      </c>
      <c r="E1622" s="32">
        <f t="shared" si="25"/>
        <v>2.233666033150409</v>
      </c>
    </row>
    <row r="1623" spans="1:5" x14ac:dyDescent="0.25">
      <c r="A1623" s="17">
        <v>254</v>
      </c>
      <c r="B1623" s="31">
        <v>46980</v>
      </c>
      <c r="C1623" s="32">
        <f>INDEX('Input Data'!$B:$B,A1623)/2+IF(A1623&lt;&gt;A1624,100,0)</f>
        <v>2.375</v>
      </c>
      <c r="D1623" s="33">
        <f>INDEX('ZCB Curve - Payment Dates'!$D$2:$D$246,MATCH(B1623,'ZCB Curve - Payment Dates'!$A$2:$A$246,0))</f>
        <v>0.91931844130238327</v>
      </c>
      <c r="E1623" s="32">
        <f t="shared" si="25"/>
        <v>2.1833812980931602</v>
      </c>
    </row>
    <row r="1624" spans="1:5" x14ac:dyDescent="0.25">
      <c r="A1624" s="17">
        <v>254</v>
      </c>
      <c r="B1624" s="31">
        <v>47164</v>
      </c>
      <c r="C1624" s="32">
        <f>INDEX('Input Data'!$B:$B,A1624)/2+IF(A1624&lt;&gt;A1625,100,0)</f>
        <v>2.375</v>
      </c>
      <c r="D1624" s="33">
        <f>INDEX('ZCB Curve - Payment Dates'!$D$2:$D$246,MATCH(B1624,'ZCB Curve - Payment Dates'!$A$2:$A$246,0))</f>
        <v>0.89817430058086534</v>
      </c>
      <c r="E1624" s="32">
        <f t="shared" si="25"/>
        <v>2.133163963879555</v>
      </c>
    </row>
    <row r="1625" spans="1:5" x14ac:dyDescent="0.25">
      <c r="A1625" s="17">
        <v>254</v>
      </c>
      <c r="B1625" s="31">
        <v>47345</v>
      </c>
      <c r="C1625" s="32">
        <f>INDEX('Input Data'!$B:$B,A1625)/2+IF(A1625&lt;&gt;A1626,100,0)</f>
        <v>2.375</v>
      </c>
      <c r="D1625" s="33">
        <f>INDEX('ZCB Curve - Payment Dates'!$D$2:$D$246,MATCH(B1625,'ZCB Curve - Payment Dates'!$A$2:$A$246,0))</f>
        <v>0.87778421628860481</v>
      </c>
      <c r="E1625" s="32">
        <f t="shared" si="25"/>
        <v>2.0847375136854365</v>
      </c>
    </row>
    <row r="1626" spans="1:5" x14ac:dyDescent="0.25">
      <c r="A1626" s="17">
        <v>254</v>
      </c>
      <c r="B1626" s="31">
        <v>47529</v>
      </c>
      <c r="C1626" s="32">
        <f>INDEX('Input Data'!$B:$B,A1626)/2+IF(A1626&lt;&gt;A1627,100,0)</f>
        <v>2.375</v>
      </c>
      <c r="D1626" s="33">
        <f>INDEX('ZCB Curve - Payment Dates'!$D$2:$D$246,MATCH(B1626,'ZCB Curve - Payment Dates'!$A$2:$A$246,0))</f>
        <v>0.85751015570959666</v>
      </c>
      <c r="E1626" s="32">
        <f t="shared" si="25"/>
        <v>2.0365866198102922</v>
      </c>
    </row>
    <row r="1627" spans="1:5" x14ac:dyDescent="0.25">
      <c r="A1627" s="17">
        <v>254</v>
      </c>
      <c r="B1627" s="31">
        <v>47710</v>
      </c>
      <c r="C1627" s="32">
        <f>INDEX('Input Data'!$B:$B,A1627)/2+IF(A1627&lt;&gt;A1628,100,0)</f>
        <v>2.375</v>
      </c>
      <c r="D1627" s="33">
        <f>INDEX('ZCB Curve - Payment Dates'!$D$2:$D$246,MATCH(B1627,'ZCB Curve - Payment Dates'!$A$2:$A$246,0))</f>
        <v>0.83802423748211174</v>
      </c>
      <c r="E1627" s="32">
        <f t="shared" si="25"/>
        <v>1.9903075640200154</v>
      </c>
    </row>
    <row r="1628" spans="1:5" x14ac:dyDescent="0.25">
      <c r="A1628" s="17">
        <v>254</v>
      </c>
      <c r="B1628" s="31">
        <v>47894</v>
      </c>
      <c r="C1628" s="32">
        <f>INDEX('Input Data'!$B:$B,A1628)/2+IF(A1628&lt;&gt;A1629,100,0)</f>
        <v>2.375</v>
      </c>
      <c r="D1628" s="33">
        <f>INDEX('ZCB Curve - Payment Dates'!$D$2:$D$246,MATCH(B1628,'ZCB Curve - Payment Dates'!$A$2:$A$246,0))</f>
        <v>0.8186305474741673</v>
      </c>
      <c r="E1628" s="32">
        <f t="shared" si="25"/>
        <v>1.9442475502511474</v>
      </c>
    </row>
    <row r="1629" spans="1:5" x14ac:dyDescent="0.25">
      <c r="A1629" s="17">
        <v>254</v>
      </c>
      <c r="B1629" s="31">
        <v>48075</v>
      </c>
      <c r="C1629" s="32">
        <f>INDEX('Input Data'!$B:$B,A1629)/2+IF(A1629&lt;&gt;A1630,100,0)</f>
        <v>2.375</v>
      </c>
      <c r="D1629" s="33">
        <f>INDEX('ZCB Curve - Payment Dates'!$D$2:$D$246,MATCH(B1629,'ZCB Curve - Payment Dates'!$A$2:$A$246,0))</f>
        <v>0.7999252334775927</v>
      </c>
      <c r="E1629" s="32">
        <f t="shared" si="25"/>
        <v>1.8998224295092827</v>
      </c>
    </row>
    <row r="1630" spans="1:5" x14ac:dyDescent="0.25">
      <c r="A1630" s="17">
        <v>254</v>
      </c>
      <c r="B1630" s="31">
        <v>48259</v>
      </c>
      <c r="C1630" s="32">
        <f>INDEX('Input Data'!$B:$B,A1630)/2+IF(A1630&lt;&gt;A1631,100,0)</f>
        <v>2.375</v>
      </c>
      <c r="D1630" s="33">
        <f>INDEX('ZCB Curve - Payment Dates'!$D$2:$D$246,MATCH(B1630,'ZCB Curve - Payment Dates'!$A$2:$A$246,0))</f>
        <v>0.78121887027612602</v>
      </c>
      <c r="E1630" s="32">
        <f t="shared" si="25"/>
        <v>1.8553948169057992</v>
      </c>
    </row>
    <row r="1631" spans="1:5" x14ac:dyDescent="0.25">
      <c r="A1631" s="17">
        <v>254</v>
      </c>
      <c r="B1631" s="31">
        <v>48441</v>
      </c>
      <c r="C1631" s="32">
        <f>INDEX('Input Data'!$B:$B,A1631)/2+IF(A1631&lt;&gt;A1632,100,0)</f>
        <v>2.375</v>
      </c>
      <c r="D1631" s="33">
        <f>INDEX('ZCB Curve - Payment Dates'!$D$2:$D$246,MATCH(B1631,'ZCB Curve - Payment Dates'!$A$2:$A$246,0))</f>
        <v>0.76298123459017864</v>
      </c>
      <c r="E1631" s="32">
        <f t="shared" si="25"/>
        <v>1.8120804321516744</v>
      </c>
    </row>
    <row r="1632" spans="1:5" x14ac:dyDescent="0.25">
      <c r="A1632" s="17">
        <v>254</v>
      </c>
      <c r="B1632" s="31">
        <v>48625</v>
      </c>
      <c r="C1632" s="32">
        <f>INDEX('Input Data'!$B:$B,A1632)/2+IF(A1632&lt;&gt;A1633,100,0)</f>
        <v>2.375</v>
      </c>
      <c r="D1632" s="33">
        <f>INDEX('ZCB Curve - Payment Dates'!$D$2:$D$246,MATCH(B1632,'ZCB Curve - Payment Dates'!$A$2:$A$246,0))</f>
        <v>0.74476011611938586</v>
      </c>
      <c r="E1632" s="32">
        <f t="shared" si="25"/>
        <v>1.7688052757835415</v>
      </c>
    </row>
    <row r="1633" spans="1:5" x14ac:dyDescent="0.25">
      <c r="A1633" s="17">
        <v>254</v>
      </c>
      <c r="B1633" s="31">
        <v>48806</v>
      </c>
      <c r="C1633" s="32">
        <f>INDEX('Input Data'!$B:$B,A1633)/2+IF(A1633&lt;&gt;A1634,100,0)</f>
        <v>2.375</v>
      </c>
      <c r="D1633" s="33">
        <f>INDEX('ZCB Curve - Payment Dates'!$D$2:$D$246,MATCH(B1633,'ZCB Curve - Payment Dates'!$A$2:$A$246,0))</f>
        <v>0.72701302496114584</v>
      </c>
      <c r="E1633" s="32">
        <f t="shared" si="25"/>
        <v>1.7266559342827215</v>
      </c>
    </row>
    <row r="1634" spans="1:5" x14ac:dyDescent="0.25">
      <c r="A1634" s="17">
        <v>254</v>
      </c>
      <c r="B1634" s="31">
        <v>48990</v>
      </c>
      <c r="C1634" s="32">
        <f>INDEX('Input Data'!$B:$B,A1634)/2+IF(A1634&lt;&gt;A1635,100,0)</f>
        <v>2.375</v>
      </c>
      <c r="D1634" s="33">
        <f>INDEX('ZCB Curve - Payment Dates'!$D$2:$D$246,MATCH(B1634,'ZCB Curve - Payment Dates'!$A$2:$A$246,0))</f>
        <v>0.70912647031380449</v>
      </c>
      <c r="E1634" s="32">
        <f t="shared" si="25"/>
        <v>1.6841753669952857</v>
      </c>
    </row>
    <row r="1635" spans="1:5" x14ac:dyDescent="0.25">
      <c r="A1635" s="17">
        <v>254</v>
      </c>
      <c r="B1635" s="31">
        <v>49171</v>
      </c>
      <c r="C1635" s="32">
        <f>INDEX('Input Data'!$B:$B,A1635)/2+IF(A1635&lt;&gt;A1636,100,0)</f>
        <v>2.375</v>
      </c>
      <c r="D1635" s="33">
        <f>INDEX('ZCB Curve - Payment Dates'!$D$2:$D$246,MATCH(B1635,'ZCB Curve - Payment Dates'!$A$2:$A$246,0))</f>
        <v>0.6916661505723215</v>
      </c>
      <c r="E1635" s="32">
        <f t="shared" si="25"/>
        <v>1.6427071076092636</v>
      </c>
    </row>
    <row r="1636" spans="1:5" x14ac:dyDescent="0.25">
      <c r="A1636" s="17">
        <v>254</v>
      </c>
      <c r="B1636" s="31">
        <v>49355</v>
      </c>
      <c r="C1636" s="32">
        <f>INDEX('Input Data'!$B:$B,A1636)/2+IF(A1636&lt;&gt;A1637,100,0)</f>
        <v>2.375</v>
      </c>
      <c r="D1636" s="33">
        <f>INDEX('ZCB Curve - Payment Dates'!$D$2:$D$246,MATCH(B1636,'ZCB Curve - Payment Dates'!$A$2:$A$246,0))</f>
        <v>0.674047377898778</v>
      </c>
      <c r="E1636" s="32">
        <f t="shared" si="25"/>
        <v>1.6008625225095978</v>
      </c>
    </row>
    <row r="1637" spans="1:5" x14ac:dyDescent="0.25">
      <c r="A1637" s="17">
        <v>254</v>
      </c>
      <c r="B1637" s="31">
        <v>49536</v>
      </c>
      <c r="C1637" s="32">
        <f>INDEX('Input Data'!$B:$B,A1637)/2+IF(A1637&lt;&gt;A1638,100,0)</f>
        <v>2.375</v>
      </c>
      <c r="D1637" s="33">
        <f>INDEX('ZCB Curve - Payment Dates'!$D$2:$D$246,MATCH(B1637,'ZCB Curve - Payment Dates'!$A$2:$A$246,0))</f>
        <v>0.65684432300638129</v>
      </c>
      <c r="E1637" s="32">
        <f t="shared" si="25"/>
        <v>1.5600052671401556</v>
      </c>
    </row>
    <row r="1638" spans="1:5" x14ac:dyDescent="0.25">
      <c r="A1638" s="17">
        <v>254</v>
      </c>
      <c r="B1638" s="31">
        <v>49720</v>
      </c>
      <c r="C1638" s="32">
        <f>INDEX('Input Data'!$B:$B,A1638)/2+IF(A1638&lt;&gt;A1639,100,0)</f>
        <v>2.375</v>
      </c>
      <c r="D1638" s="33">
        <f>INDEX('ZCB Curve - Payment Dates'!$D$2:$D$246,MATCH(B1638,'ZCB Curve - Payment Dates'!$A$2:$A$246,0))</f>
        <v>0.63949604524993764</v>
      </c>
      <c r="E1638" s="32">
        <f t="shared" si="25"/>
        <v>1.5188031074686019</v>
      </c>
    </row>
    <row r="1639" spans="1:5" x14ac:dyDescent="0.25">
      <c r="A1639" s="17">
        <v>254</v>
      </c>
      <c r="B1639" s="31">
        <v>49902</v>
      </c>
      <c r="C1639" s="32">
        <f>INDEX('Input Data'!$B:$B,A1639)/2+IF(A1639&lt;&gt;A1640,100,0)</f>
        <v>2.375</v>
      </c>
      <c r="D1639" s="33">
        <f>INDEX('ZCB Curve - Payment Dates'!$D$2:$D$246,MATCH(B1639,'ZCB Curve - Payment Dates'!$A$2:$A$246,0))</f>
        <v>0.62248862376822711</v>
      </c>
      <c r="E1639" s="32">
        <f t="shared" si="25"/>
        <v>1.4784104814495393</v>
      </c>
    </row>
    <row r="1640" spans="1:5" x14ac:dyDescent="0.25">
      <c r="A1640" s="17">
        <v>254</v>
      </c>
      <c r="B1640" s="31">
        <v>50086</v>
      </c>
      <c r="C1640" s="32">
        <f>INDEX('Input Data'!$B:$B,A1640)/2+IF(A1640&lt;&gt;A1641,100,0)</f>
        <v>102.375</v>
      </c>
      <c r="D1640" s="33">
        <f>INDEX('ZCB Curve - Payment Dates'!$D$2:$D$246,MATCH(B1640,'ZCB Curve - Payment Dates'!$A$2:$A$246,0))</f>
        <v>0.60546490876014969</v>
      </c>
      <c r="E1640" s="32">
        <f t="shared" si="25"/>
        <v>61.984470034320324</v>
      </c>
    </row>
    <row r="1641" spans="1:5" x14ac:dyDescent="0.25">
      <c r="A1641" s="17">
        <v>255</v>
      </c>
      <c r="B1641" s="31">
        <v>46341</v>
      </c>
      <c r="C1641" s="32">
        <f>INDEX('Input Data'!$B:$B,A1641)/2+IF(A1641&lt;&gt;A1642,100,0)</f>
        <v>2.5</v>
      </c>
      <c r="D1641" s="33">
        <f>INDEX('ZCB Curve - Payment Dates'!$D$2:$D$246,MATCH(B1641,'ZCB Curve - Payment Dates'!$A$2:$A$246,0))</f>
        <v>0.99245367292309439</v>
      </c>
      <c r="E1641" s="32">
        <f t="shared" si="25"/>
        <v>2.481134182307736</v>
      </c>
    </row>
    <row r="1642" spans="1:5" x14ac:dyDescent="0.25">
      <c r="A1642" s="17">
        <v>255</v>
      </c>
      <c r="B1642" s="31">
        <v>46522</v>
      </c>
      <c r="C1642" s="32">
        <f>INDEX('Input Data'!$B:$B,A1642)/2+IF(A1642&lt;&gt;A1643,100,0)</f>
        <v>2.5</v>
      </c>
      <c r="D1642" s="33">
        <f>INDEX('ZCB Curve - Payment Dates'!$D$2:$D$246,MATCH(B1642,'ZCB Curve - Payment Dates'!$A$2:$A$246,0))</f>
        <v>0.97242179559611874</v>
      </c>
      <c r="E1642" s="32">
        <f t="shared" si="25"/>
        <v>2.4310544889902967</v>
      </c>
    </row>
    <row r="1643" spans="1:5" x14ac:dyDescent="0.25">
      <c r="A1643" s="17">
        <v>255</v>
      </c>
      <c r="B1643" s="31">
        <v>46706</v>
      </c>
      <c r="C1643" s="32">
        <f>INDEX('Input Data'!$B:$B,A1643)/2+IF(A1643&lt;&gt;A1644,100,0)</f>
        <v>2.5</v>
      </c>
      <c r="D1643" s="33">
        <f>INDEX('ZCB Curve - Payment Dates'!$D$2:$D$246,MATCH(B1643,'ZCB Curve - Payment Dates'!$A$2:$A$246,0))</f>
        <v>0.95121018311627348</v>
      </c>
      <c r="E1643" s="32">
        <f t="shared" si="25"/>
        <v>2.3780254577906836</v>
      </c>
    </row>
    <row r="1644" spans="1:5" x14ac:dyDescent="0.25">
      <c r="A1644" s="17">
        <v>255</v>
      </c>
      <c r="B1644" s="31">
        <v>46888</v>
      </c>
      <c r="C1644" s="32">
        <f>INDEX('Input Data'!$B:$B,A1644)/2+IF(A1644&lt;&gt;A1645,100,0)</f>
        <v>2.5</v>
      </c>
      <c r="D1644" s="33">
        <f>INDEX('ZCB Curve - Payment Dates'!$D$2:$D$246,MATCH(B1644,'ZCB Curve - Payment Dates'!$A$2:$A$246,0))</f>
        <v>0.93000025435083566</v>
      </c>
      <c r="E1644" s="32">
        <f t="shared" si="25"/>
        <v>2.3250006358770889</v>
      </c>
    </row>
    <row r="1645" spans="1:5" x14ac:dyDescent="0.25">
      <c r="A1645" s="17">
        <v>255</v>
      </c>
      <c r="B1645" s="31">
        <v>47072</v>
      </c>
      <c r="C1645" s="32">
        <f>INDEX('Input Data'!$B:$B,A1645)/2+IF(A1645&lt;&gt;A1646,100,0)</f>
        <v>2.5</v>
      </c>
      <c r="D1645" s="33">
        <f>INDEX('ZCB Curve - Payment Dates'!$D$2:$D$246,MATCH(B1645,'ZCB Curve - Payment Dates'!$A$2:$A$246,0))</f>
        <v>0.90870125167038918</v>
      </c>
      <c r="E1645" s="32">
        <f t="shared" si="25"/>
        <v>2.2717531291759729</v>
      </c>
    </row>
    <row r="1646" spans="1:5" x14ac:dyDescent="0.25">
      <c r="A1646" s="17">
        <v>255</v>
      </c>
      <c r="B1646" s="31">
        <v>47253</v>
      </c>
      <c r="C1646" s="32">
        <f>INDEX('Input Data'!$B:$B,A1646)/2+IF(A1646&lt;&gt;A1647,100,0)</f>
        <v>2.5</v>
      </c>
      <c r="D1646" s="33">
        <f>INDEX('ZCB Curve - Payment Dates'!$D$2:$D$246,MATCH(B1646,'ZCB Curve - Payment Dates'!$A$2:$A$246,0))</f>
        <v>0.88809325063638844</v>
      </c>
      <c r="E1646" s="32">
        <f t="shared" si="25"/>
        <v>2.2202331265909709</v>
      </c>
    </row>
    <row r="1647" spans="1:5" x14ac:dyDescent="0.25">
      <c r="A1647" s="17">
        <v>255</v>
      </c>
      <c r="B1647" s="31">
        <v>47437</v>
      </c>
      <c r="C1647" s="32">
        <f>INDEX('Input Data'!$B:$B,A1647)/2+IF(A1647&lt;&gt;A1648,100,0)</f>
        <v>2.5</v>
      </c>
      <c r="D1647" s="33">
        <f>INDEX('ZCB Curve - Payment Dates'!$D$2:$D$246,MATCH(B1647,'ZCB Curve - Payment Dates'!$A$2:$A$246,0))</f>
        <v>0.86758824089536279</v>
      </c>
      <c r="E1647" s="32">
        <f t="shared" si="25"/>
        <v>2.168970602238407</v>
      </c>
    </row>
    <row r="1648" spans="1:5" x14ac:dyDescent="0.25">
      <c r="A1648" s="17">
        <v>255</v>
      </c>
      <c r="B1648" s="31">
        <v>47618</v>
      </c>
      <c r="C1648" s="32">
        <f>INDEX('Input Data'!$B:$B,A1648)/2+IF(A1648&lt;&gt;A1649,100,0)</f>
        <v>2.5</v>
      </c>
      <c r="D1648" s="33">
        <f>INDEX('ZCB Curve - Payment Dates'!$D$2:$D$246,MATCH(B1648,'ZCB Curve - Payment Dates'!$A$2:$A$246,0))</f>
        <v>0.84787416911783064</v>
      </c>
      <c r="E1648" s="32">
        <f t="shared" si="25"/>
        <v>2.1196854227945767</v>
      </c>
    </row>
    <row r="1649" spans="1:5" x14ac:dyDescent="0.25">
      <c r="A1649" s="17">
        <v>255</v>
      </c>
      <c r="B1649" s="31">
        <v>47802</v>
      </c>
      <c r="C1649" s="32">
        <f>INDEX('Input Data'!$B:$B,A1649)/2+IF(A1649&lt;&gt;A1650,100,0)</f>
        <v>2.5</v>
      </c>
      <c r="D1649" s="33">
        <f>INDEX('ZCB Curve - Payment Dates'!$D$2:$D$246,MATCH(B1649,'ZCB Curve - Payment Dates'!$A$2:$A$246,0))</f>
        <v>0.82827715028796722</v>
      </c>
      <c r="E1649" s="32">
        <f t="shared" si="25"/>
        <v>2.0706928757199181</v>
      </c>
    </row>
    <row r="1650" spans="1:5" x14ac:dyDescent="0.25">
      <c r="A1650" s="17">
        <v>255</v>
      </c>
      <c r="B1650" s="31">
        <v>47983</v>
      </c>
      <c r="C1650" s="32">
        <f>INDEX('Input Data'!$B:$B,A1650)/2+IF(A1650&lt;&gt;A1651,100,0)</f>
        <v>2.5</v>
      </c>
      <c r="D1650" s="33">
        <f>INDEX('ZCB Curve - Payment Dates'!$D$2:$D$246,MATCH(B1650,'ZCB Curve - Payment Dates'!$A$2:$A$246,0))</f>
        <v>0.80939067484273564</v>
      </c>
      <c r="E1650" s="32">
        <f t="shared" si="25"/>
        <v>2.023476687106839</v>
      </c>
    </row>
    <row r="1651" spans="1:5" x14ac:dyDescent="0.25">
      <c r="A1651" s="17">
        <v>255</v>
      </c>
      <c r="B1651" s="31">
        <v>48167</v>
      </c>
      <c r="C1651" s="32">
        <f>INDEX('Input Data'!$B:$B,A1651)/2+IF(A1651&lt;&gt;A1652,100,0)</f>
        <v>2.5</v>
      </c>
      <c r="D1651" s="33">
        <f>INDEX('ZCB Curve - Payment Dates'!$D$2:$D$246,MATCH(B1651,'ZCB Curve - Payment Dates'!$A$2:$A$246,0))</f>
        <v>0.79053567842581962</v>
      </c>
      <c r="E1651" s="32">
        <f t="shared" si="25"/>
        <v>1.9763391960645491</v>
      </c>
    </row>
    <row r="1652" spans="1:5" x14ac:dyDescent="0.25">
      <c r="A1652" s="17">
        <v>255</v>
      </c>
      <c r="B1652" s="31">
        <v>48349</v>
      </c>
      <c r="C1652" s="32">
        <f>INDEX('Input Data'!$B:$B,A1652)/2+IF(A1652&lt;&gt;A1653,100,0)</f>
        <v>2.5</v>
      </c>
      <c r="D1652" s="33">
        <f>INDEX('ZCB Curve - Payment Dates'!$D$2:$D$246,MATCH(B1652,'ZCB Curve - Payment Dates'!$A$2:$A$246,0))</f>
        <v>0.77217305702007488</v>
      </c>
      <c r="E1652" s="32">
        <f t="shared" si="25"/>
        <v>1.9304326425501872</v>
      </c>
    </row>
    <row r="1653" spans="1:5" x14ac:dyDescent="0.25">
      <c r="A1653" s="17">
        <v>255</v>
      </c>
      <c r="B1653" s="31">
        <v>48533</v>
      </c>
      <c r="C1653" s="32">
        <f>INDEX('Input Data'!$B:$B,A1653)/2+IF(A1653&lt;&gt;A1654,100,0)</f>
        <v>2.5</v>
      </c>
      <c r="D1653" s="33">
        <f>INDEX('ZCB Curve - Payment Dates'!$D$2:$D$246,MATCH(B1653,'ZCB Curve - Payment Dates'!$A$2:$A$246,0))</f>
        <v>0.75384766072076514</v>
      </c>
      <c r="E1653" s="32">
        <f t="shared" si="25"/>
        <v>1.8846191518019129</v>
      </c>
    </row>
    <row r="1654" spans="1:5" x14ac:dyDescent="0.25">
      <c r="A1654" s="17">
        <v>255</v>
      </c>
      <c r="B1654" s="31">
        <v>48714</v>
      </c>
      <c r="C1654" s="32">
        <f>INDEX('Input Data'!$B:$B,A1654)/2+IF(A1654&lt;&gt;A1655,100,0)</f>
        <v>2.5</v>
      </c>
      <c r="D1654" s="33">
        <f>INDEX('ZCB Curve - Payment Dates'!$D$2:$D$246,MATCH(B1654,'ZCB Curve - Payment Dates'!$A$2:$A$246,0))</f>
        <v>0.73601491848746747</v>
      </c>
      <c r="E1654" s="32">
        <f t="shared" si="25"/>
        <v>1.8400372962186686</v>
      </c>
    </row>
    <row r="1655" spans="1:5" x14ac:dyDescent="0.25">
      <c r="A1655" s="17">
        <v>255</v>
      </c>
      <c r="B1655" s="31">
        <v>48898</v>
      </c>
      <c r="C1655" s="32">
        <f>INDEX('Input Data'!$B:$B,A1655)/2+IF(A1655&lt;&gt;A1656,100,0)</f>
        <v>2.5</v>
      </c>
      <c r="D1655" s="33">
        <f>INDEX('ZCB Curve - Payment Dates'!$D$2:$D$246,MATCH(B1655,'ZCB Curve - Payment Dates'!$A$2:$A$246,0))</f>
        <v>0.71805338140354003</v>
      </c>
      <c r="E1655" s="32">
        <f t="shared" si="25"/>
        <v>1.7951334535088501</v>
      </c>
    </row>
    <row r="1656" spans="1:5" x14ac:dyDescent="0.25">
      <c r="A1656" s="17">
        <v>255</v>
      </c>
      <c r="B1656" s="31">
        <v>49079</v>
      </c>
      <c r="C1656" s="32">
        <f>INDEX('Input Data'!$B:$B,A1656)/2+IF(A1656&lt;&gt;A1657,100,0)</f>
        <v>2.5</v>
      </c>
      <c r="D1656" s="33">
        <f>INDEX('ZCB Curve - Payment Dates'!$D$2:$D$246,MATCH(B1656,'ZCB Curve - Payment Dates'!$A$2:$A$246,0))</f>
        <v>0.70052630492471468</v>
      </c>
      <c r="E1656" s="32">
        <f t="shared" si="25"/>
        <v>1.7513157623117868</v>
      </c>
    </row>
    <row r="1657" spans="1:5" x14ac:dyDescent="0.25">
      <c r="A1657" s="17">
        <v>255</v>
      </c>
      <c r="B1657" s="31">
        <v>49263</v>
      </c>
      <c r="C1657" s="32">
        <f>INDEX('Input Data'!$B:$B,A1657)/2+IF(A1657&lt;&gt;A1658,100,0)</f>
        <v>2.5</v>
      </c>
      <c r="D1657" s="33">
        <f>INDEX('ZCB Curve - Payment Dates'!$D$2:$D$246,MATCH(B1657,'ZCB Curve - Payment Dates'!$A$2:$A$246,0))</f>
        <v>0.68284221202539863</v>
      </c>
      <c r="E1657" s="32">
        <f t="shared" si="25"/>
        <v>1.7071055300634965</v>
      </c>
    </row>
    <row r="1658" spans="1:5" x14ac:dyDescent="0.25">
      <c r="A1658" s="17">
        <v>255</v>
      </c>
      <c r="B1658" s="31">
        <v>49444</v>
      </c>
      <c r="C1658" s="32">
        <f>INDEX('Input Data'!$B:$B,A1658)/2+IF(A1658&lt;&gt;A1659,100,0)</f>
        <v>2.5</v>
      </c>
      <c r="D1658" s="33">
        <f>INDEX('ZCB Curve - Payment Dates'!$D$2:$D$246,MATCH(B1658,'ZCB Curve - Payment Dates'!$A$2:$A$246,0))</f>
        <v>0.66557347415228496</v>
      </c>
      <c r="E1658" s="32">
        <f t="shared" si="25"/>
        <v>1.6639336853807123</v>
      </c>
    </row>
    <row r="1659" spans="1:5" x14ac:dyDescent="0.25">
      <c r="A1659" s="17">
        <v>255</v>
      </c>
      <c r="B1659" s="31">
        <v>49628</v>
      </c>
      <c r="C1659" s="32">
        <f>INDEX('Input Data'!$B:$B,A1659)/2+IF(A1659&lt;&gt;A1660,100,0)</f>
        <v>2.5</v>
      </c>
      <c r="D1659" s="33">
        <f>INDEX('ZCB Curve - Payment Dates'!$D$2:$D$246,MATCH(B1659,'ZCB Curve - Payment Dates'!$A$2:$A$246,0))</f>
        <v>0.64815361918127823</v>
      </c>
      <c r="E1659" s="32">
        <f t="shared" si="25"/>
        <v>1.6203840479531957</v>
      </c>
    </row>
    <row r="1660" spans="1:5" x14ac:dyDescent="0.25">
      <c r="A1660" s="17">
        <v>255</v>
      </c>
      <c r="B1660" s="31">
        <v>49810</v>
      </c>
      <c r="C1660" s="32">
        <f>INDEX('Input Data'!$B:$B,A1660)/2+IF(A1660&lt;&gt;A1661,100,0)</f>
        <v>2.5</v>
      </c>
      <c r="D1660" s="33">
        <f>INDEX('ZCB Curve - Payment Dates'!$D$2:$D$246,MATCH(B1660,'ZCB Curve - Payment Dates'!$A$2:$A$246,0))</f>
        <v>0.63106457078577471</v>
      </c>
      <c r="E1660" s="32">
        <f t="shared" si="25"/>
        <v>1.5776614269644367</v>
      </c>
    </row>
    <row r="1661" spans="1:5" x14ac:dyDescent="0.25">
      <c r="A1661" s="17">
        <v>255</v>
      </c>
      <c r="B1661" s="31">
        <v>49994</v>
      </c>
      <c r="C1661" s="32">
        <f>INDEX('Input Data'!$B:$B,A1661)/2+IF(A1661&lt;&gt;A1662,100,0)</f>
        <v>2.5</v>
      </c>
      <c r="D1661" s="33">
        <f>INDEX('ZCB Curve - Payment Dates'!$D$2:$D$246,MATCH(B1661,'ZCB Curve - Payment Dates'!$A$2:$A$246,0))</f>
        <v>0.61395227923184648</v>
      </c>
      <c r="E1661" s="32">
        <f t="shared" si="25"/>
        <v>1.5348806980796161</v>
      </c>
    </row>
    <row r="1662" spans="1:5" x14ac:dyDescent="0.25">
      <c r="A1662" s="17">
        <v>255</v>
      </c>
      <c r="B1662" s="31">
        <v>50175</v>
      </c>
      <c r="C1662" s="32">
        <f>INDEX('Input Data'!$B:$B,A1662)/2+IF(A1662&lt;&gt;A1663,100,0)</f>
        <v>102.5</v>
      </c>
      <c r="D1662" s="33">
        <f>INDEX('ZCB Curve - Payment Dates'!$D$2:$D$246,MATCH(B1662,'ZCB Curve - Payment Dates'!$A$2:$A$246,0))</f>
        <v>0.5972963482314616</v>
      </c>
      <c r="E1662" s="32">
        <f t="shared" si="25"/>
        <v>61.222875693724816</v>
      </c>
    </row>
    <row r="1663" spans="1:5" x14ac:dyDescent="0.25">
      <c r="A1663" s="17">
        <v>256</v>
      </c>
      <c r="B1663" s="31">
        <v>46433</v>
      </c>
      <c r="C1663" s="32">
        <f>INDEX('Input Data'!$B:$B,A1663)/2+IF(A1663&lt;&gt;A1664,100,0)</f>
        <v>2.1875</v>
      </c>
      <c r="D1663" s="33">
        <f>INDEX('ZCB Curve - Payment Dates'!$D$2:$D$246,MATCH(B1663,'ZCB Curve - Payment Dates'!$A$2:$A$246,0))</f>
        <v>0.98242671792446301</v>
      </c>
      <c r="E1663" s="32">
        <f t="shared" si="25"/>
        <v>2.149058445459763</v>
      </c>
    </row>
    <row r="1664" spans="1:5" x14ac:dyDescent="0.25">
      <c r="A1664" s="17">
        <v>256</v>
      </c>
      <c r="B1664" s="31">
        <v>46614</v>
      </c>
      <c r="C1664" s="32">
        <f>INDEX('Input Data'!$B:$B,A1664)/2+IF(A1664&lt;&gt;A1665,100,0)</f>
        <v>2.1875</v>
      </c>
      <c r="D1664" s="33">
        <f>INDEX('ZCB Curve - Payment Dates'!$D$2:$D$246,MATCH(B1664,'ZCB Curve - Payment Dates'!$A$2:$A$246,0))</f>
        <v>0.96187948164765535</v>
      </c>
      <c r="E1664" s="32">
        <f t="shared" si="25"/>
        <v>2.1041113661042461</v>
      </c>
    </row>
    <row r="1665" spans="1:5" x14ac:dyDescent="0.25">
      <c r="A1665" s="17">
        <v>256</v>
      </c>
      <c r="B1665" s="31">
        <v>46798</v>
      </c>
      <c r="C1665" s="32">
        <f>INDEX('Input Data'!$B:$B,A1665)/2+IF(A1665&lt;&gt;A1666,100,0)</f>
        <v>2.1875</v>
      </c>
      <c r="D1665" s="33">
        <f>INDEX('ZCB Curve - Payment Dates'!$D$2:$D$246,MATCH(B1665,'ZCB Curve - Payment Dates'!$A$2:$A$246,0))</f>
        <v>0.94049096132648802</v>
      </c>
      <c r="E1665" s="32">
        <f t="shared" si="25"/>
        <v>2.0573239779016927</v>
      </c>
    </row>
    <row r="1666" spans="1:5" x14ac:dyDescent="0.25">
      <c r="A1666" s="17">
        <v>256</v>
      </c>
      <c r="B1666" s="31">
        <v>46980</v>
      </c>
      <c r="C1666" s="32">
        <f>INDEX('Input Data'!$B:$B,A1666)/2+IF(A1666&lt;&gt;A1667,100,0)</f>
        <v>2.1875</v>
      </c>
      <c r="D1666" s="33">
        <f>INDEX('ZCB Curve - Payment Dates'!$D$2:$D$246,MATCH(B1666,'ZCB Curve - Payment Dates'!$A$2:$A$246,0))</f>
        <v>0.91931844130238327</v>
      </c>
      <c r="E1666" s="32">
        <f t="shared" ref="E1666:E1729" si="26">C1666*D1666</f>
        <v>2.0110090903489635</v>
      </c>
    </row>
    <row r="1667" spans="1:5" x14ac:dyDescent="0.25">
      <c r="A1667" s="17">
        <v>256</v>
      </c>
      <c r="B1667" s="31">
        <v>47164</v>
      </c>
      <c r="C1667" s="32">
        <f>INDEX('Input Data'!$B:$B,A1667)/2+IF(A1667&lt;&gt;A1668,100,0)</f>
        <v>2.1875</v>
      </c>
      <c r="D1667" s="33">
        <f>INDEX('ZCB Curve - Payment Dates'!$D$2:$D$246,MATCH(B1667,'ZCB Curve - Payment Dates'!$A$2:$A$246,0))</f>
        <v>0.89817430058086534</v>
      </c>
      <c r="E1667" s="32">
        <f t="shared" si="26"/>
        <v>1.9647562825206428</v>
      </c>
    </row>
    <row r="1668" spans="1:5" x14ac:dyDescent="0.25">
      <c r="A1668" s="17">
        <v>256</v>
      </c>
      <c r="B1668" s="31">
        <v>47345</v>
      </c>
      <c r="C1668" s="32">
        <f>INDEX('Input Data'!$B:$B,A1668)/2+IF(A1668&lt;&gt;A1669,100,0)</f>
        <v>2.1875</v>
      </c>
      <c r="D1668" s="33">
        <f>INDEX('ZCB Curve - Payment Dates'!$D$2:$D$246,MATCH(B1668,'ZCB Curve - Payment Dates'!$A$2:$A$246,0))</f>
        <v>0.87778421628860481</v>
      </c>
      <c r="E1668" s="32">
        <f t="shared" si="26"/>
        <v>1.9201529731313229</v>
      </c>
    </row>
    <row r="1669" spans="1:5" x14ac:dyDescent="0.25">
      <c r="A1669" s="17">
        <v>256</v>
      </c>
      <c r="B1669" s="31">
        <v>47529</v>
      </c>
      <c r="C1669" s="32">
        <f>INDEX('Input Data'!$B:$B,A1669)/2+IF(A1669&lt;&gt;A1670,100,0)</f>
        <v>2.1875</v>
      </c>
      <c r="D1669" s="33">
        <f>INDEX('ZCB Curve - Payment Dates'!$D$2:$D$246,MATCH(B1669,'ZCB Curve - Payment Dates'!$A$2:$A$246,0))</f>
        <v>0.85751015570959666</v>
      </c>
      <c r="E1669" s="32">
        <f t="shared" si="26"/>
        <v>1.8758034656147426</v>
      </c>
    </row>
    <row r="1670" spans="1:5" x14ac:dyDescent="0.25">
      <c r="A1670" s="17">
        <v>256</v>
      </c>
      <c r="B1670" s="31">
        <v>47710</v>
      </c>
      <c r="C1670" s="32">
        <f>INDEX('Input Data'!$B:$B,A1670)/2+IF(A1670&lt;&gt;A1671,100,0)</f>
        <v>2.1875</v>
      </c>
      <c r="D1670" s="33">
        <f>INDEX('ZCB Curve - Payment Dates'!$D$2:$D$246,MATCH(B1670,'ZCB Curve - Payment Dates'!$A$2:$A$246,0))</f>
        <v>0.83802423748211174</v>
      </c>
      <c r="E1670" s="32">
        <f t="shared" si="26"/>
        <v>1.8331780194921194</v>
      </c>
    </row>
    <row r="1671" spans="1:5" x14ac:dyDescent="0.25">
      <c r="A1671" s="17">
        <v>256</v>
      </c>
      <c r="B1671" s="31">
        <v>47894</v>
      </c>
      <c r="C1671" s="32">
        <f>INDEX('Input Data'!$B:$B,A1671)/2+IF(A1671&lt;&gt;A1672,100,0)</f>
        <v>2.1875</v>
      </c>
      <c r="D1671" s="33">
        <f>INDEX('ZCB Curve - Payment Dates'!$D$2:$D$246,MATCH(B1671,'ZCB Curve - Payment Dates'!$A$2:$A$246,0))</f>
        <v>0.8186305474741673</v>
      </c>
      <c r="E1671" s="32">
        <f t="shared" si="26"/>
        <v>1.7907543225997409</v>
      </c>
    </row>
    <row r="1672" spans="1:5" x14ac:dyDescent="0.25">
      <c r="A1672" s="17">
        <v>256</v>
      </c>
      <c r="B1672" s="31">
        <v>48075</v>
      </c>
      <c r="C1672" s="32">
        <f>INDEX('Input Data'!$B:$B,A1672)/2+IF(A1672&lt;&gt;A1673,100,0)</f>
        <v>2.1875</v>
      </c>
      <c r="D1672" s="33">
        <f>INDEX('ZCB Curve - Payment Dates'!$D$2:$D$246,MATCH(B1672,'ZCB Curve - Payment Dates'!$A$2:$A$246,0))</f>
        <v>0.7999252334775927</v>
      </c>
      <c r="E1672" s="32">
        <f t="shared" si="26"/>
        <v>1.7498364482322339</v>
      </c>
    </row>
    <row r="1673" spans="1:5" x14ac:dyDescent="0.25">
      <c r="A1673" s="17">
        <v>256</v>
      </c>
      <c r="B1673" s="31">
        <v>48259</v>
      </c>
      <c r="C1673" s="32">
        <f>INDEX('Input Data'!$B:$B,A1673)/2+IF(A1673&lt;&gt;A1674,100,0)</f>
        <v>2.1875</v>
      </c>
      <c r="D1673" s="33">
        <f>INDEX('ZCB Curve - Payment Dates'!$D$2:$D$246,MATCH(B1673,'ZCB Curve - Payment Dates'!$A$2:$A$246,0))</f>
        <v>0.78121887027612602</v>
      </c>
      <c r="E1673" s="32">
        <f t="shared" si="26"/>
        <v>1.7089162787290257</v>
      </c>
    </row>
    <row r="1674" spans="1:5" x14ac:dyDescent="0.25">
      <c r="A1674" s="17">
        <v>256</v>
      </c>
      <c r="B1674" s="31">
        <v>48441</v>
      </c>
      <c r="C1674" s="32">
        <f>INDEX('Input Data'!$B:$B,A1674)/2+IF(A1674&lt;&gt;A1675,100,0)</f>
        <v>2.1875</v>
      </c>
      <c r="D1674" s="33">
        <f>INDEX('ZCB Curve - Payment Dates'!$D$2:$D$246,MATCH(B1674,'ZCB Curve - Payment Dates'!$A$2:$A$246,0))</f>
        <v>0.76298123459017864</v>
      </c>
      <c r="E1674" s="32">
        <f t="shared" si="26"/>
        <v>1.6690214506660157</v>
      </c>
    </row>
    <row r="1675" spans="1:5" x14ac:dyDescent="0.25">
      <c r="A1675" s="17">
        <v>256</v>
      </c>
      <c r="B1675" s="31">
        <v>48625</v>
      </c>
      <c r="C1675" s="32">
        <f>INDEX('Input Data'!$B:$B,A1675)/2+IF(A1675&lt;&gt;A1676,100,0)</f>
        <v>2.1875</v>
      </c>
      <c r="D1675" s="33">
        <f>INDEX('ZCB Curve - Payment Dates'!$D$2:$D$246,MATCH(B1675,'ZCB Curve - Payment Dates'!$A$2:$A$246,0))</f>
        <v>0.74476011611938586</v>
      </c>
      <c r="E1675" s="32">
        <f t="shared" si="26"/>
        <v>1.6291627540111566</v>
      </c>
    </row>
    <row r="1676" spans="1:5" x14ac:dyDescent="0.25">
      <c r="A1676" s="17">
        <v>256</v>
      </c>
      <c r="B1676" s="31">
        <v>48806</v>
      </c>
      <c r="C1676" s="32">
        <f>INDEX('Input Data'!$B:$B,A1676)/2+IF(A1676&lt;&gt;A1677,100,0)</f>
        <v>2.1875</v>
      </c>
      <c r="D1676" s="33">
        <f>INDEX('ZCB Curve - Payment Dates'!$D$2:$D$246,MATCH(B1676,'ZCB Curve - Payment Dates'!$A$2:$A$246,0))</f>
        <v>0.72701302496114584</v>
      </c>
      <c r="E1676" s="32">
        <f t="shared" si="26"/>
        <v>1.5903409921025065</v>
      </c>
    </row>
    <row r="1677" spans="1:5" x14ac:dyDescent="0.25">
      <c r="A1677" s="17">
        <v>256</v>
      </c>
      <c r="B1677" s="31">
        <v>48990</v>
      </c>
      <c r="C1677" s="32">
        <f>INDEX('Input Data'!$B:$B,A1677)/2+IF(A1677&lt;&gt;A1678,100,0)</f>
        <v>2.1875</v>
      </c>
      <c r="D1677" s="33">
        <f>INDEX('ZCB Curve - Payment Dates'!$D$2:$D$246,MATCH(B1677,'ZCB Curve - Payment Dates'!$A$2:$A$246,0))</f>
        <v>0.70912647031380449</v>
      </c>
      <c r="E1677" s="32">
        <f t="shared" si="26"/>
        <v>1.5512141538114472</v>
      </c>
    </row>
    <row r="1678" spans="1:5" x14ac:dyDescent="0.25">
      <c r="A1678" s="17">
        <v>256</v>
      </c>
      <c r="B1678" s="31">
        <v>49171</v>
      </c>
      <c r="C1678" s="32">
        <f>INDEX('Input Data'!$B:$B,A1678)/2+IF(A1678&lt;&gt;A1679,100,0)</f>
        <v>2.1875</v>
      </c>
      <c r="D1678" s="33">
        <f>INDEX('ZCB Curve - Payment Dates'!$D$2:$D$246,MATCH(B1678,'ZCB Curve - Payment Dates'!$A$2:$A$246,0))</f>
        <v>0.6916661505723215</v>
      </c>
      <c r="E1678" s="32">
        <f t="shared" si="26"/>
        <v>1.5130197043769533</v>
      </c>
    </row>
    <row r="1679" spans="1:5" x14ac:dyDescent="0.25">
      <c r="A1679" s="17">
        <v>256</v>
      </c>
      <c r="B1679" s="31">
        <v>49355</v>
      </c>
      <c r="C1679" s="32">
        <f>INDEX('Input Data'!$B:$B,A1679)/2+IF(A1679&lt;&gt;A1680,100,0)</f>
        <v>2.1875</v>
      </c>
      <c r="D1679" s="33">
        <f>INDEX('ZCB Curve - Payment Dates'!$D$2:$D$246,MATCH(B1679,'ZCB Curve - Payment Dates'!$A$2:$A$246,0))</f>
        <v>0.674047377898778</v>
      </c>
      <c r="E1679" s="32">
        <f t="shared" si="26"/>
        <v>1.4744786391535769</v>
      </c>
    </row>
    <row r="1680" spans="1:5" x14ac:dyDescent="0.25">
      <c r="A1680" s="17">
        <v>256</v>
      </c>
      <c r="B1680" s="31">
        <v>49536</v>
      </c>
      <c r="C1680" s="32">
        <f>INDEX('Input Data'!$B:$B,A1680)/2+IF(A1680&lt;&gt;A1681,100,0)</f>
        <v>2.1875</v>
      </c>
      <c r="D1680" s="33">
        <f>INDEX('ZCB Curve - Payment Dates'!$D$2:$D$246,MATCH(B1680,'ZCB Curve - Payment Dates'!$A$2:$A$246,0))</f>
        <v>0.65684432300638129</v>
      </c>
      <c r="E1680" s="32">
        <f t="shared" si="26"/>
        <v>1.436846956576459</v>
      </c>
    </row>
    <row r="1681" spans="1:5" x14ac:dyDescent="0.25">
      <c r="A1681" s="17">
        <v>256</v>
      </c>
      <c r="B1681" s="31">
        <v>49720</v>
      </c>
      <c r="C1681" s="32">
        <f>INDEX('Input Data'!$B:$B,A1681)/2+IF(A1681&lt;&gt;A1682,100,0)</f>
        <v>2.1875</v>
      </c>
      <c r="D1681" s="33">
        <f>INDEX('ZCB Curve - Payment Dates'!$D$2:$D$246,MATCH(B1681,'ZCB Curve - Payment Dates'!$A$2:$A$246,0))</f>
        <v>0.63949604524993764</v>
      </c>
      <c r="E1681" s="32">
        <f t="shared" si="26"/>
        <v>1.3988975989842385</v>
      </c>
    </row>
    <row r="1682" spans="1:5" x14ac:dyDescent="0.25">
      <c r="A1682" s="17">
        <v>256</v>
      </c>
      <c r="B1682" s="31">
        <v>49902</v>
      </c>
      <c r="C1682" s="32">
        <f>INDEX('Input Data'!$B:$B,A1682)/2+IF(A1682&lt;&gt;A1683,100,0)</f>
        <v>2.1875</v>
      </c>
      <c r="D1682" s="33">
        <f>INDEX('ZCB Curve - Payment Dates'!$D$2:$D$246,MATCH(B1682,'ZCB Curve - Payment Dates'!$A$2:$A$246,0))</f>
        <v>0.62248862376822711</v>
      </c>
      <c r="E1682" s="32">
        <f t="shared" si="26"/>
        <v>1.3616938644929968</v>
      </c>
    </row>
    <row r="1683" spans="1:5" x14ac:dyDescent="0.25">
      <c r="A1683" s="17">
        <v>256</v>
      </c>
      <c r="B1683" s="31">
        <v>50086</v>
      </c>
      <c r="C1683" s="32">
        <f>INDEX('Input Data'!$B:$B,A1683)/2+IF(A1683&lt;&gt;A1684,100,0)</f>
        <v>2.1875</v>
      </c>
      <c r="D1683" s="33">
        <f>INDEX('ZCB Curve - Payment Dates'!$D$2:$D$246,MATCH(B1683,'ZCB Curve - Payment Dates'!$A$2:$A$246,0))</f>
        <v>0.60546490876014969</v>
      </c>
      <c r="E1683" s="32">
        <f t="shared" si="26"/>
        <v>1.3244544879128275</v>
      </c>
    </row>
    <row r="1684" spans="1:5" x14ac:dyDescent="0.25">
      <c r="A1684" s="17">
        <v>256</v>
      </c>
      <c r="B1684" s="31">
        <v>50267</v>
      </c>
      <c r="C1684" s="32">
        <f>INDEX('Input Data'!$B:$B,A1684)/2+IF(A1684&lt;&gt;A1685,100,0)</f>
        <v>2.1875</v>
      </c>
      <c r="D1684" s="33">
        <f>INDEX('ZCB Curve - Payment Dates'!$D$2:$D$246,MATCH(B1684,'ZCB Curve - Payment Dates'!$A$2:$A$246,0))</f>
        <v>0.58890683803346977</v>
      </c>
      <c r="E1684" s="32">
        <f t="shared" si="26"/>
        <v>1.2882337081982151</v>
      </c>
    </row>
    <row r="1685" spans="1:5" x14ac:dyDescent="0.25">
      <c r="A1685" s="17">
        <v>256</v>
      </c>
      <c r="B1685" s="31">
        <v>50451</v>
      </c>
      <c r="C1685" s="32">
        <f>INDEX('Input Data'!$B:$B,A1685)/2+IF(A1685&lt;&gt;A1686,100,0)</f>
        <v>102.1875</v>
      </c>
      <c r="D1685" s="33">
        <f>INDEX('ZCB Curve - Payment Dates'!$D$2:$D$246,MATCH(B1685,'ZCB Curve - Payment Dates'!$A$2:$A$246,0))</f>
        <v>0.57228983695479263</v>
      </c>
      <c r="E1685" s="32">
        <f t="shared" si="26"/>
        <v>58.480867713817872</v>
      </c>
    </row>
    <row r="1686" spans="1:5" x14ac:dyDescent="0.25">
      <c r="A1686" s="17">
        <v>257</v>
      </c>
      <c r="B1686" s="31">
        <v>46341</v>
      </c>
      <c r="C1686" s="32">
        <f>INDEX('Input Data'!$B:$B,A1686)/2+IF(A1686&lt;&gt;A1687,100,0)</f>
        <v>2.25</v>
      </c>
      <c r="D1686" s="33">
        <f>INDEX('ZCB Curve - Payment Dates'!$D$2:$D$246,MATCH(B1686,'ZCB Curve - Payment Dates'!$A$2:$A$246,0))</f>
        <v>0.99245367292309439</v>
      </c>
      <c r="E1686" s="32">
        <f t="shared" si="26"/>
        <v>2.2330207640769624</v>
      </c>
    </row>
    <row r="1687" spans="1:5" x14ac:dyDescent="0.25">
      <c r="A1687" s="17">
        <v>257</v>
      </c>
      <c r="B1687" s="31">
        <v>46522</v>
      </c>
      <c r="C1687" s="32">
        <f>INDEX('Input Data'!$B:$B,A1687)/2+IF(A1687&lt;&gt;A1688,100,0)</f>
        <v>2.25</v>
      </c>
      <c r="D1687" s="33">
        <f>INDEX('ZCB Curve - Payment Dates'!$D$2:$D$246,MATCH(B1687,'ZCB Curve - Payment Dates'!$A$2:$A$246,0))</f>
        <v>0.97242179559611874</v>
      </c>
      <c r="E1687" s="32">
        <f t="shared" si="26"/>
        <v>2.1879490400912673</v>
      </c>
    </row>
    <row r="1688" spans="1:5" x14ac:dyDescent="0.25">
      <c r="A1688" s="17">
        <v>257</v>
      </c>
      <c r="B1688" s="31">
        <v>46706</v>
      </c>
      <c r="C1688" s="32">
        <f>INDEX('Input Data'!$B:$B,A1688)/2+IF(A1688&lt;&gt;A1689,100,0)</f>
        <v>2.25</v>
      </c>
      <c r="D1688" s="33">
        <f>INDEX('ZCB Curve - Payment Dates'!$D$2:$D$246,MATCH(B1688,'ZCB Curve - Payment Dates'!$A$2:$A$246,0))</f>
        <v>0.95121018311627348</v>
      </c>
      <c r="E1688" s="32">
        <f t="shared" si="26"/>
        <v>2.1402229120116152</v>
      </c>
    </row>
    <row r="1689" spans="1:5" x14ac:dyDescent="0.25">
      <c r="A1689" s="17">
        <v>257</v>
      </c>
      <c r="B1689" s="31">
        <v>46888</v>
      </c>
      <c r="C1689" s="32">
        <f>INDEX('Input Data'!$B:$B,A1689)/2+IF(A1689&lt;&gt;A1690,100,0)</f>
        <v>2.25</v>
      </c>
      <c r="D1689" s="33">
        <f>INDEX('ZCB Curve - Payment Dates'!$D$2:$D$246,MATCH(B1689,'ZCB Curve - Payment Dates'!$A$2:$A$246,0))</f>
        <v>0.93000025435083566</v>
      </c>
      <c r="E1689" s="32">
        <f t="shared" si="26"/>
        <v>2.0925005722893801</v>
      </c>
    </row>
    <row r="1690" spans="1:5" x14ac:dyDescent="0.25">
      <c r="A1690" s="17">
        <v>257</v>
      </c>
      <c r="B1690" s="31">
        <v>47072</v>
      </c>
      <c r="C1690" s="32">
        <f>INDEX('Input Data'!$B:$B,A1690)/2+IF(A1690&lt;&gt;A1691,100,0)</f>
        <v>2.25</v>
      </c>
      <c r="D1690" s="33">
        <f>INDEX('ZCB Curve - Payment Dates'!$D$2:$D$246,MATCH(B1690,'ZCB Curve - Payment Dates'!$A$2:$A$246,0))</f>
        <v>0.90870125167038918</v>
      </c>
      <c r="E1690" s="32">
        <f t="shared" si="26"/>
        <v>2.0445778162583759</v>
      </c>
    </row>
    <row r="1691" spans="1:5" x14ac:dyDescent="0.25">
      <c r="A1691" s="17">
        <v>257</v>
      </c>
      <c r="B1691" s="31">
        <v>47253</v>
      </c>
      <c r="C1691" s="32">
        <f>INDEX('Input Data'!$B:$B,A1691)/2+IF(A1691&lt;&gt;A1692,100,0)</f>
        <v>2.25</v>
      </c>
      <c r="D1691" s="33">
        <f>INDEX('ZCB Curve - Payment Dates'!$D$2:$D$246,MATCH(B1691,'ZCB Curve - Payment Dates'!$A$2:$A$246,0))</f>
        <v>0.88809325063638844</v>
      </c>
      <c r="E1691" s="32">
        <f t="shared" si="26"/>
        <v>1.998209813931874</v>
      </c>
    </row>
    <row r="1692" spans="1:5" x14ac:dyDescent="0.25">
      <c r="A1692" s="17">
        <v>257</v>
      </c>
      <c r="B1692" s="31">
        <v>47437</v>
      </c>
      <c r="C1692" s="32">
        <f>INDEX('Input Data'!$B:$B,A1692)/2+IF(A1692&lt;&gt;A1693,100,0)</f>
        <v>2.25</v>
      </c>
      <c r="D1692" s="33">
        <f>INDEX('ZCB Curve - Payment Dates'!$D$2:$D$246,MATCH(B1692,'ZCB Curve - Payment Dates'!$A$2:$A$246,0))</f>
        <v>0.86758824089536279</v>
      </c>
      <c r="E1692" s="32">
        <f t="shared" si="26"/>
        <v>1.9520735420145663</v>
      </c>
    </row>
    <row r="1693" spans="1:5" x14ac:dyDescent="0.25">
      <c r="A1693" s="17">
        <v>257</v>
      </c>
      <c r="B1693" s="31">
        <v>47618</v>
      </c>
      <c r="C1693" s="32">
        <f>INDEX('Input Data'!$B:$B,A1693)/2+IF(A1693&lt;&gt;A1694,100,0)</f>
        <v>2.25</v>
      </c>
      <c r="D1693" s="33">
        <f>INDEX('ZCB Curve - Payment Dates'!$D$2:$D$246,MATCH(B1693,'ZCB Curve - Payment Dates'!$A$2:$A$246,0))</f>
        <v>0.84787416911783064</v>
      </c>
      <c r="E1693" s="32">
        <f t="shared" si="26"/>
        <v>1.907716880515119</v>
      </c>
    </row>
    <row r="1694" spans="1:5" x14ac:dyDescent="0.25">
      <c r="A1694" s="17">
        <v>257</v>
      </c>
      <c r="B1694" s="31">
        <v>47802</v>
      </c>
      <c r="C1694" s="32">
        <f>INDEX('Input Data'!$B:$B,A1694)/2+IF(A1694&lt;&gt;A1695,100,0)</f>
        <v>2.25</v>
      </c>
      <c r="D1694" s="33">
        <f>INDEX('ZCB Curve - Payment Dates'!$D$2:$D$246,MATCH(B1694,'ZCB Curve - Payment Dates'!$A$2:$A$246,0))</f>
        <v>0.82827715028796722</v>
      </c>
      <c r="E1694" s="32">
        <f t="shared" si="26"/>
        <v>1.8636235881479262</v>
      </c>
    </row>
    <row r="1695" spans="1:5" x14ac:dyDescent="0.25">
      <c r="A1695" s="17">
        <v>257</v>
      </c>
      <c r="B1695" s="31">
        <v>47983</v>
      </c>
      <c r="C1695" s="32">
        <f>INDEX('Input Data'!$B:$B,A1695)/2+IF(A1695&lt;&gt;A1696,100,0)</f>
        <v>2.25</v>
      </c>
      <c r="D1695" s="33">
        <f>INDEX('ZCB Curve - Payment Dates'!$D$2:$D$246,MATCH(B1695,'ZCB Curve - Payment Dates'!$A$2:$A$246,0))</f>
        <v>0.80939067484273564</v>
      </c>
      <c r="E1695" s="32">
        <f t="shared" si="26"/>
        <v>1.8211290183961553</v>
      </c>
    </row>
    <row r="1696" spans="1:5" x14ac:dyDescent="0.25">
      <c r="A1696" s="17">
        <v>257</v>
      </c>
      <c r="B1696" s="31">
        <v>48167</v>
      </c>
      <c r="C1696" s="32">
        <f>INDEX('Input Data'!$B:$B,A1696)/2+IF(A1696&lt;&gt;A1697,100,0)</f>
        <v>2.25</v>
      </c>
      <c r="D1696" s="33">
        <f>INDEX('ZCB Curve - Payment Dates'!$D$2:$D$246,MATCH(B1696,'ZCB Curve - Payment Dates'!$A$2:$A$246,0))</f>
        <v>0.79053567842581962</v>
      </c>
      <c r="E1696" s="32">
        <f t="shared" si="26"/>
        <v>1.7787052764580942</v>
      </c>
    </row>
    <row r="1697" spans="1:5" x14ac:dyDescent="0.25">
      <c r="A1697" s="17">
        <v>257</v>
      </c>
      <c r="B1697" s="31">
        <v>48349</v>
      </c>
      <c r="C1697" s="32">
        <f>INDEX('Input Data'!$B:$B,A1697)/2+IF(A1697&lt;&gt;A1698,100,0)</f>
        <v>2.25</v>
      </c>
      <c r="D1697" s="33">
        <f>INDEX('ZCB Curve - Payment Dates'!$D$2:$D$246,MATCH(B1697,'ZCB Curve - Payment Dates'!$A$2:$A$246,0))</f>
        <v>0.77217305702007488</v>
      </c>
      <c r="E1697" s="32">
        <f t="shared" si="26"/>
        <v>1.7373893782951684</v>
      </c>
    </row>
    <row r="1698" spans="1:5" x14ac:dyDescent="0.25">
      <c r="A1698" s="17">
        <v>257</v>
      </c>
      <c r="B1698" s="31">
        <v>48533</v>
      </c>
      <c r="C1698" s="32">
        <f>INDEX('Input Data'!$B:$B,A1698)/2+IF(A1698&lt;&gt;A1699,100,0)</f>
        <v>2.25</v>
      </c>
      <c r="D1698" s="33">
        <f>INDEX('ZCB Curve - Payment Dates'!$D$2:$D$246,MATCH(B1698,'ZCB Curve - Payment Dates'!$A$2:$A$246,0))</f>
        <v>0.75384766072076514</v>
      </c>
      <c r="E1698" s="32">
        <f t="shared" si="26"/>
        <v>1.6961572366217217</v>
      </c>
    </row>
    <row r="1699" spans="1:5" x14ac:dyDescent="0.25">
      <c r="A1699" s="17">
        <v>257</v>
      </c>
      <c r="B1699" s="31">
        <v>48714</v>
      </c>
      <c r="C1699" s="32">
        <f>INDEX('Input Data'!$B:$B,A1699)/2+IF(A1699&lt;&gt;A1700,100,0)</f>
        <v>2.25</v>
      </c>
      <c r="D1699" s="33">
        <f>INDEX('ZCB Curve - Payment Dates'!$D$2:$D$246,MATCH(B1699,'ZCB Curve - Payment Dates'!$A$2:$A$246,0))</f>
        <v>0.73601491848746747</v>
      </c>
      <c r="E1699" s="32">
        <f t="shared" si="26"/>
        <v>1.6560335665968018</v>
      </c>
    </row>
    <row r="1700" spans="1:5" x14ac:dyDescent="0.25">
      <c r="A1700" s="17">
        <v>257</v>
      </c>
      <c r="B1700" s="31">
        <v>48898</v>
      </c>
      <c r="C1700" s="32">
        <f>INDEX('Input Data'!$B:$B,A1700)/2+IF(A1700&lt;&gt;A1701,100,0)</f>
        <v>2.25</v>
      </c>
      <c r="D1700" s="33">
        <f>INDEX('ZCB Curve - Payment Dates'!$D$2:$D$246,MATCH(B1700,'ZCB Curve - Payment Dates'!$A$2:$A$246,0))</f>
        <v>0.71805338140354003</v>
      </c>
      <c r="E1700" s="32">
        <f t="shared" si="26"/>
        <v>1.6156201081579651</v>
      </c>
    </row>
    <row r="1701" spans="1:5" x14ac:dyDescent="0.25">
      <c r="A1701" s="17">
        <v>257</v>
      </c>
      <c r="B1701" s="31">
        <v>49079</v>
      </c>
      <c r="C1701" s="32">
        <f>INDEX('Input Data'!$B:$B,A1701)/2+IF(A1701&lt;&gt;A1702,100,0)</f>
        <v>2.25</v>
      </c>
      <c r="D1701" s="33">
        <f>INDEX('ZCB Curve - Payment Dates'!$D$2:$D$246,MATCH(B1701,'ZCB Curve - Payment Dates'!$A$2:$A$246,0))</f>
        <v>0.70052630492471468</v>
      </c>
      <c r="E1701" s="32">
        <f t="shared" si="26"/>
        <v>1.5761841860806081</v>
      </c>
    </row>
    <row r="1702" spans="1:5" x14ac:dyDescent="0.25">
      <c r="A1702" s="17">
        <v>257</v>
      </c>
      <c r="B1702" s="31">
        <v>49263</v>
      </c>
      <c r="C1702" s="32">
        <f>INDEX('Input Data'!$B:$B,A1702)/2+IF(A1702&lt;&gt;A1703,100,0)</f>
        <v>2.25</v>
      </c>
      <c r="D1702" s="33">
        <f>INDEX('ZCB Curve - Payment Dates'!$D$2:$D$246,MATCH(B1702,'ZCB Curve - Payment Dates'!$A$2:$A$246,0))</f>
        <v>0.68284221202539863</v>
      </c>
      <c r="E1702" s="32">
        <f t="shared" si="26"/>
        <v>1.536394977057147</v>
      </c>
    </row>
    <row r="1703" spans="1:5" x14ac:dyDescent="0.25">
      <c r="A1703" s="17">
        <v>257</v>
      </c>
      <c r="B1703" s="31">
        <v>49444</v>
      </c>
      <c r="C1703" s="32">
        <f>INDEX('Input Data'!$B:$B,A1703)/2+IF(A1703&lt;&gt;A1704,100,0)</f>
        <v>2.25</v>
      </c>
      <c r="D1703" s="33">
        <f>INDEX('ZCB Curve - Payment Dates'!$D$2:$D$246,MATCH(B1703,'ZCB Curve - Payment Dates'!$A$2:$A$246,0))</f>
        <v>0.66557347415228496</v>
      </c>
      <c r="E1703" s="32">
        <f t="shared" si="26"/>
        <v>1.4975403168426411</v>
      </c>
    </row>
    <row r="1704" spans="1:5" x14ac:dyDescent="0.25">
      <c r="A1704" s="17">
        <v>257</v>
      </c>
      <c r="B1704" s="31">
        <v>49628</v>
      </c>
      <c r="C1704" s="32">
        <f>INDEX('Input Data'!$B:$B,A1704)/2+IF(A1704&lt;&gt;A1705,100,0)</f>
        <v>2.25</v>
      </c>
      <c r="D1704" s="33">
        <f>INDEX('ZCB Curve - Payment Dates'!$D$2:$D$246,MATCH(B1704,'ZCB Curve - Payment Dates'!$A$2:$A$246,0))</f>
        <v>0.64815361918127823</v>
      </c>
      <c r="E1704" s="32">
        <f t="shared" si="26"/>
        <v>1.4583456431578761</v>
      </c>
    </row>
    <row r="1705" spans="1:5" x14ac:dyDescent="0.25">
      <c r="A1705" s="17">
        <v>257</v>
      </c>
      <c r="B1705" s="31">
        <v>49810</v>
      </c>
      <c r="C1705" s="32">
        <f>INDEX('Input Data'!$B:$B,A1705)/2+IF(A1705&lt;&gt;A1706,100,0)</f>
        <v>2.25</v>
      </c>
      <c r="D1705" s="33">
        <f>INDEX('ZCB Curve - Payment Dates'!$D$2:$D$246,MATCH(B1705,'ZCB Curve - Payment Dates'!$A$2:$A$246,0))</f>
        <v>0.63106457078577471</v>
      </c>
      <c r="E1705" s="32">
        <f t="shared" si="26"/>
        <v>1.4198952842679931</v>
      </c>
    </row>
    <row r="1706" spans="1:5" x14ac:dyDescent="0.25">
      <c r="A1706" s="17">
        <v>257</v>
      </c>
      <c r="B1706" s="31">
        <v>49994</v>
      </c>
      <c r="C1706" s="32">
        <f>INDEX('Input Data'!$B:$B,A1706)/2+IF(A1706&lt;&gt;A1707,100,0)</f>
        <v>2.25</v>
      </c>
      <c r="D1706" s="33">
        <f>INDEX('ZCB Curve - Payment Dates'!$D$2:$D$246,MATCH(B1706,'ZCB Curve - Payment Dates'!$A$2:$A$246,0))</f>
        <v>0.61395227923184648</v>
      </c>
      <c r="E1706" s="32">
        <f t="shared" si="26"/>
        <v>1.3813926282716547</v>
      </c>
    </row>
    <row r="1707" spans="1:5" x14ac:dyDescent="0.25">
      <c r="A1707" s="17">
        <v>257</v>
      </c>
      <c r="B1707" s="31">
        <v>50175</v>
      </c>
      <c r="C1707" s="32">
        <f>INDEX('Input Data'!$B:$B,A1707)/2+IF(A1707&lt;&gt;A1708,100,0)</f>
        <v>2.25</v>
      </c>
      <c r="D1707" s="33">
        <f>INDEX('ZCB Curve - Payment Dates'!$D$2:$D$246,MATCH(B1707,'ZCB Curve - Payment Dates'!$A$2:$A$246,0))</f>
        <v>0.5972963482314616</v>
      </c>
      <c r="E1707" s="32">
        <f t="shared" si="26"/>
        <v>1.3439167835207886</v>
      </c>
    </row>
    <row r="1708" spans="1:5" x14ac:dyDescent="0.25">
      <c r="A1708" s="17">
        <v>257</v>
      </c>
      <c r="B1708" s="31">
        <v>50359</v>
      </c>
      <c r="C1708" s="32">
        <f>INDEX('Input Data'!$B:$B,A1708)/2+IF(A1708&lt;&gt;A1709,100,0)</f>
        <v>2.25</v>
      </c>
      <c r="D1708" s="33">
        <f>INDEX('ZCB Curve - Payment Dates'!$D$2:$D$246,MATCH(B1708,'ZCB Curve - Payment Dates'!$A$2:$A$246,0))</f>
        <v>0.58056812006155756</v>
      </c>
      <c r="E1708" s="32">
        <f t="shared" si="26"/>
        <v>1.3062782701385045</v>
      </c>
    </row>
    <row r="1709" spans="1:5" x14ac:dyDescent="0.25">
      <c r="A1709" s="17">
        <v>257</v>
      </c>
      <c r="B1709" s="31">
        <v>50540</v>
      </c>
      <c r="C1709" s="32">
        <f>INDEX('Input Data'!$B:$B,A1709)/2+IF(A1709&lt;&gt;A1710,100,0)</f>
        <v>102.25</v>
      </c>
      <c r="D1709" s="33">
        <f>INDEX('ZCB Curve - Payment Dates'!$D$2:$D$246,MATCH(B1709,'ZCB Curve - Payment Dates'!$A$2:$A$246,0))</f>
        <v>0.56433491315969797</v>
      </c>
      <c r="E1709" s="32">
        <f t="shared" si="26"/>
        <v>57.70324487057912</v>
      </c>
    </row>
    <row r="1710" spans="1:5" x14ac:dyDescent="0.25">
      <c r="A1710" s="17">
        <v>258</v>
      </c>
      <c r="B1710" s="31">
        <v>46433</v>
      </c>
      <c r="C1710" s="32">
        <f>INDEX('Input Data'!$B:$B,A1710)/2+IF(A1710&lt;&gt;A1711,100,0)</f>
        <v>1.75</v>
      </c>
      <c r="D1710" s="33">
        <f>INDEX('ZCB Curve - Payment Dates'!$D$2:$D$246,MATCH(B1710,'ZCB Curve - Payment Dates'!$A$2:$A$246,0))</f>
        <v>0.98242671792446301</v>
      </c>
      <c r="E1710" s="32">
        <f t="shared" si="26"/>
        <v>1.7192467563678102</v>
      </c>
    </row>
    <row r="1711" spans="1:5" x14ac:dyDescent="0.25">
      <c r="A1711" s="17">
        <v>258</v>
      </c>
      <c r="B1711" s="31">
        <v>46614</v>
      </c>
      <c r="C1711" s="32">
        <f>INDEX('Input Data'!$B:$B,A1711)/2+IF(A1711&lt;&gt;A1712,100,0)</f>
        <v>1.75</v>
      </c>
      <c r="D1711" s="33">
        <f>INDEX('ZCB Curve - Payment Dates'!$D$2:$D$246,MATCH(B1711,'ZCB Curve - Payment Dates'!$A$2:$A$246,0))</f>
        <v>0.96187948164765535</v>
      </c>
      <c r="E1711" s="32">
        <f t="shared" si="26"/>
        <v>1.6832890928833968</v>
      </c>
    </row>
    <row r="1712" spans="1:5" x14ac:dyDescent="0.25">
      <c r="A1712" s="17">
        <v>258</v>
      </c>
      <c r="B1712" s="31">
        <v>46798</v>
      </c>
      <c r="C1712" s="32">
        <f>INDEX('Input Data'!$B:$B,A1712)/2+IF(A1712&lt;&gt;A1713,100,0)</f>
        <v>1.75</v>
      </c>
      <c r="D1712" s="33">
        <f>INDEX('ZCB Curve - Payment Dates'!$D$2:$D$246,MATCH(B1712,'ZCB Curve - Payment Dates'!$A$2:$A$246,0))</f>
        <v>0.94049096132648802</v>
      </c>
      <c r="E1712" s="32">
        <f t="shared" si="26"/>
        <v>1.645859182321354</v>
      </c>
    </row>
    <row r="1713" spans="1:5" x14ac:dyDescent="0.25">
      <c r="A1713" s="17">
        <v>258</v>
      </c>
      <c r="B1713" s="31">
        <v>46980</v>
      </c>
      <c r="C1713" s="32">
        <f>INDEX('Input Data'!$B:$B,A1713)/2+IF(A1713&lt;&gt;A1714,100,0)</f>
        <v>1.75</v>
      </c>
      <c r="D1713" s="33">
        <f>INDEX('ZCB Curve - Payment Dates'!$D$2:$D$246,MATCH(B1713,'ZCB Curve - Payment Dates'!$A$2:$A$246,0))</f>
        <v>0.91931844130238327</v>
      </c>
      <c r="E1713" s="32">
        <f t="shared" si="26"/>
        <v>1.6088072722791706</v>
      </c>
    </row>
    <row r="1714" spans="1:5" x14ac:dyDescent="0.25">
      <c r="A1714" s="17">
        <v>258</v>
      </c>
      <c r="B1714" s="31">
        <v>47164</v>
      </c>
      <c r="C1714" s="32">
        <f>INDEX('Input Data'!$B:$B,A1714)/2+IF(A1714&lt;&gt;A1715,100,0)</f>
        <v>1.75</v>
      </c>
      <c r="D1714" s="33">
        <f>INDEX('ZCB Curve - Payment Dates'!$D$2:$D$246,MATCH(B1714,'ZCB Curve - Payment Dates'!$A$2:$A$246,0))</f>
        <v>0.89817430058086534</v>
      </c>
      <c r="E1714" s="32">
        <f t="shared" si="26"/>
        <v>1.5718050260165144</v>
      </c>
    </row>
    <row r="1715" spans="1:5" x14ac:dyDescent="0.25">
      <c r="A1715" s="17">
        <v>258</v>
      </c>
      <c r="B1715" s="31">
        <v>47345</v>
      </c>
      <c r="C1715" s="32">
        <f>INDEX('Input Data'!$B:$B,A1715)/2+IF(A1715&lt;&gt;A1716,100,0)</f>
        <v>1.75</v>
      </c>
      <c r="D1715" s="33">
        <f>INDEX('ZCB Curve - Payment Dates'!$D$2:$D$246,MATCH(B1715,'ZCB Curve - Payment Dates'!$A$2:$A$246,0))</f>
        <v>0.87778421628860481</v>
      </c>
      <c r="E1715" s="32">
        <f t="shared" si="26"/>
        <v>1.5361223785050584</v>
      </c>
    </row>
    <row r="1716" spans="1:5" x14ac:dyDescent="0.25">
      <c r="A1716" s="17">
        <v>258</v>
      </c>
      <c r="B1716" s="31">
        <v>47529</v>
      </c>
      <c r="C1716" s="32">
        <f>INDEX('Input Data'!$B:$B,A1716)/2+IF(A1716&lt;&gt;A1717,100,0)</f>
        <v>1.75</v>
      </c>
      <c r="D1716" s="33">
        <f>INDEX('ZCB Curve - Payment Dates'!$D$2:$D$246,MATCH(B1716,'ZCB Curve - Payment Dates'!$A$2:$A$246,0))</f>
        <v>0.85751015570959666</v>
      </c>
      <c r="E1716" s="32">
        <f t="shared" si="26"/>
        <v>1.5006427724917941</v>
      </c>
    </row>
    <row r="1717" spans="1:5" x14ac:dyDescent="0.25">
      <c r="A1717" s="17">
        <v>258</v>
      </c>
      <c r="B1717" s="31">
        <v>47710</v>
      </c>
      <c r="C1717" s="32">
        <f>INDEX('Input Data'!$B:$B,A1717)/2+IF(A1717&lt;&gt;A1718,100,0)</f>
        <v>1.75</v>
      </c>
      <c r="D1717" s="33">
        <f>INDEX('ZCB Curve - Payment Dates'!$D$2:$D$246,MATCH(B1717,'ZCB Curve - Payment Dates'!$A$2:$A$246,0))</f>
        <v>0.83802423748211174</v>
      </c>
      <c r="E1717" s="32">
        <f t="shared" si="26"/>
        <v>1.4665424155936955</v>
      </c>
    </row>
    <row r="1718" spans="1:5" x14ac:dyDescent="0.25">
      <c r="A1718" s="17">
        <v>258</v>
      </c>
      <c r="B1718" s="31">
        <v>47894</v>
      </c>
      <c r="C1718" s="32">
        <f>INDEX('Input Data'!$B:$B,A1718)/2+IF(A1718&lt;&gt;A1719,100,0)</f>
        <v>1.75</v>
      </c>
      <c r="D1718" s="33">
        <f>INDEX('ZCB Curve - Payment Dates'!$D$2:$D$246,MATCH(B1718,'ZCB Curve - Payment Dates'!$A$2:$A$246,0))</f>
        <v>0.8186305474741673</v>
      </c>
      <c r="E1718" s="32">
        <f t="shared" si="26"/>
        <v>1.4326034580797928</v>
      </c>
    </row>
    <row r="1719" spans="1:5" x14ac:dyDescent="0.25">
      <c r="A1719" s="17">
        <v>258</v>
      </c>
      <c r="B1719" s="31">
        <v>48075</v>
      </c>
      <c r="C1719" s="32">
        <f>INDEX('Input Data'!$B:$B,A1719)/2+IF(A1719&lt;&gt;A1720,100,0)</f>
        <v>1.75</v>
      </c>
      <c r="D1719" s="33">
        <f>INDEX('ZCB Curve - Payment Dates'!$D$2:$D$246,MATCH(B1719,'ZCB Curve - Payment Dates'!$A$2:$A$246,0))</f>
        <v>0.7999252334775927</v>
      </c>
      <c r="E1719" s="32">
        <f t="shared" si="26"/>
        <v>1.3998691585857872</v>
      </c>
    </row>
    <row r="1720" spans="1:5" x14ac:dyDescent="0.25">
      <c r="A1720" s="17">
        <v>258</v>
      </c>
      <c r="B1720" s="31">
        <v>48259</v>
      </c>
      <c r="C1720" s="32">
        <f>INDEX('Input Data'!$B:$B,A1720)/2+IF(A1720&lt;&gt;A1721,100,0)</f>
        <v>1.75</v>
      </c>
      <c r="D1720" s="33">
        <f>INDEX('ZCB Curve - Payment Dates'!$D$2:$D$246,MATCH(B1720,'ZCB Curve - Payment Dates'!$A$2:$A$246,0))</f>
        <v>0.78121887027612602</v>
      </c>
      <c r="E1720" s="32">
        <f t="shared" si="26"/>
        <v>1.3671330229832206</v>
      </c>
    </row>
    <row r="1721" spans="1:5" x14ac:dyDescent="0.25">
      <c r="A1721" s="17">
        <v>258</v>
      </c>
      <c r="B1721" s="31">
        <v>48441</v>
      </c>
      <c r="C1721" s="32">
        <f>INDEX('Input Data'!$B:$B,A1721)/2+IF(A1721&lt;&gt;A1722,100,0)</f>
        <v>1.75</v>
      </c>
      <c r="D1721" s="33">
        <f>INDEX('ZCB Curve - Payment Dates'!$D$2:$D$246,MATCH(B1721,'ZCB Curve - Payment Dates'!$A$2:$A$246,0))</f>
        <v>0.76298123459017864</v>
      </c>
      <c r="E1721" s="32">
        <f t="shared" si="26"/>
        <v>1.3352171605328127</v>
      </c>
    </row>
    <row r="1722" spans="1:5" x14ac:dyDescent="0.25">
      <c r="A1722" s="17">
        <v>258</v>
      </c>
      <c r="B1722" s="31">
        <v>48625</v>
      </c>
      <c r="C1722" s="32">
        <f>INDEX('Input Data'!$B:$B,A1722)/2+IF(A1722&lt;&gt;A1723,100,0)</f>
        <v>1.75</v>
      </c>
      <c r="D1722" s="33">
        <f>INDEX('ZCB Curve - Payment Dates'!$D$2:$D$246,MATCH(B1722,'ZCB Curve - Payment Dates'!$A$2:$A$246,0))</f>
        <v>0.74476011611938586</v>
      </c>
      <c r="E1722" s="32">
        <f t="shared" si="26"/>
        <v>1.3033302032089253</v>
      </c>
    </row>
    <row r="1723" spans="1:5" x14ac:dyDescent="0.25">
      <c r="A1723" s="17">
        <v>258</v>
      </c>
      <c r="B1723" s="31">
        <v>48806</v>
      </c>
      <c r="C1723" s="32">
        <f>INDEX('Input Data'!$B:$B,A1723)/2+IF(A1723&lt;&gt;A1724,100,0)</f>
        <v>1.75</v>
      </c>
      <c r="D1723" s="33">
        <f>INDEX('ZCB Curve - Payment Dates'!$D$2:$D$246,MATCH(B1723,'ZCB Curve - Payment Dates'!$A$2:$A$246,0))</f>
        <v>0.72701302496114584</v>
      </c>
      <c r="E1723" s="32">
        <f t="shared" si="26"/>
        <v>1.2722727936820053</v>
      </c>
    </row>
    <row r="1724" spans="1:5" x14ac:dyDescent="0.25">
      <c r="A1724" s="17">
        <v>258</v>
      </c>
      <c r="B1724" s="31">
        <v>48990</v>
      </c>
      <c r="C1724" s="32">
        <f>INDEX('Input Data'!$B:$B,A1724)/2+IF(A1724&lt;&gt;A1725,100,0)</f>
        <v>1.75</v>
      </c>
      <c r="D1724" s="33">
        <f>INDEX('ZCB Curve - Payment Dates'!$D$2:$D$246,MATCH(B1724,'ZCB Curve - Payment Dates'!$A$2:$A$246,0))</f>
        <v>0.70912647031380449</v>
      </c>
      <c r="E1724" s="32">
        <f t="shared" si="26"/>
        <v>1.2409713230491579</v>
      </c>
    </row>
    <row r="1725" spans="1:5" x14ac:dyDescent="0.25">
      <c r="A1725" s="17">
        <v>258</v>
      </c>
      <c r="B1725" s="31">
        <v>49171</v>
      </c>
      <c r="C1725" s="32">
        <f>INDEX('Input Data'!$B:$B,A1725)/2+IF(A1725&lt;&gt;A1726,100,0)</f>
        <v>1.75</v>
      </c>
      <c r="D1725" s="33">
        <f>INDEX('ZCB Curve - Payment Dates'!$D$2:$D$246,MATCH(B1725,'ZCB Curve - Payment Dates'!$A$2:$A$246,0))</f>
        <v>0.6916661505723215</v>
      </c>
      <c r="E1725" s="32">
        <f t="shared" si="26"/>
        <v>1.2104157635015627</v>
      </c>
    </row>
    <row r="1726" spans="1:5" x14ac:dyDescent="0.25">
      <c r="A1726" s="17">
        <v>258</v>
      </c>
      <c r="B1726" s="31">
        <v>49355</v>
      </c>
      <c r="C1726" s="32">
        <f>INDEX('Input Data'!$B:$B,A1726)/2+IF(A1726&lt;&gt;A1727,100,0)</f>
        <v>1.75</v>
      </c>
      <c r="D1726" s="33">
        <f>INDEX('ZCB Curve - Payment Dates'!$D$2:$D$246,MATCH(B1726,'ZCB Curve - Payment Dates'!$A$2:$A$246,0))</f>
        <v>0.674047377898778</v>
      </c>
      <c r="E1726" s="32">
        <f t="shared" si="26"/>
        <v>1.1795829113228615</v>
      </c>
    </row>
    <row r="1727" spans="1:5" x14ac:dyDescent="0.25">
      <c r="A1727" s="17">
        <v>258</v>
      </c>
      <c r="B1727" s="31">
        <v>49536</v>
      </c>
      <c r="C1727" s="32">
        <f>INDEX('Input Data'!$B:$B,A1727)/2+IF(A1727&lt;&gt;A1728,100,0)</f>
        <v>1.75</v>
      </c>
      <c r="D1727" s="33">
        <f>INDEX('ZCB Curve - Payment Dates'!$D$2:$D$246,MATCH(B1727,'ZCB Curve - Payment Dates'!$A$2:$A$246,0))</f>
        <v>0.65684432300638129</v>
      </c>
      <c r="E1727" s="32">
        <f t="shared" si="26"/>
        <v>1.1494775652611673</v>
      </c>
    </row>
    <row r="1728" spans="1:5" x14ac:dyDescent="0.25">
      <c r="A1728" s="17">
        <v>258</v>
      </c>
      <c r="B1728" s="31">
        <v>49720</v>
      </c>
      <c r="C1728" s="32">
        <f>INDEX('Input Data'!$B:$B,A1728)/2+IF(A1728&lt;&gt;A1729,100,0)</f>
        <v>1.75</v>
      </c>
      <c r="D1728" s="33">
        <f>INDEX('ZCB Curve - Payment Dates'!$D$2:$D$246,MATCH(B1728,'ZCB Curve - Payment Dates'!$A$2:$A$246,0))</f>
        <v>0.63949604524993764</v>
      </c>
      <c r="E1728" s="32">
        <f t="shared" si="26"/>
        <v>1.1191180791873909</v>
      </c>
    </row>
    <row r="1729" spans="1:5" x14ac:dyDescent="0.25">
      <c r="A1729" s="17">
        <v>258</v>
      </c>
      <c r="B1729" s="31">
        <v>49902</v>
      </c>
      <c r="C1729" s="32">
        <f>INDEX('Input Data'!$B:$B,A1729)/2+IF(A1729&lt;&gt;A1730,100,0)</f>
        <v>1.75</v>
      </c>
      <c r="D1729" s="33">
        <f>INDEX('ZCB Curve - Payment Dates'!$D$2:$D$246,MATCH(B1729,'ZCB Curve - Payment Dates'!$A$2:$A$246,0))</f>
        <v>0.62248862376822711</v>
      </c>
      <c r="E1729" s="32">
        <f t="shared" si="26"/>
        <v>1.0893550915943975</v>
      </c>
    </row>
    <row r="1730" spans="1:5" x14ac:dyDescent="0.25">
      <c r="A1730" s="17">
        <v>258</v>
      </c>
      <c r="B1730" s="31">
        <v>50086</v>
      </c>
      <c r="C1730" s="32">
        <f>INDEX('Input Data'!$B:$B,A1730)/2+IF(A1730&lt;&gt;A1731,100,0)</f>
        <v>1.75</v>
      </c>
      <c r="D1730" s="33">
        <f>INDEX('ZCB Curve - Payment Dates'!$D$2:$D$246,MATCH(B1730,'ZCB Curve - Payment Dates'!$A$2:$A$246,0))</f>
        <v>0.60546490876014969</v>
      </c>
      <c r="E1730" s="32">
        <f t="shared" ref="E1730:E1793" si="27">C1730*D1730</f>
        <v>1.059563590330262</v>
      </c>
    </row>
    <row r="1731" spans="1:5" x14ac:dyDescent="0.25">
      <c r="A1731" s="17">
        <v>258</v>
      </c>
      <c r="B1731" s="31">
        <v>50267</v>
      </c>
      <c r="C1731" s="32">
        <f>INDEX('Input Data'!$B:$B,A1731)/2+IF(A1731&lt;&gt;A1732,100,0)</f>
        <v>1.75</v>
      </c>
      <c r="D1731" s="33">
        <f>INDEX('ZCB Curve - Payment Dates'!$D$2:$D$246,MATCH(B1731,'ZCB Curve - Payment Dates'!$A$2:$A$246,0))</f>
        <v>0.58890683803346977</v>
      </c>
      <c r="E1731" s="32">
        <f t="shared" si="27"/>
        <v>1.0305869665585721</v>
      </c>
    </row>
    <row r="1732" spans="1:5" x14ac:dyDescent="0.25">
      <c r="A1732" s="17">
        <v>258</v>
      </c>
      <c r="B1732" s="31">
        <v>50451</v>
      </c>
      <c r="C1732" s="32">
        <f>INDEX('Input Data'!$B:$B,A1732)/2+IF(A1732&lt;&gt;A1733,100,0)</f>
        <v>1.75</v>
      </c>
      <c r="D1732" s="33">
        <f>INDEX('ZCB Curve - Payment Dates'!$D$2:$D$246,MATCH(B1732,'ZCB Curve - Payment Dates'!$A$2:$A$246,0))</f>
        <v>0.57228983695479263</v>
      </c>
      <c r="E1732" s="32">
        <f t="shared" si="27"/>
        <v>1.001507214670887</v>
      </c>
    </row>
    <row r="1733" spans="1:5" x14ac:dyDescent="0.25">
      <c r="A1733" s="17">
        <v>258</v>
      </c>
      <c r="B1733" s="31">
        <v>50632</v>
      </c>
      <c r="C1733" s="32">
        <f>INDEX('Input Data'!$B:$B,A1733)/2+IF(A1733&lt;&gt;A1734,100,0)</f>
        <v>1.75</v>
      </c>
      <c r="D1733" s="33">
        <f>INDEX('ZCB Curve - Payment Dates'!$D$2:$D$246,MATCH(B1733,'ZCB Curve - Payment Dates'!$A$2:$A$246,0))</f>
        <v>0.55617795699202288</v>
      </c>
      <c r="E1733" s="32">
        <f t="shared" si="27"/>
        <v>0.97331142473604004</v>
      </c>
    </row>
    <row r="1734" spans="1:5" x14ac:dyDescent="0.25">
      <c r="A1734" s="17">
        <v>258</v>
      </c>
      <c r="B1734" s="31">
        <v>50816</v>
      </c>
      <c r="C1734" s="32">
        <f>INDEX('Input Data'!$B:$B,A1734)/2+IF(A1734&lt;&gt;A1735,100,0)</f>
        <v>101.75</v>
      </c>
      <c r="D1734" s="33">
        <f>INDEX('ZCB Curve - Payment Dates'!$D$2:$D$246,MATCH(B1734,'ZCB Curve - Payment Dates'!$A$2:$A$246,0))</f>
        <v>0.54006240951211237</v>
      </c>
      <c r="E1734" s="32">
        <f t="shared" si="27"/>
        <v>54.951350167857434</v>
      </c>
    </row>
    <row r="1735" spans="1:5" x14ac:dyDescent="0.25">
      <c r="A1735" s="17">
        <v>259</v>
      </c>
      <c r="B1735" s="31">
        <v>46341</v>
      </c>
      <c r="C1735" s="32">
        <f>INDEX('Input Data'!$B:$B,A1735)/2+IF(A1735&lt;&gt;A1736,100,0)</f>
        <v>2.125</v>
      </c>
      <c r="D1735" s="33">
        <f>INDEX('ZCB Curve - Payment Dates'!$D$2:$D$246,MATCH(B1735,'ZCB Curve - Payment Dates'!$A$2:$A$246,0))</f>
        <v>0.99245367292309439</v>
      </c>
      <c r="E1735" s="32">
        <f t="shared" si="27"/>
        <v>2.1089640549615756</v>
      </c>
    </row>
    <row r="1736" spans="1:5" x14ac:dyDescent="0.25">
      <c r="A1736" s="17">
        <v>259</v>
      </c>
      <c r="B1736" s="31">
        <v>46522</v>
      </c>
      <c r="C1736" s="32">
        <f>INDEX('Input Data'!$B:$B,A1736)/2+IF(A1736&lt;&gt;A1737,100,0)</f>
        <v>2.125</v>
      </c>
      <c r="D1736" s="33">
        <f>INDEX('ZCB Curve - Payment Dates'!$D$2:$D$246,MATCH(B1736,'ZCB Curve - Payment Dates'!$A$2:$A$246,0))</f>
        <v>0.97242179559611874</v>
      </c>
      <c r="E1736" s="32">
        <f t="shared" si="27"/>
        <v>2.0663963156417524</v>
      </c>
    </row>
    <row r="1737" spans="1:5" x14ac:dyDescent="0.25">
      <c r="A1737" s="17">
        <v>259</v>
      </c>
      <c r="B1737" s="31">
        <v>46706</v>
      </c>
      <c r="C1737" s="32">
        <f>INDEX('Input Data'!$B:$B,A1737)/2+IF(A1737&lt;&gt;A1738,100,0)</f>
        <v>2.125</v>
      </c>
      <c r="D1737" s="33">
        <f>INDEX('ZCB Curve - Payment Dates'!$D$2:$D$246,MATCH(B1737,'ZCB Curve - Payment Dates'!$A$2:$A$246,0))</f>
        <v>0.95121018311627348</v>
      </c>
      <c r="E1737" s="32">
        <f t="shared" si="27"/>
        <v>2.021321639122081</v>
      </c>
    </row>
    <row r="1738" spans="1:5" x14ac:dyDescent="0.25">
      <c r="A1738" s="17">
        <v>259</v>
      </c>
      <c r="B1738" s="31">
        <v>46888</v>
      </c>
      <c r="C1738" s="32">
        <f>INDEX('Input Data'!$B:$B,A1738)/2+IF(A1738&lt;&gt;A1739,100,0)</f>
        <v>2.125</v>
      </c>
      <c r="D1738" s="33">
        <f>INDEX('ZCB Curve - Payment Dates'!$D$2:$D$246,MATCH(B1738,'ZCB Curve - Payment Dates'!$A$2:$A$246,0))</f>
        <v>0.93000025435083566</v>
      </c>
      <c r="E1738" s="32">
        <f t="shared" si="27"/>
        <v>1.9762505404955257</v>
      </c>
    </row>
    <row r="1739" spans="1:5" x14ac:dyDescent="0.25">
      <c r="A1739" s="17">
        <v>259</v>
      </c>
      <c r="B1739" s="31">
        <v>47072</v>
      </c>
      <c r="C1739" s="32">
        <f>INDEX('Input Data'!$B:$B,A1739)/2+IF(A1739&lt;&gt;A1740,100,0)</f>
        <v>2.125</v>
      </c>
      <c r="D1739" s="33">
        <f>INDEX('ZCB Curve - Payment Dates'!$D$2:$D$246,MATCH(B1739,'ZCB Curve - Payment Dates'!$A$2:$A$246,0))</f>
        <v>0.90870125167038918</v>
      </c>
      <c r="E1739" s="32">
        <f t="shared" si="27"/>
        <v>1.9309901597995771</v>
      </c>
    </row>
    <row r="1740" spans="1:5" x14ac:dyDescent="0.25">
      <c r="A1740" s="17">
        <v>259</v>
      </c>
      <c r="B1740" s="31">
        <v>47253</v>
      </c>
      <c r="C1740" s="32">
        <f>INDEX('Input Data'!$B:$B,A1740)/2+IF(A1740&lt;&gt;A1741,100,0)</f>
        <v>2.125</v>
      </c>
      <c r="D1740" s="33">
        <f>INDEX('ZCB Curve - Payment Dates'!$D$2:$D$246,MATCH(B1740,'ZCB Curve - Payment Dates'!$A$2:$A$246,0))</f>
        <v>0.88809325063638844</v>
      </c>
      <c r="E1740" s="32">
        <f t="shared" si="27"/>
        <v>1.8871981576023253</v>
      </c>
    </row>
    <row r="1741" spans="1:5" x14ac:dyDescent="0.25">
      <c r="A1741" s="17">
        <v>259</v>
      </c>
      <c r="B1741" s="31">
        <v>47437</v>
      </c>
      <c r="C1741" s="32">
        <f>INDEX('Input Data'!$B:$B,A1741)/2+IF(A1741&lt;&gt;A1742,100,0)</f>
        <v>2.125</v>
      </c>
      <c r="D1741" s="33">
        <f>INDEX('ZCB Curve - Payment Dates'!$D$2:$D$246,MATCH(B1741,'ZCB Curve - Payment Dates'!$A$2:$A$246,0))</f>
        <v>0.86758824089536279</v>
      </c>
      <c r="E1741" s="32">
        <f t="shared" si="27"/>
        <v>1.8436250119026458</v>
      </c>
    </row>
    <row r="1742" spans="1:5" x14ac:dyDescent="0.25">
      <c r="A1742" s="17">
        <v>259</v>
      </c>
      <c r="B1742" s="31">
        <v>47618</v>
      </c>
      <c r="C1742" s="32">
        <f>INDEX('Input Data'!$B:$B,A1742)/2+IF(A1742&lt;&gt;A1743,100,0)</f>
        <v>2.125</v>
      </c>
      <c r="D1742" s="33">
        <f>INDEX('ZCB Curve - Payment Dates'!$D$2:$D$246,MATCH(B1742,'ZCB Curve - Payment Dates'!$A$2:$A$246,0))</f>
        <v>0.84787416911783064</v>
      </c>
      <c r="E1742" s="32">
        <f t="shared" si="27"/>
        <v>1.80173260937539</v>
      </c>
    </row>
    <row r="1743" spans="1:5" x14ac:dyDescent="0.25">
      <c r="A1743" s="17">
        <v>259</v>
      </c>
      <c r="B1743" s="31">
        <v>47802</v>
      </c>
      <c r="C1743" s="32">
        <f>INDEX('Input Data'!$B:$B,A1743)/2+IF(A1743&lt;&gt;A1744,100,0)</f>
        <v>2.125</v>
      </c>
      <c r="D1743" s="33">
        <f>INDEX('ZCB Curve - Payment Dates'!$D$2:$D$246,MATCH(B1743,'ZCB Curve - Payment Dates'!$A$2:$A$246,0))</f>
        <v>0.82827715028796722</v>
      </c>
      <c r="E1743" s="32">
        <f t="shared" si="27"/>
        <v>1.7600889443619303</v>
      </c>
    </row>
    <row r="1744" spans="1:5" x14ac:dyDescent="0.25">
      <c r="A1744" s="17">
        <v>259</v>
      </c>
      <c r="B1744" s="31">
        <v>47983</v>
      </c>
      <c r="C1744" s="32">
        <f>INDEX('Input Data'!$B:$B,A1744)/2+IF(A1744&lt;&gt;A1745,100,0)</f>
        <v>2.125</v>
      </c>
      <c r="D1744" s="33">
        <f>INDEX('ZCB Curve - Payment Dates'!$D$2:$D$246,MATCH(B1744,'ZCB Curve - Payment Dates'!$A$2:$A$246,0))</f>
        <v>0.80939067484273564</v>
      </c>
      <c r="E1744" s="32">
        <f t="shared" si="27"/>
        <v>1.7199551840408132</v>
      </c>
    </row>
    <row r="1745" spans="1:5" x14ac:dyDescent="0.25">
      <c r="A1745" s="17">
        <v>259</v>
      </c>
      <c r="B1745" s="31">
        <v>48167</v>
      </c>
      <c r="C1745" s="32">
        <f>INDEX('Input Data'!$B:$B,A1745)/2+IF(A1745&lt;&gt;A1746,100,0)</f>
        <v>2.125</v>
      </c>
      <c r="D1745" s="33">
        <f>INDEX('ZCB Curve - Payment Dates'!$D$2:$D$246,MATCH(B1745,'ZCB Curve - Payment Dates'!$A$2:$A$246,0))</f>
        <v>0.79053567842581962</v>
      </c>
      <c r="E1745" s="32">
        <f t="shared" si="27"/>
        <v>1.6798883166548666</v>
      </c>
    </row>
    <row r="1746" spans="1:5" x14ac:dyDescent="0.25">
      <c r="A1746" s="17">
        <v>259</v>
      </c>
      <c r="B1746" s="31">
        <v>48349</v>
      </c>
      <c r="C1746" s="32">
        <f>INDEX('Input Data'!$B:$B,A1746)/2+IF(A1746&lt;&gt;A1747,100,0)</f>
        <v>2.125</v>
      </c>
      <c r="D1746" s="33">
        <f>INDEX('ZCB Curve - Payment Dates'!$D$2:$D$246,MATCH(B1746,'ZCB Curve - Payment Dates'!$A$2:$A$246,0))</f>
        <v>0.77217305702007488</v>
      </c>
      <c r="E1746" s="32">
        <f t="shared" si="27"/>
        <v>1.6408677461676591</v>
      </c>
    </row>
    <row r="1747" spans="1:5" x14ac:dyDescent="0.25">
      <c r="A1747" s="17">
        <v>259</v>
      </c>
      <c r="B1747" s="31">
        <v>48533</v>
      </c>
      <c r="C1747" s="32">
        <f>INDEX('Input Data'!$B:$B,A1747)/2+IF(A1747&lt;&gt;A1748,100,0)</f>
        <v>2.125</v>
      </c>
      <c r="D1747" s="33">
        <f>INDEX('ZCB Curve - Payment Dates'!$D$2:$D$246,MATCH(B1747,'ZCB Curve - Payment Dates'!$A$2:$A$246,0))</f>
        <v>0.75384766072076514</v>
      </c>
      <c r="E1747" s="32">
        <f t="shared" si="27"/>
        <v>1.601926279031626</v>
      </c>
    </row>
    <row r="1748" spans="1:5" x14ac:dyDescent="0.25">
      <c r="A1748" s="17">
        <v>259</v>
      </c>
      <c r="B1748" s="31">
        <v>48714</v>
      </c>
      <c r="C1748" s="32">
        <f>INDEX('Input Data'!$B:$B,A1748)/2+IF(A1748&lt;&gt;A1749,100,0)</f>
        <v>2.125</v>
      </c>
      <c r="D1748" s="33">
        <f>INDEX('ZCB Curve - Payment Dates'!$D$2:$D$246,MATCH(B1748,'ZCB Curve - Payment Dates'!$A$2:$A$246,0))</f>
        <v>0.73601491848746747</v>
      </c>
      <c r="E1748" s="32">
        <f t="shared" si="27"/>
        <v>1.5640317017858685</v>
      </c>
    </row>
    <row r="1749" spans="1:5" x14ac:dyDescent="0.25">
      <c r="A1749" s="17">
        <v>259</v>
      </c>
      <c r="B1749" s="31">
        <v>48898</v>
      </c>
      <c r="C1749" s="32">
        <f>INDEX('Input Data'!$B:$B,A1749)/2+IF(A1749&lt;&gt;A1750,100,0)</f>
        <v>2.125</v>
      </c>
      <c r="D1749" s="33">
        <f>INDEX('ZCB Curve - Payment Dates'!$D$2:$D$246,MATCH(B1749,'ZCB Curve - Payment Dates'!$A$2:$A$246,0))</f>
        <v>0.71805338140354003</v>
      </c>
      <c r="E1749" s="32">
        <f t="shared" si="27"/>
        <v>1.5258634354825225</v>
      </c>
    </row>
    <row r="1750" spans="1:5" x14ac:dyDescent="0.25">
      <c r="A1750" s="17">
        <v>259</v>
      </c>
      <c r="B1750" s="31">
        <v>49079</v>
      </c>
      <c r="C1750" s="32">
        <f>INDEX('Input Data'!$B:$B,A1750)/2+IF(A1750&lt;&gt;A1751,100,0)</f>
        <v>2.125</v>
      </c>
      <c r="D1750" s="33">
        <f>INDEX('ZCB Curve - Payment Dates'!$D$2:$D$246,MATCH(B1750,'ZCB Curve - Payment Dates'!$A$2:$A$246,0))</f>
        <v>0.70052630492471468</v>
      </c>
      <c r="E1750" s="32">
        <f t="shared" si="27"/>
        <v>1.4886183979650187</v>
      </c>
    </row>
    <row r="1751" spans="1:5" x14ac:dyDescent="0.25">
      <c r="A1751" s="17">
        <v>259</v>
      </c>
      <c r="B1751" s="31">
        <v>49263</v>
      </c>
      <c r="C1751" s="32">
        <f>INDEX('Input Data'!$B:$B,A1751)/2+IF(A1751&lt;&gt;A1752,100,0)</f>
        <v>2.125</v>
      </c>
      <c r="D1751" s="33">
        <f>INDEX('ZCB Curve - Payment Dates'!$D$2:$D$246,MATCH(B1751,'ZCB Curve - Payment Dates'!$A$2:$A$246,0))</f>
        <v>0.68284221202539863</v>
      </c>
      <c r="E1751" s="32">
        <f t="shared" si="27"/>
        <v>1.4510397005539721</v>
      </c>
    </row>
    <row r="1752" spans="1:5" x14ac:dyDescent="0.25">
      <c r="A1752" s="17">
        <v>259</v>
      </c>
      <c r="B1752" s="31">
        <v>49444</v>
      </c>
      <c r="C1752" s="32">
        <f>INDEX('Input Data'!$B:$B,A1752)/2+IF(A1752&lt;&gt;A1753,100,0)</f>
        <v>2.125</v>
      </c>
      <c r="D1752" s="33">
        <f>INDEX('ZCB Curve - Payment Dates'!$D$2:$D$246,MATCH(B1752,'ZCB Curve - Payment Dates'!$A$2:$A$246,0))</f>
        <v>0.66557347415228496</v>
      </c>
      <c r="E1752" s="32">
        <f t="shared" si="27"/>
        <v>1.4143436325736056</v>
      </c>
    </row>
    <row r="1753" spans="1:5" x14ac:dyDescent="0.25">
      <c r="A1753" s="17">
        <v>259</v>
      </c>
      <c r="B1753" s="31">
        <v>49628</v>
      </c>
      <c r="C1753" s="32">
        <f>INDEX('Input Data'!$B:$B,A1753)/2+IF(A1753&lt;&gt;A1754,100,0)</f>
        <v>2.125</v>
      </c>
      <c r="D1753" s="33">
        <f>INDEX('ZCB Curve - Payment Dates'!$D$2:$D$246,MATCH(B1753,'ZCB Curve - Payment Dates'!$A$2:$A$246,0))</f>
        <v>0.64815361918127823</v>
      </c>
      <c r="E1753" s="32">
        <f t="shared" si="27"/>
        <v>1.3773264407602162</v>
      </c>
    </row>
    <row r="1754" spans="1:5" x14ac:dyDescent="0.25">
      <c r="A1754" s="17">
        <v>259</v>
      </c>
      <c r="B1754" s="31">
        <v>49810</v>
      </c>
      <c r="C1754" s="32">
        <f>INDEX('Input Data'!$B:$B,A1754)/2+IF(A1754&lt;&gt;A1755,100,0)</f>
        <v>2.125</v>
      </c>
      <c r="D1754" s="33">
        <f>INDEX('ZCB Curve - Payment Dates'!$D$2:$D$246,MATCH(B1754,'ZCB Curve - Payment Dates'!$A$2:$A$246,0))</f>
        <v>0.63106457078577471</v>
      </c>
      <c r="E1754" s="32">
        <f t="shared" si="27"/>
        <v>1.3410122129197712</v>
      </c>
    </row>
    <row r="1755" spans="1:5" x14ac:dyDescent="0.25">
      <c r="A1755" s="17">
        <v>259</v>
      </c>
      <c r="B1755" s="31">
        <v>49994</v>
      </c>
      <c r="C1755" s="32">
        <f>INDEX('Input Data'!$B:$B,A1755)/2+IF(A1755&lt;&gt;A1756,100,0)</f>
        <v>2.125</v>
      </c>
      <c r="D1755" s="33">
        <f>INDEX('ZCB Curve - Payment Dates'!$D$2:$D$246,MATCH(B1755,'ZCB Curve - Payment Dates'!$A$2:$A$246,0))</f>
        <v>0.61395227923184648</v>
      </c>
      <c r="E1755" s="32">
        <f t="shared" si="27"/>
        <v>1.3046485933676737</v>
      </c>
    </row>
    <row r="1756" spans="1:5" x14ac:dyDescent="0.25">
      <c r="A1756" s="17">
        <v>259</v>
      </c>
      <c r="B1756" s="31">
        <v>50175</v>
      </c>
      <c r="C1756" s="32">
        <f>INDEX('Input Data'!$B:$B,A1756)/2+IF(A1756&lt;&gt;A1757,100,0)</f>
        <v>2.125</v>
      </c>
      <c r="D1756" s="33">
        <f>INDEX('ZCB Curve - Payment Dates'!$D$2:$D$246,MATCH(B1756,'ZCB Curve - Payment Dates'!$A$2:$A$246,0))</f>
        <v>0.5972963482314616</v>
      </c>
      <c r="E1756" s="32">
        <f t="shared" si="27"/>
        <v>1.2692547399918559</v>
      </c>
    </row>
    <row r="1757" spans="1:5" x14ac:dyDescent="0.25">
      <c r="A1757" s="17">
        <v>259</v>
      </c>
      <c r="B1757" s="31">
        <v>50359</v>
      </c>
      <c r="C1757" s="32">
        <f>INDEX('Input Data'!$B:$B,A1757)/2+IF(A1757&lt;&gt;A1758,100,0)</f>
        <v>2.125</v>
      </c>
      <c r="D1757" s="33">
        <f>INDEX('ZCB Curve - Payment Dates'!$D$2:$D$246,MATCH(B1757,'ZCB Curve - Payment Dates'!$A$2:$A$246,0))</f>
        <v>0.58056812006155756</v>
      </c>
      <c r="E1757" s="32">
        <f t="shared" si="27"/>
        <v>1.2337072551308097</v>
      </c>
    </row>
    <row r="1758" spans="1:5" x14ac:dyDescent="0.25">
      <c r="A1758" s="17">
        <v>259</v>
      </c>
      <c r="B1758" s="31">
        <v>50540</v>
      </c>
      <c r="C1758" s="32">
        <f>INDEX('Input Data'!$B:$B,A1758)/2+IF(A1758&lt;&gt;A1759,100,0)</f>
        <v>2.125</v>
      </c>
      <c r="D1758" s="33">
        <f>INDEX('ZCB Curve - Payment Dates'!$D$2:$D$246,MATCH(B1758,'ZCB Curve - Payment Dates'!$A$2:$A$246,0))</f>
        <v>0.56433491315969797</v>
      </c>
      <c r="E1758" s="32">
        <f t="shared" si="27"/>
        <v>1.1992116904643582</v>
      </c>
    </row>
    <row r="1759" spans="1:5" x14ac:dyDescent="0.25">
      <c r="A1759" s="17">
        <v>259</v>
      </c>
      <c r="B1759" s="31">
        <v>50724</v>
      </c>
      <c r="C1759" s="32">
        <f>INDEX('Input Data'!$B:$B,A1759)/2+IF(A1759&lt;&gt;A1760,100,0)</f>
        <v>2.125</v>
      </c>
      <c r="D1759" s="33">
        <f>INDEX('ZCB Curve - Payment Dates'!$D$2:$D$246,MATCH(B1759,'ZCB Curve - Payment Dates'!$A$2:$A$246,0))</f>
        <v>0.54808398139057424</v>
      </c>
      <c r="E1759" s="32">
        <f t="shared" si="27"/>
        <v>1.1646784604549703</v>
      </c>
    </row>
    <row r="1760" spans="1:5" x14ac:dyDescent="0.25">
      <c r="A1760" s="17">
        <v>259</v>
      </c>
      <c r="B1760" s="31">
        <v>50905</v>
      </c>
      <c r="C1760" s="32">
        <f>INDEX('Input Data'!$B:$B,A1760)/2+IF(A1760&lt;&gt;A1761,100,0)</f>
        <v>102.125</v>
      </c>
      <c r="D1760" s="33">
        <f>INDEX('ZCB Curve - Payment Dates'!$D$2:$D$246,MATCH(B1760,'ZCB Curve - Payment Dates'!$A$2:$A$246,0))</f>
        <v>0.5323673246083096</v>
      </c>
      <c r="E1760" s="32">
        <f t="shared" si="27"/>
        <v>54.368013025623618</v>
      </c>
    </row>
    <row r="1761" spans="1:5" x14ac:dyDescent="0.25">
      <c r="A1761" s="17">
        <v>260</v>
      </c>
      <c r="B1761" s="31">
        <v>46433</v>
      </c>
      <c r="C1761" s="32">
        <f>INDEX('Input Data'!$B:$B,A1761)/2+IF(A1761&lt;&gt;A1762,100,0)</f>
        <v>2.25</v>
      </c>
      <c r="D1761" s="33">
        <f>INDEX('ZCB Curve - Payment Dates'!$D$2:$D$246,MATCH(B1761,'ZCB Curve - Payment Dates'!$A$2:$A$246,0))</f>
        <v>0.98242671792446301</v>
      </c>
      <c r="E1761" s="32">
        <f t="shared" si="27"/>
        <v>2.2104601153300418</v>
      </c>
    </row>
    <row r="1762" spans="1:5" x14ac:dyDescent="0.25">
      <c r="A1762" s="17">
        <v>260</v>
      </c>
      <c r="B1762" s="31">
        <v>46614</v>
      </c>
      <c r="C1762" s="32">
        <f>INDEX('Input Data'!$B:$B,A1762)/2+IF(A1762&lt;&gt;A1763,100,0)</f>
        <v>2.25</v>
      </c>
      <c r="D1762" s="33">
        <f>INDEX('ZCB Curve - Payment Dates'!$D$2:$D$246,MATCH(B1762,'ZCB Curve - Payment Dates'!$A$2:$A$246,0))</f>
        <v>0.96187948164765535</v>
      </c>
      <c r="E1762" s="32">
        <f t="shared" si="27"/>
        <v>2.1642288337072246</v>
      </c>
    </row>
    <row r="1763" spans="1:5" x14ac:dyDescent="0.25">
      <c r="A1763" s="17">
        <v>260</v>
      </c>
      <c r="B1763" s="31">
        <v>46798</v>
      </c>
      <c r="C1763" s="32">
        <f>INDEX('Input Data'!$B:$B,A1763)/2+IF(A1763&lt;&gt;A1764,100,0)</f>
        <v>2.25</v>
      </c>
      <c r="D1763" s="33">
        <f>INDEX('ZCB Curve - Payment Dates'!$D$2:$D$246,MATCH(B1763,'ZCB Curve - Payment Dates'!$A$2:$A$246,0))</f>
        <v>0.94049096132648802</v>
      </c>
      <c r="E1763" s="32">
        <f t="shared" si="27"/>
        <v>2.1161046629845979</v>
      </c>
    </row>
    <row r="1764" spans="1:5" x14ac:dyDescent="0.25">
      <c r="A1764" s="17">
        <v>260</v>
      </c>
      <c r="B1764" s="31">
        <v>46980</v>
      </c>
      <c r="C1764" s="32">
        <f>INDEX('Input Data'!$B:$B,A1764)/2+IF(A1764&lt;&gt;A1765,100,0)</f>
        <v>2.25</v>
      </c>
      <c r="D1764" s="33">
        <f>INDEX('ZCB Curve - Payment Dates'!$D$2:$D$246,MATCH(B1764,'ZCB Curve - Payment Dates'!$A$2:$A$246,0))</f>
        <v>0.91931844130238327</v>
      </c>
      <c r="E1764" s="32">
        <f t="shared" si="27"/>
        <v>2.0684664929303622</v>
      </c>
    </row>
    <row r="1765" spans="1:5" x14ac:dyDescent="0.25">
      <c r="A1765" s="17">
        <v>260</v>
      </c>
      <c r="B1765" s="31">
        <v>47164</v>
      </c>
      <c r="C1765" s="32">
        <f>INDEX('Input Data'!$B:$B,A1765)/2+IF(A1765&lt;&gt;A1766,100,0)</f>
        <v>2.25</v>
      </c>
      <c r="D1765" s="33">
        <f>INDEX('ZCB Curve - Payment Dates'!$D$2:$D$246,MATCH(B1765,'ZCB Curve - Payment Dates'!$A$2:$A$246,0))</f>
        <v>0.89817430058086534</v>
      </c>
      <c r="E1765" s="32">
        <f t="shared" si="27"/>
        <v>2.0208921763069472</v>
      </c>
    </row>
    <row r="1766" spans="1:5" x14ac:dyDescent="0.25">
      <c r="A1766" s="17">
        <v>260</v>
      </c>
      <c r="B1766" s="31">
        <v>47345</v>
      </c>
      <c r="C1766" s="32">
        <f>INDEX('Input Data'!$B:$B,A1766)/2+IF(A1766&lt;&gt;A1767,100,0)</f>
        <v>2.25</v>
      </c>
      <c r="D1766" s="33">
        <f>INDEX('ZCB Curve - Payment Dates'!$D$2:$D$246,MATCH(B1766,'ZCB Curve - Payment Dates'!$A$2:$A$246,0))</f>
        <v>0.87778421628860481</v>
      </c>
      <c r="E1766" s="32">
        <f t="shared" si="27"/>
        <v>1.9750144866493609</v>
      </c>
    </row>
    <row r="1767" spans="1:5" x14ac:dyDescent="0.25">
      <c r="A1767" s="17">
        <v>260</v>
      </c>
      <c r="B1767" s="31">
        <v>47529</v>
      </c>
      <c r="C1767" s="32">
        <f>INDEX('Input Data'!$B:$B,A1767)/2+IF(A1767&lt;&gt;A1768,100,0)</f>
        <v>2.25</v>
      </c>
      <c r="D1767" s="33">
        <f>INDEX('ZCB Curve - Payment Dates'!$D$2:$D$246,MATCH(B1767,'ZCB Curve - Payment Dates'!$A$2:$A$246,0))</f>
        <v>0.85751015570959666</v>
      </c>
      <c r="E1767" s="32">
        <f t="shared" si="27"/>
        <v>1.9293978503465925</v>
      </c>
    </row>
    <row r="1768" spans="1:5" x14ac:dyDescent="0.25">
      <c r="A1768" s="17">
        <v>260</v>
      </c>
      <c r="B1768" s="31">
        <v>47710</v>
      </c>
      <c r="C1768" s="32">
        <f>INDEX('Input Data'!$B:$B,A1768)/2+IF(A1768&lt;&gt;A1769,100,0)</f>
        <v>2.25</v>
      </c>
      <c r="D1768" s="33">
        <f>INDEX('ZCB Curve - Payment Dates'!$D$2:$D$246,MATCH(B1768,'ZCB Curve - Payment Dates'!$A$2:$A$246,0))</f>
        <v>0.83802423748211174</v>
      </c>
      <c r="E1768" s="32">
        <f t="shared" si="27"/>
        <v>1.8855545343347515</v>
      </c>
    </row>
    <row r="1769" spans="1:5" x14ac:dyDescent="0.25">
      <c r="A1769" s="17">
        <v>260</v>
      </c>
      <c r="B1769" s="31">
        <v>47894</v>
      </c>
      <c r="C1769" s="32">
        <f>INDEX('Input Data'!$B:$B,A1769)/2+IF(A1769&lt;&gt;A1770,100,0)</f>
        <v>2.25</v>
      </c>
      <c r="D1769" s="33">
        <f>INDEX('ZCB Curve - Payment Dates'!$D$2:$D$246,MATCH(B1769,'ZCB Curve - Payment Dates'!$A$2:$A$246,0))</f>
        <v>0.8186305474741673</v>
      </c>
      <c r="E1769" s="32">
        <f t="shared" si="27"/>
        <v>1.8419187318168764</v>
      </c>
    </row>
    <row r="1770" spans="1:5" x14ac:dyDescent="0.25">
      <c r="A1770" s="17">
        <v>260</v>
      </c>
      <c r="B1770" s="31">
        <v>48075</v>
      </c>
      <c r="C1770" s="32">
        <f>INDEX('Input Data'!$B:$B,A1770)/2+IF(A1770&lt;&gt;A1771,100,0)</f>
        <v>2.25</v>
      </c>
      <c r="D1770" s="33">
        <f>INDEX('ZCB Curve - Payment Dates'!$D$2:$D$246,MATCH(B1770,'ZCB Curve - Payment Dates'!$A$2:$A$246,0))</f>
        <v>0.7999252334775927</v>
      </c>
      <c r="E1770" s="32">
        <f t="shared" si="27"/>
        <v>1.7998317753245836</v>
      </c>
    </row>
    <row r="1771" spans="1:5" x14ac:dyDescent="0.25">
      <c r="A1771" s="17">
        <v>260</v>
      </c>
      <c r="B1771" s="31">
        <v>48259</v>
      </c>
      <c r="C1771" s="32">
        <f>INDEX('Input Data'!$B:$B,A1771)/2+IF(A1771&lt;&gt;A1772,100,0)</f>
        <v>2.25</v>
      </c>
      <c r="D1771" s="33">
        <f>INDEX('ZCB Curve - Payment Dates'!$D$2:$D$246,MATCH(B1771,'ZCB Curve - Payment Dates'!$A$2:$A$246,0))</f>
        <v>0.78121887027612602</v>
      </c>
      <c r="E1771" s="32">
        <f t="shared" si="27"/>
        <v>1.7577424581212835</v>
      </c>
    </row>
    <row r="1772" spans="1:5" x14ac:dyDescent="0.25">
      <c r="A1772" s="17">
        <v>260</v>
      </c>
      <c r="B1772" s="31">
        <v>48441</v>
      </c>
      <c r="C1772" s="32">
        <f>INDEX('Input Data'!$B:$B,A1772)/2+IF(A1772&lt;&gt;A1773,100,0)</f>
        <v>2.25</v>
      </c>
      <c r="D1772" s="33">
        <f>INDEX('ZCB Curve - Payment Dates'!$D$2:$D$246,MATCH(B1772,'ZCB Curve - Payment Dates'!$A$2:$A$246,0))</f>
        <v>0.76298123459017864</v>
      </c>
      <c r="E1772" s="32">
        <f t="shared" si="27"/>
        <v>1.7167077778279018</v>
      </c>
    </row>
    <row r="1773" spans="1:5" x14ac:dyDescent="0.25">
      <c r="A1773" s="17">
        <v>260</v>
      </c>
      <c r="B1773" s="31">
        <v>48625</v>
      </c>
      <c r="C1773" s="32">
        <f>INDEX('Input Data'!$B:$B,A1773)/2+IF(A1773&lt;&gt;A1774,100,0)</f>
        <v>2.25</v>
      </c>
      <c r="D1773" s="33">
        <f>INDEX('ZCB Curve - Payment Dates'!$D$2:$D$246,MATCH(B1773,'ZCB Curve - Payment Dates'!$A$2:$A$246,0))</f>
        <v>0.74476011611938586</v>
      </c>
      <c r="E1773" s="32">
        <f t="shared" si="27"/>
        <v>1.6757102612686181</v>
      </c>
    </row>
    <row r="1774" spans="1:5" x14ac:dyDescent="0.25">
      <c r="A1774" s="17">
        <v>260</v>
      </c>
      <c r="B1774" s="31">
        <v>48806</v>
      </c>
      <c r="C1774" s="32">
        <f>INDEX('Input Data'!$B:$B,A1774)/2+IF(A1774&lt;&gt;A1775,100,0)</f>
        <v>2.25</v>
      </c>
      <c r="D1774" s="33">
        <f>INDEX('ZCB Curve - Payment Dates'!$D$2:$D$246,MATCH(B1774,'ZCB Curve - Payment Dates'!$A$2:$A$246,0))</f>
        <v>0.72701302496114584</v>
      </c>
      <c r="E1774" s="32">
        <f t="shared" si="27"/>
        <v>1.6357793061625781</v>
      </c>
    </row>
    <row r="1775" spans="1:5" x14ac:dyDescent="0.25">
      <c r="A1775" s="17">
        <v>260</v>
      </c>
      <c r="B1775" s="31">
        <v>48990</v>
      </c>
      <c r="C1775" s="32">
        <f>INDEX('Input Data'!$B:$B,A1775)/2+IF(A1775&lt;&gt;A1776,100,0)</f>
        <v>2.25</v>
      </c>
      <c r="D1775" s="33">
        <f>INDEX('ZCB Curve - Payment Dates'!$D$2:$D$246,MATCH(B1775,'ZCB Curve - Payment Dates'!$A$2:$A$246,0))</f>
        <v>0.70912647031380449</v>
      </c>
      <c r="E1775" s="32">
        <f t="shared" si="27"/>
        <v>1.59553455820606</v>
      </c>
    </row>
    <row r="1776" spans="1:5" x14ac:dyDescent="0.25">
      <c r="A1776" s="17">
        <v>260</v>
      </c>
      <c r="B1776" s="31">
        <v>49171</v>
      </c>
      <c r="C1776" s="32">
        <f>INDEX('Input Data'!$B:$B,A1776)/2+IF(A1776&lt;&gt;A1777,100,0)</f>
        <v>2.25</v>
      </c>
      <c r="D1776" s="33">
        <f>INDEX('ZCB Curve - Payment Dates'!$D$2:$D$246,MATCH(B1776,'ZCB Curve - Payment Dates'!$A$2:$A$246,0))</f>
        <v>0.6916661505723215</v>
      </c>
      <c r="E1776" s="32">
        <f t="shared" si="27"/>
        <v>1.5562488387877234</v>
      </c>
    </row>
    <row r="1777" spans="1:5" x14ac:dyDescent="0.25">
      <c r="A1777" s="17">
        <v>260</v>
      </c>
      <c r="B1777" s="31">
        <v>49355</v>
      </c>
      <c r="C1777" s="32">
        <f>INDEX('Input Data'!$B:$B,A1777)/2+IF(A1777&lt;&gt;A1778,100,0)</f>
        <v>2.25</v>
      </c>
      <c r="D1777" s="33">
        <f>INDEX('ZCB Curve - Payment Dates'!$D$2:$D$246,MATCH(B1777,'ZCB Curve - Payment Dates'!$A$2:$A$246,0))</f>
        <v>0.674047377898778</v>
      </c>
      <c r="E1777" s="32">
        <f t="shared" si="27"/>
        <v>1.5166066002722505</v>
      </c>
    </row>
    <row r="1778" spans="1:5" x14ac:dyDescent="0.25">
      <c r="A1778" s="17">
        <v>260</v>
      </c>
      <c r="B1778" s="31">
        <v>49536</v>
      </c>
      <c r="C1778" s="32">
        <f>INDEX('Input Data'!$B:$B,A1778)/2+IF(A1778&lt;&gt;A1779,100,0)</f>
        <v>2.25</v>
      </c>
      <c r="D1778" s="33">
        <f>INDEX('ZCB Curve - Payment Dates'!$D$2:$D$246,MATCH(B1778,'ZCB Curve - Payment Dates'!$A$2:$A$246,0))</f>
        <v>0.65684432300638129</v>
      </c>
      <c r="E1778" s="32">
        <f t="shared" si="27"/>
        <v>1.4778997267643579</v>
      </c>
    </row>
    <row r="1779" spans="1:5" x14ac:dyDescent="0.25">
      <c r="A1779" s="17">
        <v>260</v>
      </c>
      <c r="B1779" s="31">
        <v>49720</v>
      </c>
      <c r="C1779" s="32">
        <f>INDEX('Input Data'!$B:$B,A1779)/2+IF(A1779&lt;&gt;A1780,100,0)</f>
        <v>2.25</v>
      </c>
      <c r="D1779" s="33">
        <f>INDEX('ZCB Curve - Payment Dates'!$D$2:$D$246,MATCH(B1779,'ZCB Curve - Payment Dates'!$A$2:$A$246,0))</f>
        <v>0.63949604524993764</v>
      </c>
      <c r="E1779" s="32">
        <f t="shared" si="27"/>
        <v>1.4388661018123596</v>
      </c>
    </row>
    <row r="1780" spans="1:5" x14ac:dyDescent="0.25">
      <c r="A1780" s="17">
        <v>260</v>
      </c>
      <c r="B1780" s="31">
        <v>49902</v>
      </c>
      <c r="C1780" s="32">
        <f>INDEX('Input Data'!$B:$B,A1780)/2+IF(A1780&lt;&gt;A1781,100,0)</f>
        <v>2.25</v>
      </c>
      <c r="D1780" s="33">
        <f>INDEX('ZCB Curve - Payment Dates'!$D$2:$D$246,MATCH(B1780,'ZCB Curve - Payment Dates'!$A$2:$A$246,0))</f>
        <v>0.62248862376822711</v>
      </c>
      <c r="E1780" s="32">
        <f t="shared" si="27"/>
        <v>1.400599403478511</v>
      </c>
    </row>
    <row r="1781" spans="1:5" x14ac:dyDescent="0.25">
      <c r="A1781" s="17">
        <v>260</v>
      </c>
      <c r="B1781" s="31">
        <v>50086</v>
      </c>
      <c r="C1781" s="32">
        <f>INDEX('Input Data'!$B:$B,A1781)/2+IF(A1781&lt;&gt;A1782,100,0)</f>
        <v>2.25</v>
      </c>
      <c r="D1781" s="33">
        <f>INDEX('ZCB Curve - Payment Dates'!$D$2:$D$246,MATCH(B1781,'ZCB Curve - Payment Dates'!$A$2:$A$246,0))</f>
        <v>0.60546490876014969</v>
      </c>
      <c r="E1781" s="32">
        <f t="shared" si="27"/>
        <v>1.3622960447103367</v>
      </c>
    </row>
    <row r="1782" spans="1:5" x14ac:dyDescent="0.25">
      <c r="A1782" s="17">
        <v>260</v>
      </c>
      <c r="B1782" s="31">
        <v>50267</v>
      </c>
      <c r="C1782" s="32">
        <f>INDEX('Input Data'!$B:$B,A1782)/2+IF(A1782&lt;&gt;A1783,100,0)</f>
        <v>2.25</v>
      </c>
      <c r="D1782" s="33">
        <f>INDEX('ZCB Curve - Payment Dates'!$D$2:$D$246,MATCH(B1782,'ZCB Curve - Payment Dates'!$A$2:$A$246,0))</f>
        <v>0.58890683803346977</v>
      </c>
      <c r="E1782" s="32">
        <f t="shared" si="27"/>
        <v>1.325040385575307</v>
      </c>
    </row>
    <row r="1783" spans="1:5" x14ac:dyDescent="0.25">
      <c r="A1783" s="17">
        <v>260</v>
      </c>
      <c r="B1783" s="31">
        <v>50451</v>
      </c>
      <c r="C1783" s="32">
        <f>INDEX('Input Data'!$B:$B,A1783)/2+IF(A1783&lt;&gt;A1784,100,0)</f>
        <v>2.25</v>
      </c>
      <c r="D1783" s="33">
        <f>INDEX('ZCB Curve - Payment Dates'!$D$2:$D$246,MATCH(B1783,'ZCB Curve - Payment Dates'!$A$2:$A$246,0))</f>
        <v>0.57228983695479263</v>
      </c>
      <c r="E1783" s="32">
        <f t="shared" si="27"/>
        <v>1.2876521331482835</v>
      </c>
    </row>
    <row r="1784" spans="1:5" x14ac:dyDescent="0.25">
      <c r="A1784" s="17">
        <v>260</v>
      </c>
      <c r="B1784" s="31">
        <v>50632</v>
      </c>
      <c r="C1784" s="32">
        <f>INDEX('Input Data'!$B:$B,A1784)/2+IF(A1784&lt;&gt;A1785,100,0)</f>
        <v>2.25</v>
      </c>
      <c r="D1784" s="33">
        <f>INDEX('ZCB Curve - Payment Dates'!$D$2:$D$246,MATCH(B1784,'ZCB Curve - Payment Dates'!$A$2:$A$246,0))</f>
        <v>0.55617795699202288</v>
      </c>
      <c r="E1784" s="32">
        <f t="shared" si="27"/>
        <v>1.2514004032320516</v>
      </c>
    </row>
    <row r="1785" spans="1:5" x14ac:dyDescent="0.25">
      <c r="A1785" s="17">
        <v>260</v>
      </c>
      <c r="B1785" s="31">
        <v>50816</v>
      </c>
      <c r="C1785" s="32">
        <f>INDEX('Input Data'!$B:$B,A1785)/2+IF(A1785&lt;&gt;A1786,100,0)</f>
        <v>2.25</v>
      </c>
      <c r="D1785" s="33">
        <f>INDEX('ZCB Curve - Payment Dates'!$D$2:$D$246,MATCH(B1785,'ZCB Curve - Payment Dates'!$A$2:$A$246,0))</f>
        <v>0.54006240951211237</v>
      </c>
      <c r="E1785" s="32">
        <f t="shared" si="27"/>
        <v>1.2151404214022528</v>
      </c>
    </row>
    <row r="1786" spans="1:5" x14ac:dyDescent="0.25">
      <c r="A1786" s="17">
        <v>260</v>
      </c>
      <c r="B1786" s="31">
        <v>50997</v>
      </c>
      <c r="C1786" s="32">
        <f>INDEX('Input Data'!$B:$B,A1786)/2+IF(A1786&lt;&gt;A1787,100,0)</f>
        <v>102.25</v>
      </c>
      <c r="D1786" s="33">
        <f>INDEX('ZCB Curve - Payment Dates'!$D$2:$D$246,MATCH(B1786,'ZCB Curve - Payment Dates'!$A$2:$A$246,0))</f>
        <v>0.52449040173194583</v>
      </c>
      <c r="E1786" s="32">
        <f t="shared" si="27"/>
        <v>53.629143577091462</v>
      </c>
    </row>
    <row r="1787" spans="1:5" x14ac:dyDescent="0.25">
      <c r="A1787" s="17">
        <v>261</v>
      </c>
      <c r="B1787" s="31">
        <v>46341</v>
      </c>
      <c r="C1787" s="32">
        <f>INDEX('Input Data'!$B:$B,A1787)/2+IF(A1787&lt;&gt;A1788,100,0)</f>
        <v>2.1875</v>
      </c>
      <c r="D1787" s="33">
        <f>INDEX('ZCB Curve - Payment Dates'!$D$2:$D$246,MATCH(B1787,'ZCB Curve - Payment Dates'!$A$2:$A$246,0))</f>
        <v>0.99245367292309439</v>
      </c>
      <c r="E1787" s="32">
        <f t="shared" si="27"/>
        <v>2.1709924095192692</v>
      </c>
    </row>
    <row r="1788" spans="1:5" x14ac:dyDescent="0.25">
      <c r="A1788" s="17">
        <v>261</v>
      </c>
      <c r="B1788" s="31">
        <v>46522</v>
      </c>
      <c r="C1788" s="32">
        <f>INDEX('Input Data'!$B:$B,A1788)/2+IF(A1788&lt;&gt;A1789,100,0)</f>
        <v>2.1875</v>
      </c>
      <c r="D1788" s="33">
        <f>INDEX('ZCB Curve - Payment Dates'!$D$2:$D$246,MATCH(B1788,'ZCB Curve - Payment Dates'!$A$2:$A$246,0))</f>
        <v>0.97242179559611874</v>
      </c>
      <c r="E1788" s="32">
        <f t="shared" si="27"/>
        <v>2.1271726778665099</v>
      </c>
    </row>
    <row r="1789" spans="1:5" x14ac:dyDescent="0.25">
      <c r="A1789" s="17">
        <v>261</v>
      </c>
      <c r="B1789" s="31">
        <v>46706</v>
      </c>
      <c r="C1789" s="32">
        <f>INDEX('Input Data'!$B:$B,A1789)/2+IF(A1789&lt;&gt;A1790,100,0)</f>
        <v>2.1875</v>
      </c>
      <c r="D1789" s="33">
        <f>INDEX('ZCB Curve - Payment Dates'!$D$2:$D$246,MATCH(B1789,'ZCB Curve - Payment Dates'!$A$2:$A$246,0))</f>
        <v>0.95121018311627348</v>
      </c>
      <c r="E1789" s="32">
        <f t="shared" si="27"/>
        <v>2.0807722755668481</v>
      </c>
    </row>
    <row r="1790" spans="1:5" x14ac:dyDescent="0.25">
      <c r="A1790" s="17">
        <v>261</v>
      </c>
      <c r="B1790" s="31">
        <v>46888</v>
      </c>
      <c r="C1790" s="32">
        <f>INDEX('Input Data'!$B:$B,A1790)/2+IF(A1790&lt;&gt;A1791,100,0)</f>
        <v>2.1875</v>
      </c>
      <c r="D1790" s="33">
        <f>INDEX('ZCB Curve - Payment Dates'!$D$2:$D$246,MATCH(B1790,'ZCB Curve - Payment Dates'!$A$2:$A$246,0))</f>
        <v>0.93000025435083566</v>
      </c>
      <c r="E1790" s="32">
        <f t="shared" si="27"/>
        <v>2.0343755563924528</v>
      </c>
    </row>
    <row r="1791" spans="1:5" x14ac:dyDescent="0.25">
      <c r="A1791" s="17">
        <v>261</v>
      </c>
      <c r="B1791" s="31">
        <v>47072</v>
      </c>
      <c r="C1791" s="32">
        <f>INDEX('Input Data'!$B:$B,A1791)/2+IF(A1791&lt;&gt;A1792,100,0)</f>
        <v>2.1875</v>
      </c>
      <c r="D1791" s="33">
        <f>INDEX('ZCB Curve - Payment Dates'!$D$2:$D$246,MATCH(B1791,'ZCB Curve - Payment Dates'!$A$2:$A$246,0))</f>
        <v>0.90870125167038918</v>
      </c>
      <c r="E1791" s="32">
        <f t="shared" si="27"/>
        <v>1.9877839880289763</v>
      </c>
    </row>
    <row r="1792" spans="1:5" x14ac:dyDescent="0.25">
      <c r="A1792" s="17">
        <v>261</v>
      </c>
      <c r="B1792" s="31">
        <v>47253</v>
      </c>
      <c r="C1792" s="32">
        <f>INDEX('Input Data'!$B:$B,A1792)/2+IF(A1792&lt;&gt;A1793,100,0)</f>
        <v>2.1875</v>
      </c>
      <c r="D1792" s="33">
        <f>INDEX('ZCB Curve - Payment Dates'!$D$2:$D$246,MATCH(B1792,'ZCB Curve - Payment Dates'!$A$2:$A$246,0))</f>
        <v>0.88809325063638844</v>
      </c>
      <c r="E1792" s="32">
        <f t="shared" si="27"/>
        <v>1.9427039857670998</v>
      </c>
    </row>
    <row r="1793" spans="1:5" x14ac:dyDescent="0.25">
      <c r="A1793" s="17">
        <v>261</v>
      </c>
      <c r="B1793" s="31">
        <v>47437</v>
      </c>
      <c r="C1793" s="32">
        <f>INDEX('Input Data'!$B:$B,A1793)/2+IF(A1793&lt;&gt;A1794,100,0)</f>
        <v>2.1875</v>
      </c>
      <c r="D1793" s="33">
        <f>INDEX('ZCB Curve - Payment Dates'!$D$2:$D$246,MATCH(B1793,'ZCB Curve - Payment Dates'!$A$2:$A$246,0))</f>
        <v>0.86758824089536279</v>
      </c>
      <c r="E1793" s="32">
        <f t="shared" si="27"/>
        <v>1.8978492769586062</v>
      </c>
    </row>
    <row r="1794" spans="1:5" x14ac:dyDescent="0.25">
      <c r="A1794" s="17">
        <v>261</v>
      </c>
      <c r="B1794" s="31">
        <v>47618</v>
      </c>
      <c r="C1794" s="32">
        <f>INDEX('Input Data'!$B:$B,A1794)/2+IF(A1794&lt;&gt;A1795,100,0)</f>
        <v>2.1875</v>
      </c>
      <c r="D1794" s="33">
        <f>INDEX('ZCB Curve - Payment Dates'!$D$2:$D$246,MATCH(B1794,'ZCB Curve - Payment Dates'!$A$2:$A$246,0))</f>
        <v>0.84787416911783064</v>
      </c>
      <c r="E1794" s="32">
        <f t="shared" ref="E1794:E1857" si="28">C1794*D1794</f>
        <v>1.8547247449452546</v>
      </c>
    </row>
    <row r="1795" spans="1:5" x14ac:dyDescent="0.25">
      <c r="A1795" s="17">
        <v>261</v>
      </c>
      <c r="B1795" s="31">
        <v>47802</v>
      </c>
      <c r="C1795" s="32">
        <f>INDEX('Input Data'!$B:$B,A1795)/2+IF(A1795&lt;&gt;A1796,100,0)</f>
        <v>2.1875</v>
      </c>
      <c r="D1795" s="33">
        <f>INDEX('ZCB Curve - Payment Dates'!$D$2:$D$246,MATCH(B1795,'ZCB Curve - Payment Dates'!$A$2:$A$246,0))</f>
        <v>0.82827715028796722</v>
      </c>
      <c r="E1795" s="32">
        <f t="shared" si="28"/>
        <v>1.8118562662549282</v>
      </c>
    </row>
    <row r="1796" spans="1:5" x14ac:dyDescent="0.25">
      <c r="A1796" s="17">
        <v>261</v>
      </c>
      <c r="B1796" s="31">
        <v>47983</v>
      </c>
      <c r="C1796" s="32">
        <f>INDEX('Input Data'!$B:$B,A1796)/2+IF(A1796&lt;&gt;A1797,100,0)</f>
        <v>2.1875</v>
      </c>
      <c r="D1796" s="33">
        <f>INDEX('ZCB Curve - Payment Dates'!$D$2:$D$246,MATCH(B1796,'ZCB Curve - Payment Dates'!$A$2:$A$246,0))</f>
        <v>0.80939067484273564</v>
      </c>
      <c r="E1796" s="32">
        <f t="shared" si="28"/>
        <v>1.7705421012184841</v>
      </c>
    </row>
    <row r="1797" spans="1:5" x14ac:dyDescent="0.25">
      <c r="A1797" s="17">
        <v>261</v>
      </c>
      <c r="B1797" s="31">
        <v>48167</v>
      </c>
      <c r="C1797" s="32">
        <f>INDEX('Input Data'!$B:$B,A1797)/2+IF(A1797&lt;&gt;A1798,100,0)</f>
        <v>2.1875</v>
      </c>
      <c r="D1797" s="33">
        <f>INDEX('ZCB Curve - Payment Dates'!$D$2:$D$246,MATCH(B1797,'ZCB Curve - Payment Dates'!$A$2:$A$246,0))</f>
        <v>0.79053567842581962</v>
      </c>
      <c r="E1797" s="32">
        <f t="shared" si="28"/>
        <v>1.7292967965564805</v>
      </c>
    </row>
    <row r="1798" spans="1:5" x14ac:dyDescent="0.25">
      <c r="A1798" s="17">
        <v>261</v>
      </c>
      <c r="B1798" s="31">
        <v>48349</v>
      </c>
      <c r="C1798" s="32">
        <f>INDEX('Input Data'!$B:$B,A1798)/2+IF(A1798&lt;&gt;A1799,100,0)</f>
        <v>2.1875</v>
      </c>
      <c r="D1798" s="33">
        <f>INDEX('ZCB Curve - Payment Dates'!$D$2:$D$246,MATCH(B1798,'ZCB Curve - Payment Dates'!$A$2:$A$246,0))</f>
        <v>0.77217305702007488</v>
      </c>
      <c r="E1798" s="32">
        <f t="shared" si="28"/>
        <v>1.6891285622314138</v>
      </c>
    </row>
    <row r="1799" spans="1:5" x14ac:dyDescent="0.25">
      <c r="A1799" s="17">
        <v>261</v>
      </c>
      <c r="B1799" s="31">
        <v>48533</v>
      </c>
      <c r="C1799" s="32">
        <f>INDEX('Input Data'!$B:$B,A1799)/2+IF(A1799&lt;&gt;A1800,100,0)</f>
        <v>2.1875</v>
      </c>
      <c r="D1799" s="33">
        <f>INDEX('ZCB Curve - Payment Dates'!$D$2:$D$246,MATCH(B1799,'ZCB Curve - Payment Dates'!$A$2:$A$246,0))</f>
        <v>0.75384766072076514</v>
      </c>
      <c r="E1799" s="32">
        <f t="shared" si="28"/>
        <v>1.6490417578266738</v>
      </c>
    </row>
    <row r="1800" spans="1:5" x14ac:dyDescent="0.25">
      <c r="A1800" s="17">
        <v>261</v>
      </c>
      <c r="B1800" s="31">
        <v>48714</v>
      </c>
      <c r="C1800" s="32">
        <f>INDEX('Input Data'!$B:$B,A1800)/2+IF(A1800&lt;&gt;A1801,100,0)</f>
        <v>2.1875</v>
      </c>
      <c r="D1800" s="33">
        <f>INDEX('ZCB Curve - Payment Dates'!$D$2:$D$246,MATCH(B1800,'ZCB Curve - Payment Dates'!$A$2:$A$246,0))</f>
        <v>0.73601491848746747</v>
      </c>
      <c r="E1800" s="32">
        <f t="shared" si="28"/>
        <v>1.6100326341913351</v>
      </c>
    </row>
    <row r="1801" spans="1:5" x14ac:dyDescent="0.25">
      <c r="A1801" s="17">
        <v>261</v>
      </c>
      <c r="B1801" s="31">
        <v>48898</v>
      </c>
      <c r="C1801" s="32">
        <f>INDEX('Input Data'!$B:$B,A1801)/2+IF(A1801&lt;&gt;A1802,100,0)</f>
        <v>2.1875</v>
      </c>
      <c r="D1801" s="33">
        <f>INDEX('ZCB Curve - Payment Dates'!$D$2:$D$246,MATCH(B1801,'ZCB Curve - Payment Dates'!$A$2:$A$246,0))</f>
        <v>0.71805338140354003</v>
      </c>
      <c r="E1801" s="32">
        <f t="shared" si="28"/>
        <v>1.5707417718202439</v>
      </c>
    </row>
    <row r="1802" spans="1:5" x14ac:dyDescent="0.25">
      <c r="A1802" s="17">
        <v>261</v>
      </c>
      <c r="B1802" s="31">
        <v>49079</v>
      </c>
      <c r="C1802" s="32">
        <f>INDEX('Input Data'!$B:$B,A1802)/2+IF(A1802&lt;&gt;A1803,100,0)</f>
        <v>2.1875</v>
      </c>
      <c r="D1802" s="33">
        <f>INDEX('ZCB Curve - Payment Dates'!$D$2:$D$246,MATCH(B1802,'ZCB Curve - Payment Dates'!$A$2:$A$246,0))</f>
        <v>0.70052630492471468</v>
      </c>
      <c r="E1802" s="32">
        <f t="shared" si="28"/>
        <v>1.5324012920228134</v>
      </c>
    </row>
    <row r="1803" spans="1:5" x14ac:dyDescent="0.25">
      <c r="A1803" s="17">
        <v>261</v>
      </c>
      <c r="B1803" s="31">
        <v>49263</v>
      </c>
      <c r="C1803" s="32">
        <f>INDEX('Input Data'!$B:$B,A1803)/2+IF(A1803&lt;&gt;A1804,100,0)</f>
        <v>2.1875</v>
      </c>
      <c r="D1803" s="33">
        <f>INDEX('ZCB Curve - Payment Dates'!$D$2:$D$246,MATCH(B1803,'ZCB Curve - Payment Dates'!$A$2:$A$246,0))</f>
        <v>0.68284221202539863</v>
      </c>
      <c r="E1803" s="32">
        <f t="shared" si="28"/>
        <v>1.4937173388055596</v>
      </c>
    </row>
    <row r="1804" spans="1:5" x14ac:dyDescent="0.25">
      <c r="A1804" s="17">
        <v>261</v>
      </c>
      <c r="B1804" s="31">
        <v>49444</v>
      </c>
      <c r="C1804" s="32">
        <f>INDEX('Input Data'!$B:$B,A1804)/2+IF(A1804&lt;&gt;A1805,100,0)</f>
        <v>2.1875</v>
      </c>
      <c r="D1804" s="33">
        <f>INDEX('ZCB Curve - Payment Dates'!$D$2:$D$246,MATCH(B1804,'ZCB Curve - Payment Dates'!$A$2:$A$246,0))</f>
        <v>0.66557347415228496</v>
      </c>
      <c r="E1804" s="32">
        <f t="shared" si="28"/>
        <v>1.4559419747081233</v>
      </c>
    </row>
    <row r="1805" spans="1:5" x14ac:dyDescent="0.25">
      <c r="A1805" s="17">
        <v>261</v>
      </c>
      <c r="B1805" s="31">
        <v>49628</v>
      </c>
      <c r="C1805" s="32">
        <f>INDEX('Input Data'!$B:$B,A1805)/2+IF(A1805&lt;&gt;A1806,100,0)</f>
        <v>2.1875</v>
      </c>
      <c r="D1805" s="33">
        <f>INDEX('ZCB Curve - Payment Dates'!$D$2:$D$246,MATCH(B1805,'ZCB Curve - Payment Dates'!$A$2:$A$246,0))</f>
        <v>0.64815361918127823</v>
      </c>
      <c r="E1805" s="32">
        <f t="shared" si="28"/>
        <v>1.4178360419590461</v>
      </c>
    </row>
    <row r="1806" spans="1:5" x14ac:dyDescent="0.25">
      <c r="A1806" s="17">
        <v>261</v>
      </c>
      <c r="B1806" s="31">
        <v>49810</v>
      </c>
      <c r="C1806" s="32">
        <f>INDEX('Input Data'!$B:$B,A1806)/2+IF(A1806&lt;&gt;A1807,100,0)</f>
        <v>2.1875</v>
      </c>
      <c r="D1806" s="33">
        <f>INDEX('ZCB Curve - Payment Dates'!$D$2:$D$246,MATCH(B1806,'ZCB Curve - Payment Dates'!$A$2:$A$246,0))</f>
        <v>0.63106457078577471</v>
      </c>
      <c r="E1806" s="32">
        <f t="shared" si="28"/>
        <v>1.3804537485938821</v>
      </c>
    </row>
    <row r="1807" spans="1:5" x14ac:dyDescent="0.25">
      <c r="A1807" s="17">
        <v>261</v>
      </c>
      <c r="B1807" s="31">
        <v>49994</v>
      </c>
      <c r="C1807" s="32">
        <f>INDEX('Input Data'!$B:$B,A1807)/2+IF(A1807&lt;&gt;A1808,100,0)</f>
        <v>2.1875</v>
      </c>
      <c r="D1807" s="33">
        <f>INDEX('ZCB Curve - Payment Dates'!$D$2:$D$246,MATCH(B1807,'ZCB Curve - Payment Dates'!$A$2:$A$246,0))</f>
        <v>0.61395227923184648</v>
      </c>
      <c r="E1807" s="32">
        <f t="shared" si="28"/>
        <v>1.3430206108196641</v>
      </c>
    </row>
    <row r="1808" spans="1:5" x14ac:dyDescent="0.25">
      <c r="A1808" s="17">
        <v>261</v>
      </c>
      <c r="B1808" s="31">
        <v>50175</v>
      </c>
      <c r="C1808" s="32">
        <f>INDEX('Input Data'!$B:$B,A1808)/2+IF(A1808&lt;&gt;A1809,100,0)</f>
        <v>2.1875</v>
      </c>
      <c r="D1808" s="33">
        <f>INDEX('ZCB Curve - Payment Dates'!$D$2:$D$246,MATCH(B1808,'ZCB Curve - Payment Dates'!$A$2:$A$246,0))</f>
        <v>0.5972963482314616</v>
      </c>
      <c r="E1808" s="32">
        <f t="shared" si="28"/>
        <v>1.3065857617563224</v>
      </c>
    </row>
    <row r="1809" spans="1:5" x14ac:dyDescent="0.25">
      <c r="A1809" s="17">
        <v>261</v>
      </c>
      <c r="B1809" s="31">
        <v>50359</v>
      </c>
      <c r="C1809" s="32">
        <f>INDEX('Input Data'!$B:$B,A1809)/2+IF(A1809&lt;&gt;A1810,100,0)</f>
        <v>2.1875</v>
      </c>
      <c r="D1809" s="33">
        <f>INDEX('ZCB Curve - Payment Dates'!$D$2:$D$246,MATCH(B1809,'ZCB Curve - Payment Dates'!$A$2:$A$246,0))</f>
        <v>0.58056812006155756</v>
      </c>
      <c r="E1809" s="32">
        <f t="shared" si="28"/>
        <v>1.2699927626346572</v>
      </c>
    </row>
    <row r="1810" spans="1:5" x14ac:dyDescent="0.25">
      <c r="A1810" s="17">
        <v>261</v>
      </c>
      <c r="B1810" s="31">
        <v>50540</v>
      </c>
      <c r="C1810" s="32">
        <f>INDEX('Input Data'!$B:$B,A1810)/2+IF(A1810&lt;&gt;A1811,100,0)</f>
        <v>2.1875</v>
      </c>
      <c r="D1810" s="33">
        <f>INDEX('ZCB Curve - Payment Dates'!$D$2:$D$246,MATCH(B1810,'ZCB Curve - Payment Dates'!$A$2:$A$246,0))</f>
        <v>0.56433491315969797</v>
      </c>
      <c r="E1810" s="32">
        <f t="shared" si="28"/>
        <v>1.2344826225368393</v>
      </c>
    </row>
    <row r="1811" spans="1:5" x14ac:dyDescent="0.25">
      <c r="A1811" s="17">
        <v>261</v>
      </c>
      <c r="B1811" s="31">
        <v>50724</v>
      </c>
      <c r="C1811" s="32">
        <f>INDEX('Input Data'!$B:$B,A1811)/2+IF(A1811&lt;&gt;A1812,100,0)</f>
        <v>2.1875</v>
      </c>
      <c r="D1811" s="33">
        <f>INDEX('ZCB Curve - Payment Dates'!$D$2:$D$246,MATCH(B1811,'ZCB Curve - Payment Dates'!$A$2:$A$246,0))</f>
        <v>0.54808398139057424</v>
      </c>
      <c r="E1811" s="32">
        <f t="shared" si="28"/>
        <v>1.198933709291881</v>
      </c>
    </row>
    <row r="1812" spans="1:5" x14ac:dyDescent="0.25">
      <c r="A1812" s="17">
        <v>261</v>
      </c>
      <c r="B1812" s="31">
        <v>50905</v>
      </c>
      <c r="C1812" s="32">
        <f>INDEX('Input Data'!$B:$B,A1812)/2+IF(A1812&lt;&gt;A1813,100,0)</f>
        <v>2.1875</v>
      </c>
      <c r="D1812" s="33">
        <f>INDEX('ZCB Curve - Payment Dates'!$D$2:$D$246,MATCH(B1812,'ZCB Curve - Payment Dates'!$A$2:$A$246,0))</f>
        <v>0.5323673246083096</v>
      </c>
      <c r="E1812" s="32">
        <f t="shared" si="28"/>
        <v>1.1645535225806773</v>
      </c>
    </row>
    <row r="1813" spans="1:5" x14ac:dyDescent="0.25">
      <c r="A1813" s="17">
        <v>261</v>
      </c>
      <c r="B1813" s="31">
        <v>51089</v>
      </c>
      <c r="C1813" s="32">
        <f>INDEX('Input Data'!$B:$B,A1813)/2+IF(A1813&lt;&gt;A1814,100,0)</f>
        <v>102.1875</v>
      </c>
      <c r="D1813" s="33">
        <f>INDEX('ZCB Curve - Payment Dates'!$D$2:$D$246,MATCH(B1813,'ZCB Curve - Payment Dates'!$A$2:$A$246,0))</f>
        <v>0.51668806431098135</v>
      </c>
      <c r="E1813" s="32">
        <f t="shared" si="28"/>
        <v>52.79906157177841</v>
      </c>
    </row>
    <row r="1814" spans="1:5" x14ac:dyDescent="0.25">
      <c r="A1814" s="17">
        <v>262</v>
      </c>
      <c r="B1814" s="31">
        <v>46433</v>
      </c>
      <c r="C1814" s="32">
        <f>INDEX('Input Data'!$B:$B,A1814)/2+IF(A1814&lt;&gt;A1815,100,0)</f>
        <v>2.3125</v>
      </c>
      <c r="D1814" s="33">
        <f>INDEX('ZCB Curve - Payment Dates'!$D$2:$D$246,MATCH(B1814,'ZCB Curve - Payment Dates'!$A$2:$A$246,0))</f>
        <v>0.98242671792446301</v>
      </c>
      <c r="E1814" s="32">
        <f t="shared" si="28"/>
        <v>2.2718617852003207</v>
      </c>
    </row>
    <row r="1815" spans="1:5" x14ac:dyDescent="0.25">
      <c r="A1815" s="17">
        <v>262</v>
      </c>
      <c r="B1815" s="31">
        <v>46614</v>
      </c>
      <c r="C1815" s="32">
        <f>INDEX('Input Data'!$B:$B,A1815)/2+IF(A1815&lt;&gt;A1816,100,0)</f>
        <v>2.3125</v>
      </c>
      <c r="D1815" s="33">
        <f>INDEX('ZCB Curve - Payment Dates'!$D$2:$D$246,MATCH(B1815,'ZCB Curve - Payment Dates'!$A$2:$A$246,0))</f>
        <v>0.96187948164765535</v>
      </c>
      <c r="E1815" s="32">
        <f t="shared" si="28"/>
        <v>2.2243463013102032</v>
      </c>
    </row>
    <row r="1816" spans="1:5" x14ac:dyDescent="0.25">
      <c r="A1816" s="17">
        <v>262</v>
      </c>
      <c r="B1816" s="31">
        <v>46798</v>
      </c>
      <c r="C1816" s="32">
        <f>INDEX('Input Data'!$B:$B,A1816)/2+IF(A1816&lt;&gt;A1817,100,0)</f>
        <v>2.3125</v>
      </c>
      <c r="D1816" s="33">
        <f>INDEX('ZCB Curve - Payment Dates'!$D$2:$D$246,MATCH(B1816,'ZCB Curve - Payment Dates'!$A$2:$A$246,0))</f>
        <v>0.94049096132648802</v>
      </c>
      <c r="E1816" s="32">
        <f t="shared" si="28"/>
        <v>2.1748853480675034</v>
      </c>
    </row>
    <row r="1817" spans="1:5" x14ac:dyDescent="0.25">
      <c r="A1817" s="17">
        <v>262</v>
      </c>
      <c r="B1817" s="31">
        <v>46980</v>
      </c>
      <c r="C1817" s="32">
        <f>INDEX('Input Data'!$B:$B,A1817)/2+IF(A1817&lt;&gt;A1818,100,0)</f>
        <v>2.3125</v>
      </c>
      <c r="D1817" s="33">
        <f>INDEX('ZCB Curve - Payment Dates'!$D$2:$D$246,MATCH(B1817,'ZCB Curve - Payment Dates'!$A$2:$A$246,0))</f>
        <v>0.91931844130238327</v>
      </c>
      <c r="E1817" s="32">
        <f t="shared" si="28"/>
        <v>2.1259238955117614</v>
      </c>
    </row>
    <row r="1818" spans="1:5" x14ac:dyDescent="0.25">
      <c r="A1818" s="17">
        <v>262</v>
      </c>
      <c r="B1818" s="31">
        <v>47164</v>
      </c>
      <c r="C1818" s="32">
        <f>INDEX('Input Data'!$B:$B,A1818)/2+IF(A1818&lt;&gt;A1819,100,0)</f>
        <v>2.3125</v>
      </c>
      <c r="D1818" s="33">
        <f>INDEX('ZCB Curve - Payment Dates'!$D$2:$D$246,MATCH(B1818,'ZCB Curve - Payment Dates'!$A$2:$A$246,0))</f>
        <v>0.89817430058086534</v>
      </c>
      <c r="E1818" s="32">
        <f t="shared" si="28"/>
        <v>2.0770280700932511</v>
      </c>
    </row>
    <row r="1819" spans="1:5" x14ac:dyDescent="0.25">
      <c r="A1819" s="17">
        <v>262</v>
      </c>
      <c r="B1819" s="31">
        <v>47345</v>
      </c>
      <c r="C1819" s="32">
        <f>INDEX('Input Data'!$B:$B,A1819)/2+IF(A1819&lt;&gt;A1820,100,0)</f>
        <v>2.3125</v>
      </c>
      <c r="D1819" s="33">
        <f>INDEX('ZCB Curve - Payment Dates'!$D$2:$D$246,MATCH(B1819,'ZCB Curve - Payment Dates'!$A$2:$A$246,0))</f>
        <v>0.87778421628860481</v>
      </c>
      <c r="E1819" s="32">
        <f t="shared" si="28"/>
        <v>2.0298760001673988</v>
      </c>
    </row>
    <row r="1820" spans="1:5" x14ac:dyDescent="0.25">
      <c r="A1820" s="17">
        <v>262</v>
      </c>
      <c r="B1820" s="31">
        <v>47529</v>
      </c>
      <c r="C1820" s="32">
        <f>INDEX('Input Data'!$B:$B,A1820)/2+IF(A1820&lt;&gt;A1821,100,0)</f>
        <v>2.3125</v>
      </c>
      <c r="D1820" s="33">
        <f>INDEX('ZCB Curve - Payment Dates'!$D$2:$D$246,MATCH(B1820,'ZCB Curve - Payment Dates'!$A$2:$A$246,0))</f>
        <v>0.85751015570959666</v>
      </c>
      <c r="E1820" s="32">
        <f t="shared" si="28"/>
        <v>1.9829922350784424</v>
      </c>
    </row>
    <row r="1821" spans="1:5" x14ac:dyDescent="0.25">
      <c r="A1821" s="17">
        <v>262</v>
      </c>
      <c r="B1821" s="31">
        <v>47710</v>
      </c>
      <c r="C1821" s="32">
        <f>INDEX('Input Data'!$B:$B,A1821)/2+IF(A1821&lt;&gt;A1822,100,0)</f>
        <v>2.3125</v>
      </c>
      <c r="D1821" s="33">
        <f>INDEX('ZCB Curve - Payment Dates'!$D$2:$D$246,MATCH(B1821,'ZCB Curve - Payment Dates'!$A$2:$A$246,0))</f>
        <v>0.83802423748211174</v>
      </c>
      <c r="E1821" s="32">
        <f t="shared" si="28"/>
        <v>1.9379310491773833</v>
      </c>
    </row>
    <row r="1822" spans="1:5" x14ac:dyDescent="0.25">
      <c r="A1822" s="17">
        <v>262</v>
      </c>
      <c r="B1822" s="31">
        <v>47894</v>
      </c>
      <c r="C1822" s="32">
        <f>INDEX('Input Data'!$B:$B,A1822)/2+IF(A1822&lt;&gt;A1823,100,0)</f>
        <v>2.3125</v>
      </c>
      <c r="D1822" s="33">
        <f>INDEX('ZCB Curve - Payment Dates'!$D$2:$D$246,MATCH(B1822,'ZCB Curve - Payment Dates'!$A$2:$A$246,0))</f>
        <v>0.8186305474741673</v>
      </c>
      <c r="E1822" s="32">
        <f t="shared" si="28"/>
        <v>1.8930831410340119</v>
      </c>
    </row>
    <row r="1823" spans="1:5" x14ac:dyDescent="0.25">
      <c r="A1823" s="17">
        <v>262</v>
      </c>
      <c r="B1823" s="31">
        <v>48075</v>
      </c>
      <c r="C1823" s="32">
        <f>INDEX('Input Data'!$B:$B,A1823)/2+IF(A1823&lt;&gt;A1824,100,0)</f>
        <v>2.3125</v>
      </c>
      <c r="D1823" s="33">
        <f>INDEX('ZCB Curve - Payment Dates'!$D$2:$D$246,MATCH(B1823,'ZCB Curve - Payment Dates'!$A$2:$A$246,0))</f>
        <v>0.7999252334775927</v>
      </c>
      <c r="E1823" s="32">
        <f t="shared" si="28"/>
        <v>1.849827102416933</v>
      </c>
    </row>
    <row r="1824" spans="1:5" x14ac:dyDescent="0.25">
      <c r="A1824" s="17">
        <v>262</v>
      </c>
      <c r="B1824" s="31">
        <v>48259</v>
      </c>
      <c r="C1824" s="32">
        <f>INDEX('Input Data'!$B:$B,A1824)/2+IF(A1824&lt;&gt;A1825,100,0)</f>
        <v>2.3125</v>
      </c>
      <c r="D1824" s="33">
        <f>INDEX('ZCB Curve - Payment Dates'!$D$2:$D$246,MATCH(B1824,'ZCB Curve - Payment Dates'!$A$2:$A$246,0))</f>
        <v>0.78121887027612602</v>
      </c>
      <c r="E1824" s="32">
        <f t="shared" si="28"/>
        <v>1.8065686375135415</v>
      </c>
    </row>
    <row r="1825" spans="1:5" x14ac:dyDescent="0.25">
      <c r="A1825" s="17">
        <v>262</v>
      </c>
      <c r="B1825" s="31">
        <v>48441</v>
      </c>
      <c r="C1825" s="32">
        <f>INDEX('Input Data'!$B:$B,A1825)/2+IF(A1825&lt;&gt;A1826,100,0)</f>
        <v>2.3125</v>
      </c>
      <c r="D1825" s="33">
        <f>INDEX('ZCB Curve - Payment Dates'!$D$2:$D$246,MATCH(B1825,'ZCB Curve - Payment Dates'!$A$2:$A$246,0))</f>
        <v>0.76298123459017864</v>
      </c>
      <c r="E1825" s="32">
        <f t="shared" si="28"/>
        <v>1.764394104989788</v>
      </c>
    </row>
    <row r="1826" spans="1:5" x14ac:dyDescent="0.25">
      <c r="A1826" s="17">
        <v>262</v>
      </c>
      <c r="B1826" s="31">
        <v>48625</v>
      </c>
      <c r="C1826" s="32">
        <f>INDEX('Input Data'!$B:$B,A1826)/2+IF(A1826&lt;&gt;A1827,100,0)</f>
        <v>2.3125</v>
      </c>
      <c r="D1826" s="33">
        <f>INDEX('ZCB Curve - Payment Dates'!$D$2:$D$246,MATCH(B1826,'ZCB Curve - Payment Dates'!$A$2:$A$246,0))</f>
        <v>0.74476011611938586</v>
      </c>
      <c r="E1826" s="32">
        <f t="shared" si="28"/>
        <v>1.7222577685260798</v>
      </c>
    </row>
    <row r="1827" spans="1:5" x14ac:dyDescent="0.25">
      <c r="A1827" s="17">
        <v>262</v>
      </c>
      <c r="B1827" s="31">
        <v>48806</v>
      </c>
      <c r="C1827" s="32">
        <f>INDEX('Input Data'!$B:$B,A1827)/2+IF(A1827&lt;&gt;A1828,100,0)</f>
        <v>2.3125</v>
      </c>
      <c r="D1827" s="33">
        <f>INDEX('ZCB Curve - Payment Dates'!$D$2:$D$246,MATCH(B1827,'ZCB Curve - Payment Dates'!$A$2:$A$246,0))</f>
        <v>0.72701302496114584</v>
      </c>
      <c r="E1827" s="32">
        <f t="shared" si="28"/>
        <v>1.6812176202226496</v>
      </c>
    </row>
    <row r="1828" spans="1:5" x14ac:dyDescent="0.25">
      <c r="A1828" s="17">
        <v>262</v>
      </c>
      <c r="B1828" s="31">
        <v>48990</v>
      </c>
      <c r="C1828" s="32">
        <f>INDEX('Input Data'!$B:$B,A1828)/2+IF(A1828&lt;&gt;A1829,100,0)</f>
        <v>2.3125</v>
      </c>
      <c r="D1828" s="33">
        <f>INDEX('ZCB Curve - Payment Dates'!$D$2:$D$246,MATCH(B1828,'ZCB Curve - Payment Dates'!$A$2:$A$246,0))</f>
        <v>0.70912647031380449</v>
      </c>
      <c r="E1828" s="32">
        <f t="shared" si="28"/>
        <v>1.6398549626006729</v>
      </c>
    </row>
    <row r="1829" spans="1:5" x14ac:dyDescent="0.25">
      <c r="A1829" s="17">
        <v>262</v>
      </c>
      <c r="B1829" s="31">
        <v>49171</v>
      </c>
      <c r="C1829" s="32">
        <f>INDEX('Input Data'!$B:$B,A1829)/2+IF(A1829&lt;&gt;A1830,100,0)</f>
        <v>2.3125</v>
      </c>
      <c r="D1829" s="33">
        <f>INDEX('ZCB Curve - Payment Dates'!$D$2:$D$246,MATCH(B1829,'ZCB Curve - Payment Dates'!$A$2:$A$246,0))</f>
        <v>0.6916661505723215</v>
      </c>
      <c r="E1829" s="32">
        <f t="shared" si="28"/>
        <v>1.5994779731984934</v>
      </c>
    </row>
    <row r="1830" spans="1:5" x14ac:dyDescent="0.25">
      <c r="A1830" s="17">
        <v>262</v>
      </c>
      <c r="B1830" s="31">
        <v>49355</v>
      </c>
      <c r="C1830" s="32">
        <f>INDEX('Input Data'!$B:$B,A1830)/2+IF(A1830&lt;&gt;A1831,100,0)</f>
        <v>2.3125</v>
      </c>
      <c r="D1830" s="33">
        <f>INDEX('ZCB Curve - Payment Dates'!$D$2:$D$246,MATCH(B1830,'ZCB Curve - Payment Dates'!$A$2:$A$246,0))</f>
        <v>0.674047377898778</v>
      </c>
      <c r="E1830" s="32">
        <f t="shared" si="28"/>
        <v>1.558734561390924</v>
      </c>
    </row>
    <row r="1831" spans="1:5" x14ac:dyDescent="0.25">
      <c r="A1831" s="17">
        <v>262</v>
      </c>
      <c r="B1831" s="31">
        <v>49536</v>
      </c>
      <c r="C1831" s="32">
        <f>INDEX('Input Data'!$B:$B,A1831)/2+IF(A1831&lt;&gt;A1832,100,0)</f>
        <v>2.3125</v>
      </c>
      <c r="D1831" s="33">
        <f>INDEX('ZCB Curve - Payment Dates'!$D$2:$D$246,MATCH(B1831,'ZCB Curve - Payment Dates'!$A$2:$A$246,0))</f>
        <v>0.65684432300638129</v>
      </c>
      <c r="E1831" s="32">
        <f t="shared" si="28"/>
        <v>1.5189524969522568</v>
      </c>
    </row>
    <row r="1832" spans="1:5" x14ac:dyDescent="0.25">
      <c r="A1832" s="17">
        <v>262</v>
      </c>
      <c r="B1832" s="31">
        <v>49720</v>
      </c>
      <c r="C1832" s="32">
        <f>INDEX('Input Data'!$B:$B,A1832)/2+IF(A1832&lt;&gt;A1833,100,0)</f>
        <v>2.3125</v>
      </c>
      <c r="D1832" s="33">
        <f>INDEX('ZCB Curve - Payment Dates'!$D$2:$D$246,MATCH(B1832,'ZCB Curve - Payment Dates'!$A$2:$A$246,0))</f>
        <v>0.63949604524993764</v>
      </c>
      <c r="E1832" s="32">
        <f t="shared" si="28"/>
        <v>1.4788346046404808</v>
      </c>
    </row>
    <row r="1833" spans="1:5" x14ac:dyDescent="0.25">
      <c r="A1833" s="17">
        <v>262</v>
      </c>
      <c r="B1833" s="31">
        <v>49902</v>
      </c>
      <c r="C1833" s="32">
        <f>INDEX('Input Data'!$B:$B,A1833)/2+IF(A1833&lt;&gt;A1834,100,0)</f>
        <v>2.3125</v>
      </c>
      <c r="D1833" s="33">
        <f>INDEX('ZCB Curve - Payment Dates'!$D$2:$D$246,MATCH(B1833,'ZCB Curve - Payment Dates'!$A$2:$A$246,0))</f>
        <v>0.62248862376822711</v>
      </c>
      <c r="E1833" s="32">
        <f t="shared" si="28"/>
        <v>1.4395049424640252</v>
      </c>
    </row>
    <row r="1834" spans="1:5" x14ac:dyDescent="0.25">
      <c r="A1834" s="17">
        <v>262</v>
      </c>
      <c r="B1834" s="31">
        <v>50086</v>
      </c>
      <c r="C1834" s="32">
        <f>INDEX('Input Data'!$B:$B,A1834)/2+IF(A1834&lt;&gt;A1835,100,0)</f>
        <v>2.3125</v>
      </c>
      <c r="D1834" s="33">
        <f>INDEX('ZCB Curve - Payment Dates'!$D$2:$D$246,MATCH(B1834,'ZCB Curve - Payment Dates'!$A$2:$A$246,0))</f>
        <v>0.60546490876014969</v>
      </c>
      <c r="E1834" s="32">
        <f t="shared" si="28"/>
        <v>1.4001376015078462</v>
      </c>
    </row>
    <row r="1835" spans="1:5" x14ac:dyDescent="0.25">
      <c r="A1835" s="17">
        <v>262</v>
      </c>
      <c r="B1835" s="31">
        <v>50267</v>
      </c>
      <c r="C1835" s="32">
        <f>INDEX('Input Data'!$B:$B,A1835)/2+IF(A1835&lt;&gt;A1836,100,0)</f>
        <v>2.3125</v>
      </c>
      <c r="D1835" s="33">
        <f>INDEX('ZCB Curve - Payment Dates'!$D$2:$D$246,MATCH(B1835,'ZCB Curve - Payment Dates'!$A$2:$A$246,0))</f>
        <v>0.58890683803346977</v>
      </c>
      <c r="E1835" s="32">
        <f t="shared" si="28"/>
        <v>1.3618470629523989</v>
      </c>
    </row>
    <row r="1836" spans="1:5" x14ac:dyDescent="0.25">
      <c r="A1836" s="17">
        <v>262</v>
      </c>
      <c r="B1836" s="31">
        <v>50451</v>
      </c>
      <c r="C1836" s="32">
        <f>INDEX('Input Data'!$B:$B,A1836)/2+IF(A1836&lt;&gt;A1837,100,0)</f>
        <v>2.3125</v>
      </c>
      <c r="D1836" s="33">
        <f>INDEX('ZCB Curve - Payment Dates'!$D$2:$D$246,MATCH(B1836,'ZCB Curve - Payment Dates'!$A$2:$A$246,0))</f>
        <v>0.57228983695479263</v>
      </c>
      <c r="E1836" s="32">
        <f t="shared" si="28"/>
        <v>1.323420247957958</v>
      </c>
    </row>
    <row r="1837" spans="1:5" x14ac:dyDescent="0.25">
      <c r="A1837" s="17">
        <v>262</v>
      </c>
      <c r="B1837" s="31">
        <v>50632</v>
      </c>
      <c r="C1837" s="32">
        <f>INDEX('Input Data'!$B:$B,A1837)/2+IF(A1837&lt;&gt;A1838,100,0)</f>
        <v>2.3125</v>
      </c>
      <c r="D1837" s="33">
        <f>INDEX('ZCB Curve - Payment Dates'!$D$2:$D$246,MATCH(B1837,'ZCB Curve - Payment Dates'!$A$2:$A$246,0))</f>
        <v>0.55617795699202288</v>
      </c>
      <c r="E1837" s="32">
        <f t="shared" si="28"/>
        <v>1.2861615255440528</v>
      </c>
    </row>
    <row r="1838" spans="1:5" x14ac:dyDescent="0.25">
      <c r="A1838" s="17">
        <v>262</v>
      </c>
      <c r="B1838" s="31">
        <v>50816</v>
      </c>
      <c r="C1838" s="32">
        <f>INDEX('Input Data'!$B:$B,A1838)/2+IF(A1838&lt;&gt;A1839,100,0)</f>
        <v>2.3125</v>
      </c>
      <c r="D1838" s="33">
        <f>INDEX('ZCB Curve - Payment Dates'!$D$2:$D$246,MATCH(B1838,'ZCB Curve - Payment Dates'!$A$2:$A$246,0))</f>
        <v>0.54006240951211237</v>
      </c>
      <c r="E1838" s="32">
        <f t="shared" si="28"/>
        <v>1.2488943219967599</v>
      </c>
    </row>
    <row r="1839" spans="1:5" x14ac:dyDescent="0.25">
      <c r="A1839" s="17">
        <v>262</v>
      </c>
      <c r="B1839" s="31">
        <v>50997</v>
      </c>
      <c r="C1839" s="32">
        <f>INDEX('Input Data'!$B:$B,A1839)/2+IF(A1839&lt;&gt;A1840,100,0)</f>
        <v>2.3125</v>
      </c>
      <c r="D1839" s="33">
        <f>INDEX('ZCB Curve - Payment Dates'!$D$2:$D$246,MATCH(B1839,'ZCB Curve - Payment Dates'!$A$2:$A$246,0))</f>
        <v>0.52449040173194583</v>
      </c>
      <c r="E1839" s="32">
        <f t="shared" si="28"/>
        <v>1.2128840540051247</v>
      </c>
    </row>
    <row r="1840" spans="1:5" x14ac:dyDescent="0.25">
      <c r="A1840" s="17">
        <v>262</v>
      </c>
      <c r="B1840" s="31">
        <v>51181</v>
      </c>
      <c r="C1840" s="32">
        <f>INDEX('Input Data'!$B:$B,A1840)/2+IF(A1840&lt;&gt;A1841,100,0)</f>
        <v>102.3125</v>
      </c>
      <c r="D1840" s="33">
        <f>INDEX('ZCB Curve - Payment Dates'!$D$2:$D$246,MATCH(B1840,'ZCB Curve - Payment Dates'!$A$2:$A$246,0))</f>
        <v>0.5089691698468306</v>
      </c>
      <c r="E1840" s="32">
        <f t="shared" si="28"/>
        <v>52.073908189953855</v>
      </c>
    </row>
    <row r="1841" spans="1:5" x14ac:dyDescent="0.25">
      <c r="A1841" s="17">
        <v>263</v>
      </c>
      <c r="B1841" s="31">
        <v>46341</v>
      </c>
      <c r="C1841" s="32">
        <f>INDEX('Input Data'!$B:$B,A1841)/2+IF(A1841&lt;&gt;A1842,100,0)</f>
        <v>0.5625</v>
      </c>
      <c r="D1841" s="33">
        <f>INDEX('ZCB Curve - Payment Dates'!$D$2:$D$246,MATCH(B1841,'ZCB Curve - Payment Dates'!$A$2:$A$246,0))</f>
        <v>0.99245367292309439</v>
      </c>
      <c r="E1841" s="32">
        <f t="shared" si="28"/>
        <v>0.55825519101924059</v>
      </c>
    </row>
    <row r="1842" spans="1:5" x14ac:dyDescent="0.25">
      <c r="A1842" s="17">
        <v>263</v>
      </c>
      <c r="B1842" s="31">
        <v>46522</v>
      </c>
      <c r="C1842" s="32">
        <f>INDEX('Input Data'!$B:$B,A1842)/2+IF(A1842&lt;&gt;A1843,100,0)</f>
        <v>0.5625</v>
      </c>
      <c r="D1842" s="33">
        <f>INDEX('ZCB Curve - Payment Dates'!$D$2:$D$246,MATCH(B1842,'ZCB Curve - Payment Dates'!$A$2:$A$246,0))</f>
        <v>0.97242179559611874</v>
      </c>
      <c r="E1842" s="32">
        <f t="shared" si="28"/>
        <v>0.54698726002281683</v>
      </c>
    </row>
    <row r="1843" spans="1:5" x14ac:dyDescent="0.25">
      <c r="A1843" s="17">
        <v>263</v>
      </c>
      <c r="B1843" s="31">
        <v>46706</v>
      </c>
      <c r="C1843" s="32">
        <f>INDEX('Input Data'!$B:$B,A1843)/2+IF(A1843&lt;&gt;A1844,100,0)</f>
        <v>0.5625</v>
      </c>
      <c r="D1843" s="33">
        <f>INDEX('ZCB Curve - Payment Dates'!$D$2:$D$246,MATCH(B1843,'ZCB Curve - Payment Dates'!$A$2:$A$246,0))</f>
        <v>0.95121018311627348</v>
      </c>
      <c r="E1843" s="32">
        <f t="shared" si="28"/>
        <v>0.5350557280029038</v>
      </c>
    </row>
    <row r="1844" spans="1:5" x14ac:dyDescent="0.25">
      <c r="A1844" s="17">
        <v>263</v>
      </c>
      <c r="B1844" s="31">
        <v>46888</v>
      </c>
      <c r="C1844" s="32">
        <f>INDEX('Input Data'!$B:$B,A1844)/2+IF(A1844&lt;&gt;A1845,100,0)</f>
        <v>0.5625</v>
      </c>
      <c r="D1844" s="33">
        <f>INDEX('ZCB Curve - Payment Dates'!$D$2:$D$246,MATCH(B1844,'ZCB Curve - Payment Dates'!$A$2:$A$246,0))</f>
        <v>0.93000025435083566</v>
      </c>
      <c r="E1844" s="32">
        <f t="shared" si="28"/>
        <v>0.52312514307234503</v>
      </c>
    </row>
    <row r="1845" spans="1:5" x14ac:dyDescent="0.25">
      <c r="A1845" s="17">
        <v>263</v>
      </c>
      <c r="B1845" s="31">
        <v>47072</v>
      </c>
      <c r="C1845" s="32">
        <f>INDEX('Input Data'!$B:$B,A1845)/2+IF(A1845&lt;&gt;A1846,100,0)</f>
        <v>0.5625</v>
      </c>
      <c r="D1845" s="33">
        <f>INDEX('ZCB Curve - Payment Dates'!$D$2:$D$246,MATCH(B1845,'ZCB Curve - Payment Dates'!$A$2:$A$246,0))</f>
        <v>0.90870125167038918</v>
      </c>
      <c r="E1845" s="32">
        <f t="shared" si="28"/>
        <v>0.51114445406459397</v>
      </c>
    </row>
    <row r="1846" spans="1:5" x14ac:dyDescent="0.25">
      <c r="A1846" s="17">
        <v>263</v>
      </c>
      <c r="B1846" s="31">
        <v>47253</v>
      </c>
      <c r="C1846" s="32">
        <f>INDEX('Input Data'!$B:$B,A1846)/2+IF(A1846&lt;&gt;A1847,100,0)</f>
        <v>0.5625</v>
      </c>
      <c r="D1846" s="33">
        <f>INDEX('ZCB Curve - Payment Dates'!$D$2:$D$246,MATCH(B1846,'ZCB Curve - Payment Dates'!$A$2:$A$246,0))</f>
        <v>0.88809325063638844</v>
      </c>
      <c r="E1846" s="32">
        <f t="shared" si="28"/>
        <v>0.49955245348296851</v>
      </c>
    </row>
    <row r="1847" spans="1:5" x14ac:dyDescent="0.25">
      <c r="A1847" s="17">
        <v>263</v>
      </c>
      <c r="B1847" s="31">
        <v>47437</v>
      </c>
      <c r="C1847" s="32">
        <f>INDEX('Input Data'!$B:$B,A1847)/2+IF(A1847&lt;&gt;A1848,100,0)</f>
        <v>0.5625</v>
      </c>
      <c r="D1847" s="33">
        <f>INDEX('ZCB Curve - Payment Dates'!$D$2:$D$246,MATCH(B1847,'ZCB Curve - Payment Dates'!$A$2:$A$246,0))</f>
        <v>0.86758824089536279</v>
      </c>
      <c r="E1847" s="32">
        <f t="shared" si="28"/>
        <v>0.48801838550364157</v>
      </c>
    </row>
    <row r="1848" spans="1:5" x14ac:dyDescent="0.25">
      <c r="A1848" s="17">
        <v>263</v>
      </c>
      <c r="B1848" s="31">
        <v>47618</v>
      </c>
      <c r="C1848" s="32">
        <f>INDEX('Input Data'!$B:$B,A1848)/2+IF(A1848&lt;&gt;A1849,100,0)</f>
        <v>0.5625</v>
      </c>
      <c r="D1848" s="33">
        <f>INDEX('ZCB Curve - Payment Dates'!$D$2:$D$246,MATCH(B1848,'ZCB Curve - Payment Dates'!$A$2:$A$246,0))</f>
        <v>0.84787416911783064</v>
      </c>
      <c r="E1848" s="32">
        <f t="shared" si="28"/>
        <v>0.47692922012877975</v>
      </c>
    </row>
    <row r="1849" spans="1:5" x14ac:dyDescent="0.25">
      <c r="A1849" s="17">
        <v>263</v>
      </c>
      <c r="B1849" s="31">
        <v>47802</v>
      </c>
      <c r="C1849" s="32">
        <f>INDEX('Input Data'!$B:$B,A1849)/2+IF(A1849&lt;&gt;A1850,100,0)</f>
        <v>0.5625</v>
      </c>
      <c r="D1849" s="33">
        <f>INDEX('ZCB Curve - Payment Dates'!$D$2:$D$246,MATCH(B1849,'ZCB Curve - Payment Dates'!$A$2:$A$246,0))</f>
        <v>0.82827715028796722</v>
      </c>
      <c r="E1849" s="32">
        <f t="shared" si="28"/>
        <v>0.46590589703698154</v>
      </c>
    </row>
    <row r="1850" spans="1:5" x14ac:dyDescent="0.25">
      <c r="A1850" s="17">
        <v>263</v>
      </c>
      <c r="B1850" s="31">
        <v>47983</v>
      </c>
      <c r="C1850" s="32">
        <f>INDEX('Input Data'!$B:$B,A1850)/2+IF(A1850&lt;&gt;A1851,100,0)</f>
        <v>0.5625</v>
      </c>
      <c r="D1850" s="33">
        <f>INDEX('ZCB Curve - Payment Dates'!$D$2:$D$246,MATCH(B1850,'ZCB Curve - Payment Dates'!$A$2:$A$246,0))</f>
        <v>0.80939067484273564</v>
      </c>
      <c r="E1850" s="32">
        <f t="shared" si="28"/>
        <v>0.45528225459903882</v>
      </c>
    </row>
    <row r="1851" spans="1:5" x14ac:dyDescent="0.25">
      <c r="A1851" s="17">
        <v>263</v>
      </c>
      <c r="B1851" s="31">
        <v>48167</v>
      </c>
      <c r="C1851" s="32">
        <f>INDEX('Input Data'!$B:$B,A1851)/2+IF(A1851&lt;&gt;A1852,100,0)</f>
        <v>0.5625</v>
      </c>
      <c r="D1851" s="33">
        <f>INDEX('ZCB Curve - Payment Dates'!$D$2:$D$246,MATCH(B1851,'ZCB Curve - Payment Dates'!$A$2:$A$246,0))</f>
        <v>0.79053567842581962</v>
      </c>
      <c r="E1851" s="32">
        <f t="shared" si="28"/>
        <v>0.44467631911452354</v>
      </c>
    </row>
    <row r="1852" spans="1:5" x14ac:dyDescent="0.25">
      <c r="A1852" s="17">
        <v>263</v>
      </c>
      <c r="B1852" s="31">
        <v>48349</v>
      </c>
      <c r="C1852" s="32">
        <f>INDEX('Input Data'!$B:$B,A1852)/2+IF(A1852&lt;&gt;A1853,100,0)</f>
        <v>0.5625</v>
      </c>
      <c r="D1852" s="33">
        <f>INDEX('ZCB Curve - Payment Dates'!$D$2:$D$246,MATCH(B1852,'ZCB Curve - Payment Dates'!$A$2:$A$246,0))</f>
        <v>0.77217305702007488</v>
      </c>
      <c r="E1852" s="32">
        <f t="shared" si="28"/>
        <v>0.43434734457379209</v>
      </c>
    </row>
    <row r="1853" spans="1:5" x14ac:dyDescent="0.25">
      <c r="A1853" s="17">
        <v>263</v>
      </c>
      <c r="B1853" s="31">
        <v>48533</v>
      </c>
      <c r="C1853" s="32">
        <f>INDEX('Input Data'!$B:$B,A1853)/2+IF(A1853&lt;&gt;A1854,100,0)</f>
        <v>0.5625</v>
      </c>
      <c r="D1853" s="33">
        <f>INDEX('ZCB Curve - Payment Dates'!$D$2:$D$246,MATCH(B1853,'ZCB Curve - Payment Dates'!$A$2:$A$246,0))</f>
        <v>0.75384766072076514</v>
      </c>
      <c r="E1853" s="32">
        <f t="shared" si="28"/>
        <v>0.42403930915543042</v>
      </c>
    </row>
    <row r="1854" spans="1:5" x14ac:dyDescent="0.25">
      <c r="A1854" s="17">
        <v>263</v>
      </c>
      <c r="B1854" s="31">
        <v>48714</v>
      </c>
      <c r="C1854" s="32">
        <f>INDEX('Input Data'!$B:$B,A1854)/2+IF(A1854&lt;&gt;A1855,100,0)</f>
        <v>0.5625</v>
      </c>
      <c r="D1854" s="33">
        <f>INDEX('ZCB Curve - Payment Dates'!$D$2:$D$246,MATCH(B1854,'ZCB Curve - Payment Dates'!$A$2:$A$246,0))</f>
        <v>0.73601491848746747</v>
      </c>
      <c r="E1854" s="32">
        <f t="shared" si="28"/>
        <v>0.41400839164920045</v>
      </c>
    </row>
    <row r="1855" spans="1:5" x14ac:dyDescent="0.25">
      <c r="A1855" s="17">
        <v>263</v>
      </c>
      <c r="B1855" s="31">
        <v>48898</v>
      </c>
      <c r="C1855" s="32">
        <f>INDEX('Input Data'!$B:$B,A1855)/2+IF(A1855&lt;&gt;A1856,100,0)</f>
        <v>0.5625</v>
      </c>
      <c r="D1855" s="33">
        <f>INDEX('ZCB Curve - Payment Dates'!$D$2:$D$246,MATCH(B1855,'ZCB Curve - Payment Dates'!$A$2:$A$246,0))</f>
        <v>0.71805338140354003</v>
      </c>
      <c r="E1855" s="32">
        <f t="shared" si="28"/>
        <v>0.40390502703949127</v>
      </c>
    </row>
    <row r="1856" spans="1:5" x14ac:dyDescent="0.25">
      <c r="A1856" s="17">
        <v>263</v>
      </c>
      <c r="B1856" s="31">
        <v>49079</v>
      </c>
      <c r="C1856" s="32">
        <f>INDEX('Input Data'!$B:$B,A1856)/2+IF(A1856&lt;&gt;A1857,100,0)</f>
        <v>0.5625</v>
      </c>
      <c r="D1856" s="33">
        <f>INDEX('ZCB Curve - Payment Dates'!$D$2:$D$246,MATCH(B1856,'ZCB Curve - Payment Dates'!$A$2:$A$246,0))</f>
        <v>0.70052630492471468</v>
      </c>
      <c r="E1856" s="32">
        <f t="shared" si="28"/>
        <v>0.39404604652015202</v>
      </c>
    </row>
    <row r="1857" spans="1:5" x14ac:dyDescent="0.25">
      <c r="A1857" s="17">
        <v>263</v>
      </c>
      <c r="B1857" s="31">
        <v>49263</v>
      </c>
      <c r="C1857" s="32">
        <f>INDEX('Input Data'!$B:$B,A1857)/2+IF(A1857&lt;&gt;A1858,100,0)</f>
        <v>0.5625</v>
      </c>
      <c r="D1857" s="33">
        <f>INDEX('ZCB Curve - Payment Dates'!$D$2:$D$246,MATCH(B1857,'ZCB Curve - Payment Dates'!$A$2:$A$246,0))</f>
        <v>0.68284221202539863</v>
      </c>
      <c r="E1857" s="32">
        <f t="shared" si="28"/>
        <v>0.38409874426428675</v>
      </c>
    </row>
    <row r="1858" spans="1:5" x14ac:dyDescent="0.25">
      <c r="A1858" s="17">
        <v>263</v>
      </c>
      <c r="B1858" s="31">
        <v>49444</v>
      </c>
      <c r="C1858" s="32">
        <f>INDEX('Input Data'!$B:$B,A1858)/2+IF(A1858&lt;&gt;A1859,100,0)</f>
        <v>0.5625</v>
      </c>
      <c r="D1858" s="33">
        <f>INDEX('ZCB Curve - Payment Dates'!$D$2:$D$246,MATCH(B1858,'ZCB Curve - Payment Dates'!$A$2:$A$246,0))</f>
        <v>0.66557347415228496</v>
      </c>
      <c r="E1858" s="32">
        <f t="shared" ref="E1858:E1921" si="29">C1858*D1858</f>
        <v>0.37438507921066028</v>
      </c>
    </row>
    <row r="1859" spans="1:5" x14ac:dyDescent="0.25">
      <c r="A1859" s="17">
        <v>263</v>
      </c>
      <c r="B1859" s="31">
        <v>49628</v>
      </c>
      <c r="C1859" s="32">
        <f>INDEX('Input Data'!$B:$B,A1859)/2+IF(A1859&lt;&gt;A1860,100,0)</f>
        <v>0.5625</v>
      </c>
      <c r="D1859" s="33">
        <f>INDEX('ZCB Curve - Payment Dates'!$D$2:$D$246,MATCH(B1859,'ZCB Curve - Payment Dates'!$A$2:$A$246,0))</f>
        <v>0.64815361918127823</v>
      </c>
      <c r="E1859" s="32">
        <f t="shared" si="29"/>
        <v>0.36458641078946902</v>
      </c>
    </row>
    <row r="1860" spans="1:5" x14ac:dyDescent="0.25">
      <c r="A1860" s="17">
        <v>263</v>
      </c>
      <c r="B1860" s="31">
        <v>49810</v>
      </c>
      <c r="C1860" s="32">
        <f>INDEX('Input Data'!$B:$B,A1860)/2+IF(A1860&lt;&gt;A1861,100,0)</f>
        <v>0.5625</v>
      </c>
      <c r="D1860" s="33">
        <f>INDEX('ZCB Curve - Payment Dates'!$D$2:$D$246,MATCH(B1860,'ZCB Curve - Payment Dates'!$A$2:$A$246,0))</f>
        <v>0.63106457078577471</v>
      </c>
      <c r="E1860" s="32">
        <f t="shared" si="29"/>
        <v>0.35497382106699826</v>
      </c>
    </row>
    <row r="1861" spans="1:5" x14ac:dyDescent="0.25">
      <c r="A1861" s="17">
        <v>263</v>
      </c>
      <c r="B1861" s="31">
        <v>49994</v>
      </c>
      <c r="C1861" s="32">
        <f>INDEX('Input Data'!$B:$B,A1861)/2+IF(A1861&lt;&gt;A1862,100,0)</f>
        <v>0.5625</v>
      </c>
      <c r="D1861" s="33">
        <f>INDEX('ZCB Curve - Payment Dates'!$D$2:$D$246,MATCH(B1861,'ZCB Curve - Payment Dates'!$A$2:$A$246,0))</f>
        <v>0.61395227923184648</v>
      </c>
      <c r="E1861" s="32">
        <f t="shared" si="29"/>
        <v>0.34534815706791366</v>
      </c>
    </row>
    <row r="1862" spans="1:5" x14ac:dyDescent="0.25">
      <c r="A1862" s="17">
        <v>263</v>
      </c>
      <c r="B1862" s="31">
        <v>50175</v>
      </c>
      <c r="C1862" s="32">
        <f>INDEX('Input Data'!$B:$B,A1862)/2+IF(A1862&lt;&gt;A1863,100,0)</f>
        <v>0.5625</v>
      </c>
      <c r="D1862" s="33">
        <f>INDEX('ZCB Curve - Payment Dates'!$D$2:$D$246,MATCH(B1862,'ZCB Curve - Payment Dates'!$A$2:$A$246,0))</f>
        <v>0.5972963482314616</v>
      </c>
      <c r="E1862" s="32">
        <f t="shared" si="29"/>
        <v>0.33597919588019715</v>
      </c>
    </row>
    <row r="1863" spans="1:5" x14ac:dyDescent="0.25">
      <c r="A1863" s="17">
        <v>263</v>
      </c>
      <c r="B1863" s="31">
        <v>50359</v>
      </c>
      <c r="C1863" s="32">
        <f>INDEX('Input Data'!$B:$B,A1863)/2+IF(A1863&lt;&gt;A1864,100,0)</f>
        <v>0.5625</v>
      </c>
      <c r="D1863" s="33">
        <f>INDEX('ZCB Curve - Payment Dates'!$D$2:$D$246,MATCH(B1863,'ZCB Curve - Payment Dates'!$A$2:$A$246,0))</f>
        <v>0.58056812006155756</v>
      </c>
      <c r="E1863" s="32">
        <f t="shared" si="29"/>
        <v>0.32656956753462613</v>
      </c>
    </row>
    <row r="1864" spans="1:5" x14ac:dyDescent="0.25">
      <c r="A1864" s="17">
        <v>263</v>
      </c>
      <c r="B1864" s="31">
        <v>50540</v>
      </c>
      <c r="C1864" s="32">
        <f>INDEX('Input Data'!$B:$B,A1864)/2+IF(A1864&lt;&gt;A1865,100,0)</f>
        <v>0.5625</v>
      </c>
      <c r="D1864" s="33">
        <f>INDEX('ZCB Curve - Payment Dates'!$D$2:$D$246,MATCH(B1864,'ZCB Curve - Payment Dates'!$A$2:$A$246,0))</f>
        <v>0.56433491315969797</v>
      </c>
      <c r="E1864" s="32">
        <f t="shared" si="29"/>
        <v>0.31743838865233009</v>
      </c>
    </row>
    <row r="1865" spans="1:5" x14ac:dyDescent="0.25">
      <c r="A1865" s="17">
        <v>263</v>
      </c>
      <c r="B1865" s="31">
        <v>50724</v>
      </c>
      <c r="C1865" s="32">
        <f>INDEX('Input Data'!$B:$B,A1865)/2+IF(A1865&lt;&gt;A1866,100,0)</f>
        <v>0.5625</v>
      </c>
      <c r="D1865" s="33">
        <f>INDEX('ZCB Curve - Payment Dates'!$D$2:$D$246,MATCH(B1865,'ZCB Curve - Payment Dates'!$A$2:$A$246,0))</f>
        <v>0.54808398139057424</v>
      </c>
      <c r="E1865" s="32">
        <f t="shared" si="29"/>
        <v>0.30829723953219801</v>
      </c>
    </row>
    <row r="1866" spans="1:5" x14ac:dyDescent="0.25">
      <c r="A1866" s="17">
        <v>263</v>
      </c>
      <c r="B1866" s="31">
        <v>50905</v>
      </c>
      <c r="C1866" s="32">
        <f>INDEX('Input Data'!$B:$B,A1866)/2+IF(A1866&lt;&gt;A1867,100,0)</f>
        <v>0.5625</v>
      </c>
      <c r="D1866" s="33">
        <f>INDEX('ZCB Curve - Payment Dates'!$D$2:$D$246,MATCH(B1866,'ZCB Curve - Payment Dates'!$A$2:$A$246,0))</f>
        <v>0.5323673246083096</v>
      </c>
      <c r="E1866" s="32">
        <f t="shared" si="29"/>
        <v>0.29945662009217416</v>
      </c>
    </row>
    <row r="1867" spans="1:5" x14ac:dyDescent="0.25">
      <c r="A1867" s="17">
        <v>263</v>
      </c>
      <c r="B1867" s="31">
        <v>51089</v>
      </c>
      <c r="C1867" s="32">
        <f>INDEX('Input Data'!$B:$B,A1867)/2+IF(A1867&lt;&gt;A1868,100,0)</f>
        <v>0.5625</v>
      </c>
      <c r="D1867" s="33">
        <f>INDEX('ZCB Curve - Payment Dates'!$D$2:$D$246,MATCH(B1867,'ZCB Curve - Payment Dates'!$A$2:$A$246,0))</f>
        <v>0.51668806431098135</v>
      </c>
      <c r="E1867" s="32">
        <f t="shared" si="29"/>
        <v>0.29063703617492703</v>
      </c>
    </row>
    <row r="1868" spans="1:5" x14ac:dyDescent="0.25">
      <c r="A1868" s="17">
        <v>263</v>
      </c>
      <c r="B1868" s="31">
        <v>51271</v>
      </c>
      <c r="C1868" s="32">
        <f>INDEX('Input Data'!$B:$B,A1868)/2+IF(A1868&lt;&gt;A1869,100,0)</f>
        <v>100.5625</v>
      </c>
      <c r="D1868" s="33">
        <f>INDEX('ZCB Curve - Payment Dates'!$D$2:$D$246,MATCH(B1868,'ZCB Curve - Payment Dates'!$A$2:$A$246,0))</f>
        <v>0.50149590020417278</v>
      </c>
      <c r="E1868" s="32">
        <f t="shared" si="29"/>
        <v>50.431681464282129</v>
      </c>
    </row>
    <row r="1869" spans="1:5" x14ac:dyDescent="0.25">
      <c r="A1869" s="17">
        <v>264</v>
      </c>
      <c r="B1869" s="31">
        <v>46341</v>
      </c>
      <c r="C1869" s="32">
        <f>INDEX('Input Data'!$B:$B,A1869)/2+IF(A1869&lt;&gt;A1870,100,0)</f>
        <v>2.1875</v>
      </c>
      <c r="D1869" s="33">
        <f>INDEX('ZCB Curve - Payment Dates'!$D$2:$D$246,MATCH(B1869,'ZCB Curve - Payment Dates'!$A$2:$A$246,0))</f>
        <v>0.99245367292309439</v>
      </c>
      <c r="E1869" s="32">
        <f t="shared" si="29"/>
        <v>2.1709924095192692</v>
      </c>
    </row>
    <row r="1870" spans="1:5" x14ac:dyDescent="0.25">
      <c r="A1870" s="17">
        <v>264</v>
      </c>
      <c r="B1870" s="31">
        <v>46522</v>
      </c>
      <c r="C1870" s="32">
        <f>INDEX('Input Data'!$B:$B,A1870)/2+IF(A1870&lt;&gt;A1871,100,0)</f>
        <v>2.1875</v>
      </c>
      <c r="D1870" s="33">
        <f>INDEX('ZCB Curve - Payment Dates'!$D$2:$D$246,MATCH(B1870,'ZCB Curve - Payment Dates'!$A$2:$A$246,0))</f>
        <v>0.97242179559611874</v>
      </c>
      <c r="E1870" s="32">
        <f t="shared" si="29"/>
        <v>2.1271726778665099</v>
      </c>
    </row>
    <row r="1871" spans="1:5" x14ac:dyDescent="0.25">
      <c r="A1871" s="17">
        <v>264</v>
      </c>
      <c r="B1871" s="31">
        <v>46706</v>
      </c>
      <c r="C1871" s="32">
        <f>INDEX('Input Data'!$B:$B,A1871)/2+IF(A1871&lt;&gt;A1872,100,0)</f>
        <v>2.1875</v>
      </c>
      <c r="D1871" s="33">
        <f>INDEX('ZCB Curve - Payment Dates'!$D$2:$D$246,MATCH(B1871,'ZCB Curve - Payment Dates'!$A$2:$A$246,0))</f>
        <v>0.95121018311627348</v>
      </c>
      <c r="E1871" s="32">
        <f t="shared" si="29"/>
        <v>2.0807722755668481</v>
      </c>
    </row>
    <row r="1872" spans="1:5" x14ac:dyDescent="0.25">
      <c r="A1872" s="17">
        <v>264</v>
      </c>
      <c r="B1872" s="31">
        <v>46888</v>
      </c>
      <c r="C1872" s="32">
        <f>INDEX('Input Data'!$B:$B,A1872)/2+IF(A1872&lt;&gt;A1873,100,0)</f>
        <v>2.1875</v>
      </c>
      <c r="D1872" s="33">
        <f>INDEX('ZCB Curve - Payment Dates'!$D$2:$D$246,MATCH(B1872,'ZCB Curve - Payment Dates'!$A$2:$A$246,0))</f>
        <v>0.93000025435083566</v>
      </c>
      <c r="E1872" s="32">
        <f t="shared" si="29"/>
        <v>2.0343755563924528</v>
      </c>
    </row>
    <row r="1873" spans="1:5" x14ac:dyDescent="0.25">
      <c r="A1873" s="17">
        <v>264</v>
      </c>
      <c r="B1873" s="31">
        <v>47072</v>
      </c>
      <c r="C1873" s="32">
        <f>INDEX('Input Data'!$B:$B,A1873)/2+IF(A1873&lt;&gt;A1874,100,0)</f>
        <v>2.1875</v>
      </c>
      <c r="D1873" s="33">
        <f>INDEX('ZCB Curve - Payment Dates'!$D$2:$D$246,MATCH(B1873,'ZCB Curve - Payment Dates'!$A$2:$A$246,0))</f>
        <v>0.90870125167038918</v>
      </c>
      <c r="E1873" s="32">
        <f t="shared" si="29"/>
        <v>1.9877839880289763</v>
      </c>
    </row>
    <row r="1874" spans="1:5" x14ac:dyDescent="0.25">
      <c r="A1874" s="17">
        <v>264</v>
      </c>
      <c r="B1874" s="31">
        <v>47253</v>
      </c>
      <c r="C1874" s="32">
        <f>INDEX('Input Data'!$B:$B,A1874)/2+IF(A1874&lt;&gt;A1875,100,0)</f>
        <v>2.1875</v>
      </c>
      <c r="D1874" s="33">
        <f>INDEX('ZCB Curve - Payment Dates'!$D$2:$D$246,MATCH(B1874,'ZCB Curve - Payment Dates'!$A$2:$A$246,0))</f>
        <v>0.88809325063638844</v>
      </c>
      <c r="E1874" s="32">
        <f t="shared" si="29"/>
        <v>1.9427039857670998</v>
      </c>
    </row>
    <row r="1875" spans="1:5" x14ac:dyDescent="0.25">
      <c r="A1875" s="17">
        <v>264</v>
      </c>
      <c r="B1875" s="31">
        <v>47437</v>
      </c>
      <c r="C1875" s="32">
        <f>INDEX('Input Data'!$B:$B,A1875)/2+IF(A1875&lt;&gt;A1876,100,0)</f>
        <v>2.1875</v>
      </c>
      <c r="D1875" s="33">
        <f>INDEX('ZCB Curve - Payment Dates'!$D$2:$D$246,MATCH(B1875,'ZCB Curve - Payment Dates'!$A$2:$A$246,0))</f>
        <v>0.86758824089536279</v>
      </c>
      <c r="E1875" s="32">
        <f t="shared" si="29"/>
        <v>1.8978492769586062</v>
      </c>
    </row>
    <row r="1876" spans="1:5" x14ac:dyDescent="0.25">
      <c r="A1876" s="17">
        <v>264</v>
      </c>
      <c r="B1876" s="31">
        <v>47618</v>
      </c>
      <c r="C1876" s="32">
        <f>INDEX('Input Data'!$B:$B,A1876)/2+IF(A1876&lt;&gt;A1877,100,0)</f>
        <v>2.1875</v>
      </c>
      <c r="D1876" s="33">
        <f>INDEX('ZCB Curve - Payment Dates'!$D$2:$D$246,MATCH(B1876,'ZCB Curve - Payment Dates'!$A$2:$A$246,0))</f>
        <v>0.84787416911783064</v>
      </c>
      <c r="E1876" s="32">
        <f t="shared" si="29"/>
        <v>1.8547247449452546</v>
      </c>
    </row>
    <row r="1877" spans="1:5" x14ac:dyDescent="0.25">
      <c r="A1877" s="17">
        <v>264</v>
      </c>
      <c r="B1877" s="31">
        <v>47802</v>
      </c>
      <c r="C1877" s="32">
        <f>INDEX('Input Data'!$B:$B,A1877)/2+IF(A1877&lt;&gt;A1878,100,0)</f>
        <v>2.1875</v>
      </c>
      <c r="D1877" s="33">
        <f>INDEX('ZCB Curve - Payment Dates'!$D$2:$D$246,MATCH(B1877,'ZCB Curve - Payment Dates'!$A$2:$A$246,0))</f>
        <v>0.82827715028796722</v>
      </c>
      <c r="E1877" s="32">
        <f t="shared" si="29"/>
        <v>1.8118562662549282</v>
      </c>
    </row>
    <row r="1878" spans="1:5" x14ac:dyDescent="0.25">
      <c r="A1878" s="17">
        <v>264</v>
      </c>
      <c r="B1878" s="31">
        <v>47983</v>
      </c>
      <c r="C1878" s="32">
        <f>INDEX('Input Data'!$B:$B,A1878)/2+IF(A1878&lt;&gt;A1879,100,0)</f>
        <v>2.1875</v>
      </c>
      <c r="D1878" s="33">
        <f>INDEX('ZCB Curve - Payment Dates'!$D$2:$D$246,MATCH(B1878,'ZCB Curve - Payment Dates'!$A$2:$A$246,0))</f>
        <v>0.80939067484273564</v>
      </c>
      <c r="E1878" s="32">
        <f t="shared" si="29"/>
        <v>1.7705421012184841</v>
      </c>
    </row>
    <row r="1879" spans="1:5" x14ac:dyDescent="0.25">
      <c r="A1879" s="17">
        <v>264</v>
      </c>
      <c r="B1879" s="31">
        <v>48167</v>
      </c>
      <c r="C1879" s="32">
        <f>INDEX('Input Data'!$B:$B,A1879)/2+IF(A1879&lt;&gt;A1880,100,0)</f>
        <v>2.1875</v>
      </c>
      <c r="D1879" s="33">
        <f>INDEX('ZCB Curve - Payment Dates'!$D$2:$D$246,MATCH(B1879,'ZCB Curve - Payment Dates'!$A$2:$A$246,0))</f>
        <v>0.79053567842581962</v>
      </c>
      <c r="E1879" s="32">
        <f t="shared" si="29"/>
        <v>1.7292967965564805</v>
      </c>
    </row>
    <row r="1880" spans="1:5" x14ac:dyDescent="0.25">
      <c r="A1880" s="17">
        <v>264</v>
      </c>
      <c r="B1880" s="31">
        <v>48349</v>
      </c>
      <c r="C1880" s="32">
        <f>INDEX('Input Data'!$B:$B,A1880)/2+IF(A1880&lt;&gt;A1881,100,0)</f>
        <v>2.1875</v>
      </c>
      <c r="D1880" s="33">
        <f>INDEX('ZCB Curve - Payment Dates'!$D$2:$D$246,MATCH(B1880,'ZCB Curve - Payment Dates'!$A$2:$A$246,0))</f>
        <v>0.77217305702007488</v>
      </c>
      <c r="E1880" s="32">
        <f t="shared" si="29"/>
        <v>1.6891285622314138</v>
      </c>
    </row>
    <row r="1881" spans="1:5" x14ac:dyDescent="0.25">
      <c r="A1881" s="17">
        <v>264</v>
      </c>
      <c r="B1881" s="31">
        <v>48533</v>
      </c>
      <c r="C1881" s="32">
        <f>INDEX('Input Data'!$B:$B,A1881)/2+IF(A1881&lt;&gt;A1882,100,0)</f>
        <v>2.1875</v>
      </c>
      <c r="D1881" s="33">
        <f>INDEX('ZCB Curve - Payment Dates'!$D$2:$D$246,MATCH(B1881,'ZCB Curve - Payment Dates'!$A$2:$A$246,0))</f>
        <v>0.75384766072076514</v>
      </c>
      <c r="E1881" s="32">
        <f t="shared" si="29"/>
        <v>1.6490417578266738</v>
      </c>
    </row>
    <row r="1882" spans="1:5" x14ac:dyDescent="0.25">
      <c r="A1882" s="17">
        <v>264</v>
      </c>
      <c r="B1882" s="31">
        <v>48714</v>
      </c>
      <c r="C1882" s="32">
        <f>INDEX('Input Data'!$B:$B,A1882)/2+IF(A1882&lt;&gt;A1883,100,0)</f>
        <v>2.1875</v>
      </c>
      <c r="D1882" s="33">
        <f>INDEX('ZCB Curve - Payment Dates'!$D$2:$D$246,MATCH(B1882,'ZCB Curve - Payment Dates'!$A$2:$A$246,0))</f>
        <v>0.73601491848746747</v>
      </c>
      <c r="E1882" s="32">
        <f t="shared" si="29"/>
        <v>1.6100326341913351</v>
      </c>
    </row>
    <row r="1883" spans="1:5" x14ac:dyDescent="0.25">
      <c r="A1883" s="17">
        <v>264</v>
      </c>
      <c r="B1883" s="31">
        <v>48898</v>
      </c>
      <c r="C1883" s="32">
        <f>INDEX('Input Data'!$B:$B,A1883)/2+IF(A1883&lt;&gt;A1884,100,0)</f>
        <v>2.1875</v>
      </c>
      <c r="D1883" s="33">
        <f>INDEX('ZCB Curve - Payment Dates'!$D$2:$D$246,MATCH(B1883,'ZCB Curve - Payment Dates'!$A$2:$A$246,0))</f>
        <v>0.71805338140354003</v>
      </c>
      <c r="E1883" s="32">
        <f t="shared" si="29"/>
        <v>1.5707417718202439</v>
      </c>
    </row>
    <row r="1884" spans="1:5" x14ac:dyDescent="0.25">
      <c r="A1884" s="17">
        <v>264</v>
      </c>
      <c r="B1884" s="31">
        <v>49079</v>
      </c>
      <c r="C1884" s="32">
        <f>INDEX('Input Data'!$B:$B,A1884)/2+IF(A1884&lt;&gt;A1885,100,0)</f>
        <v>2.1875</v>
      </c>
      <c r="D1884" s="33">
        <f>INDEX('ZCB Curve - Payment Dates'!$D$2:$D$246,MATCH(B1884,'ZCB Curve - Payment Dates'!$A$2:$A$246,0))</f>
        <v>0.70052630492471468</v>
      </c>
      <c r="E1884" s="32">
        <f t="shared" si="29"/>
        <v>1.5324012920228134</v>
      </c>
    </row>
    <row r="1885" spans="1:5" x14ac:dyDescent="0.25">
      <c r="A1885" s="17">
        <v>264</v>
      </c>
      <c r="B1885" s="31">
        <v>49263</v>
      </c>
      <c r="C1885" s="32">
        <f>INDEX('Input Data'!$B:$B,A1885)/2+IF(A1885&lt;&gt;A1886,100,0)</f>
        <v>2.1875</v>
      </c>
      <c r="D1885" s="33">
        <f>INDEX('ZCB Curve - Payment Dates'!$D$2:$D$246,MATCH(B1885,'ZCB Curve - Payment Dates'!$A$2:$A$246,0))</f>
        <v>0.68284221202539863</v>
      </c>
      <c r="E1885" s="32">
        <f t="shared" si="29"/>
        <v>1.4937173388055596</v>
      </c>
    </row>
    <row r="1886" spans="1:5" x14ac:dyDescent="0.25">
      <c r="A1886" s="17">
        <v>264</v>
      </c>
      <c r="B1886" s="31">
        <v>49444</v>
      </c>
      <c r="C1886" s="32">
        <f>INDEX('Input Data'!$B:$B,A1886)/2+IF(A1886&lt;&gt;A1887,100,0)</f>
        <v>2.1875</v>
      </c>
      <c r="D1886" s="33">
        <f>INDEX('ZCB Curve - Payment Dates'!$D$2:$D$246,MATCH(B1886,'ZCB Curve - Payment Dates'!$A$2:$A$246,0))</f>
        <v>0.66557347415228496</v>
      </c>
      <c r="E1886" s="32">
        <f t="shared" si="29"/>
        <v>1.4559419747081233</v>
      </c>
    </row>
    <row r="1887" spans="1:5" x14ac:dyDescent="0.25">
      <c r="A1887" s="17">
        <v>264</v>
      </c>
      <c r="B1887" s="31">
        <v>49628</v>
      </c>
      <c r="C1887" s="32">
        <f>INDEX('Input Data'!$B:$B,A1887)/2+IF(A1887&lt;&gt;A1888,100,0)</f>
        <v>2.1875</v>
      </c>
      <c r="D1887" s="33">
        <f>INDEX('ZCB Curve - Payment Dates'!$D$2:$D$246,MATCH(B1887,'ZCB Curve - Payment Dates'!$A$2:$A$246,0))</f>
        <v>0.64815361918127823</v>
      </c>
      <c r="E1887" s="32">
        <f t="shared" si="29"/>
        <v>1.4178360419590461</v>
      </c>
    </row>
    <row r="1888" spans="1:5" x14ac:dyDescent="0.25">
      <c r="A1888" s="17">
        <v>264</v>
      </c>
      <c r="B1888" s="31">
        <v>49810</v>
      </c>
      <c r="C1888" s="32">
        <f>INDEX('Input Data'!$B:$B,A1888)/2+IF(A1888&lt;&gt;A1889,100,0)</f>
        <v>2.1875</v>
      </c>
      <c r="D1888" s="33">
        <f>INDEX('ZCB Curve - Payment Dates'!$D$2:$D$246,MATCH(B1888,'ZCB Curve - Payment Dates'!$A$2:$A$246,0))</f>
        <v>0.63106457078577471</v>
      </c>
      <c r="E1888" s="32">
        <f t="shared" si="29"/>
        <v>1.3804537485938821</v>
      </c>
    </row>
    <row r="1889" spans="1:5" x14ac:dyDescent="0.25">
      <c r="A1889" s="17">
        <v>264</v>
      </c>
      <c r="B1889" s="31">
        <v>49994</v>
      </c>
      <c r="C1889" s="32">
        <f>INDEX('Input Data'!$B:$B,A1889)/2+IF(A1889&lt;&gt;A1890,100,0)</f>
        <v>2.1875</v>
      </c>
      <c r="D1889" s="33">
        <f>INDEX('ZCB Curve - Payment Dates'!$D$2:$D$246,MATCH(B1889,'ZCB Curve - Payment Dates'!$A$2:$A$246,0))</f>
        <v>0.61395227923184648</v>
      </c>
      <c r="E1889" s="32">
        <f t="shared" si="29"/>
        <v>1.3430206108196641</v>
      </c>
    </row>
    <row r="1890" spans="1:5" x14ac:dyDescent="0.25">
      <c r="A1890" s="17">
        <v>264</v>
      </c>
      <c r="B1890" s="31">
        <v>50175</v>
      </c>
      <c r="C1890" s="32">
        <f>INDEX('Input Data'!$B:$B,A1890)/2+IF(A1890&lt;&gt;A1891,100,0)</f>
        <v>2.1875</v>
      </c>
      <c r="D1890" s="33">
        <f>INDEX('ZCB Curve - Payment Dates'!$D$2:$D$246,MATCH(B1890,'ZCB Curve - Payment Dates'!$A$2:$A$246,0))</f>
        <v>0.5972963482314616</v>
      </c>
      <c r="E1890" s="32">
        <f t="shared" si="29"/>
        <v>1.3065857617563224</v>
      </c>
    </row>
    <row r="1891" spans="1:5" x14ac:dyDescent="0.25">
      <c r="A1891" s="17">
        <v>264</v>
      </c>
      <c r="B1891" s="31">
        <v>50359</v>
      </c>
      <c r="C1891" s="32">
        <f>INDEX('Input Data'!$B:$B,A1891)/2+IF(A1891&lt;&gt;A1892,100,0)</f>
        <v>2.1875</v>
      </c>
      <c r="D1891" s="33">
        <f>INDEX('ZCB Curve - Payment Dates'!$D$2:$D$246,MATCH(B1891,'ZCB Curve - Payment Dates'!$A$2:$A$246,0))</f>
        <v>0.58056812006155756</v>
      </c>
      <c r="E1891" s="32">
        <f t="shared" si="29"/>
        <v>1.2699927626346572</v>
      </c>
    </row>
    <row r="1892" spans="1:5" x14ac:dyDescent="0.25">
      <c r="A1892" s="17">
        <v>264</v>
      </c>
      <c r="B1892" s="31">
        <v>50540</v>
      </c>
      <c r="C1892" s="32">
        <f>INDEX('Input Data'!$B:$B,A1892)/2+IF(A1892&lt;&gt;A1893,100,0)</f>
        <v>2.1875</v>
      </c>
      <c r="D1892" s="33">
        <f>INDEX('ZCB Curve - Payment Dates'!$D$2:$D$246,MATCH(B1892,'ZCB Curve - Payment Dates'!$A$2:$A$246,0))</f>
        <v>0.56433491315969797</v>
      </c>
      <c r="E1892" s="32">
        <f t="shared" si="29"/>
        <v>1.2344826225368393</v>
      </c>
    </row>
    <row r="1893" spans="1:5" x14ac:dyDescent="0.25">
      <c r="A1893" s="17">
        <v>264</v>
      </c>
      <c r="B1893" s="31">
        <v>50724</v>
      </c>
      <c r="C1893" s="32">
        <f>INDEX('Input Data'!$B:$B,A1893)/2+IF(A1893&lt;&gt;A1894,100,0)</f>
        <v>2.1875</v>
      </c>
      <c r="D1893" s="33">
        <f>INDEX('ZCB Curve - Payment Dates'!$D$2:$D$246,MATCH(B1893,'ZCB Curve - Payment Dates'!$A$2:$A$246,0))</f>
        <v>0.54808398139057424</v>
      </c>
      <c r="E1893" s="32">
        <f t="shared" si="29"/>
        <v>1.198933709291881</v>
      </c>
    </row>
    <row r="1894" spans="1:5" x14ac:dyDescent="0.25">
      <c r="A1894" s="17">
        <v>264</v>
      </c>
      <c r="B1894" s="31">
        <v>50905</v>
      </c>
      <c r="C1894" s="32">
        <f>INDEX('Input Data'!$B:$B,A1894)/2+IF(A1894&lt;&gt;A1895,100,0)</f>
        <v>2.1875</v>
      </c>
      <c r="D1894" s="33">
        <f>INDEX('ZCB Curve - Payment Dates'!$D$2:$D$246,MATCH(B1894,'ZCB Curve - Payment Dates'!$A$2:$A$246,0))</f>
        <v>0.5323673246083096</v>
      </c>
      <c r="E1894" s="32">
        <f t="shared" si="29"/>
        <v>1.1645535225806773</v>
      </c>
    </row>
    <row r="1895" spans="1:5" x14ac:dyDescent="0.25">
      <c r="A1895" s="17">
        <v>264</v>
      </c>
      <c r="B1895" s="31">
        <v>51089</v>
      </c>
      <c r="C1895" s="32">
        <f>INDEX('Input Data'!$B:$B,A1895)/2+IF(A1895&lt;&gt;A1896,100,0)</f>
        <v>2.1875</v>
      </c>
      <c r="D1895" s="33">
        <f>INDEX('ZCB Curve - Payment Dates'!$D$2:$D$246,MATCH(B1895,'ZCB Curve - Payment Dates'!$A$2:$A$246,0))</f>
        <v>0.51668806431098135</v>
      </c>
      <c r="E1895" s="32">
        <f t="shared" si="29"/>
        <v>1.1302551406802717</v>
      </c>
    </row>
    <row r="1896" spans="1:5" x14ac:dyDescent="0.25">
      <c r="A1896" s="17">
        <v>264</v>
      </c>
      <c r="B1896" s="31">
        <v>51271</v>
      </c>
      <c r="C1896" s="32">
        <f>INDEX('Input Data'!$B:$B,A1896)/2+IF(A1896&lt;&gt;A1897,100,0)</f>
        <v>102.1875</v>
      </c>
      <c r="D1896" s="33">
        <f>INDEX('ZCB Curve - Payment Dates'!$D$2:$D$246,MATCH(B1896,'ZCB Curve - Payment Dates'!$A$2:$A$246,0))</f>
        <v>0.50149590020417278</v>
      </c>
      <c r="E1896" s="32">
        <f t="shared" si="29"/>
        <v>51.24661230211391</v>
      </c>
    </row>
    <row r="1897" spans="1:5" x14ac:dyDescent="0.25">
      <c r="A1897" s="17">
        <v>265</v>
      </c>
      <c r="B1897" s="31">
        <v>46433</v>
      </c>
      <c r="C1897" s="32">
        <f>INDEX('Input Data'!$B:$B,A1897)/2+IF(A1897&lt;&gt;A1898,100,0)</f>
        <v>0.5625</v>
      </c>
      <c r="D1897" s="33">
        <f>INDEX('ZCB Curve - Payment Dates'!$D$2:$D$246,MATCH(B1897,'ZCB Curve - Payment Dates'!$A$2:$A$246,0))</f>
        <v>0.98242671792446301</v>
      </c>
      <c r="E1897" s="32">
        <f t="shared" si="29"/>
        <v>0.55261502883251046</v>
      </c>
    </row>
    <row r="1898" spans="1:5" x14ac:dyDescent="0.25">
      <c r="A1898" s="17">
        <v>265</v>
      </c>
      <c r="B1898" s="31">
        <v>46614</v>
      </c>
      <c r="C1898" s="32">
        <f>INDEX('Input Data'!$B:$B,A1898)/2+IF(A1898&lt;&gt;A1899,100,0)</f>
        <v>0.5625</v>
      </c>
      <c r="D1898" s="33">
        <f>INDEX('ZCB Curve - Payment Dates'!$D$2:$D$246,MATCH(B1898,'ZCB Curve - Payment Dates'!$A$2:$A$246,0))</f>
        <v>0.96187948164765535</v>
      </c>
      <c r="E1898" s="32">
        <f t="shared" si="29"/>
        <v>0.54105720842680616</v>
      </c>
    </row>
    <row r="1899" spans="1:5" x14ac:dyDescent="0.25">
      <c r="A1899" s="17">
        <v>265</v>
      </c>
      <c r="B1899" s="31">
        <v>46798</v>
      </c>
      <c r="C1899" s="32">
        <f>INDEX('Input Data'!$B:$B,A1899)/2+IF(A1899&lt;&gt;A1900,100,0)</f>
        <v>0.5625</v>
      </c>
      <c r="D1899" s="33">
        <f>INDEX('ZCB Curve - Payment Dates'!$D$2:$D$246,MATCH(B1899,'ZCB Curve - Payment Dates'!$A$2:$A$246,0))</f>
        <v>0.94049096132648802</v>
      </c>
      <c r="E1899" s="32">
        <f t="shared" si="29"/>
        <v>0.52902616574614947</v>
      </c>
    </row>
    <row r="1900" spans="1:5" x14ac:dyDescent="0.25">
      <c r="A1900" s="17">
        <v>265</v>
      </c>
      <c r="B1900" s="31">
        <v>46980</v>
      </c>
      <c r="C1900" s="32">
        <f>INDEX('Input Data'!$B:$B,A1900)/2+IF(A1900&lt;&gt;A1901,100,0)</f>
        <v>0.5625</v>
      </c>
      <c r="D1900" s="33">
        <f>INDEX('ZCB Curve - Payment Dates'!$D$2:$D$246,MATCH(B1900,'ZCB Curve - Payment Dates'!$A$2:$A$246,0))</f>
        <v>0.91931844130238327</v>
      </c>
      <c r="E1900" s="32">
        <f t="shared" si="29"/>
        <v>0.51711662323259056</v>
      </c>
    </row>
    <row r="1901" spans="1:5" x14ac:dyDescent="0.25">
      <c r="A1901" s="17">
        <v>265</v>
      </c>
      <c r="B1901" s="31">
        <v>47164</v>
      </c>
      <c r="C1901" s="32">
        <f>INDEX('Input Data'!$B:$B,A1901)/2+IF(A1901&lt;&gt;A1902,100,0)</f>
        <v>0.5625</v>
      </c>
      <c r="D1901" s="33">
        <f>INDEX('ZCB Curve - Payment Dates'!$D$2:$D$246,MATCH(B1901,'ZCB Curve - Payment Dates'!$A$2:$A$246,0))</f>
        <v>0.89817430058086534</v>
      </c>
      <c r="E1901" s="32">
        <f t="shared" si="29"/>
        <v>0.50522304407673679</v>
      </c>
    </row>
    <row r="1902" spans="1:5" x14ac:dyDescent="0.25">
      <c r="A1902" s="17">
        <v>265</v>
      </c>
      <c r="B1902" s="31">
        <v>47345</v>
      </c>
      <c r="C1902" s="32">
        <f>INDEX('Input Data'!$B:$B,A1902)/2+IF(A1902&lt;&gt;A1903,100,0)</f>
        <v>0.5625</v>
      </c>
      <c r="D1902" s="33">
        <f>INDEX('ZCB Curve - Payment Dates'!$D$2:$D$246,MATCH(B1902,'ZCB Curve - Payment Dates'!$A$2:$A$246,0))</f>
        <v>0.87778421628860481</v>
      </c>
      <c r="E1902" s="32">
        <f t="shared" si="29"/>
        <v>0.49375362166234021</v>
      </c>
    </row>
    <row r="1903" spans="1:5" x14ac:dyDescent="0.25">
      <c r="A1903" s="17">
        <v>265</v>
      </c>
      <c r="B1903" s="31">
        <v>47529</v>
      </c>
      <c r="C1903" s="32">
        <f>INDEX('Input Data'!$B:$B,A1903)/2+IF(A1903&lt;&gt;A1904,100,0)</f>
        <v>0.5625</v>
      </c>
      <c r="D1903" s="33">
        <f>INDEX('ZCB Curve - Payment Dates'!$D$2:$D$246,MATCH(B1903,'ZCB Curve - Payment Dates'!$A$2:$A$246,0))</f>
        <v>0.85751015570959666</v>
      </c>
      <c r="E1903" s="32">
        <f t="shared" si="29"/>
        <v>0.48234946258664813</v>
      </c>
    </row>
    <row r="1904" spans="1:5" x14ac:dyDescent="0.25">
      <c r="A1904" s="17">
        <v>265</v>
      </c>
      <c r="B1904" s="31">
        <v>47710</v>
      </c>
      <c r="C1904" s="32">
        <f>INDEX('Input Data'!$B:$B,A1904)/2+IF(A1904&lt;&gt;A1905,100,0)</f>
        <v>0.5625</v>
      </c>
      <c r="D1904" s="33">
        <f>INDEX('ZCB Curve - Payment Dates'!$D$2:$D$246,MATCH(B1904,'ZCB Curve - Payment Dates'!$A$2:$A$246,0))</f>
        <v>0.83802423748211174</v>
      </c>
      <c r="E1904" s="32">
        <f t="shared" si="29"/>
        <v>0.47138863358368788</v>
      </c>
    </row>
    <row r="1905" spans="1:5" x14ac:dyDescent="0.25">
      <c r="A1905" s="17">
        <v>265</v>
      </c>
      <c r="B1905" s="31">
        <v>47894</v>
      </c>
      <c r="C1905" s="32">
        <f>INDEX('Input Data'!$B:$B,A1905)/2+IF(A1905&lt;&gt;A1906,100,0)</f>
        <v>0.5625</v>
      </c>
      <c r="D1905" s="33">
        <f>INDEX('ZCB Curve - Payment Dates'!$D$2:$D$246,MATCH(B1905,'ZCB Curve - Payment Dates'!$A$2:$A$246,0))</f>
        <v>0.8186305474741673</v>
      </c>
      <c r="E1905" s="32">
        <f t="shared" si="29"/>
        <v>0.46047968295421909</v>
      </c>
    </row>
    <row r="1906" spans="1:5" x14ac:dyDescent="0.25">
      <c r="A1906" s="17">
        <v>265</v>
      </c>
      <c r="B1906" s="31">
        <v>48075</v>
      </c>
      <c r="C1906" s="32">
        <f>INDEX('Input Data'!$B:$B,A1906)/2+IF(A1906&lt;&gt;A1907,100,0)</f>
        <v>0.5625</v>
      </c>
      <c r="D1906" s="33">
        <f>INDEX('ZCB Curve - Payment Dates'!$D$2:$D$246,MATCH(B1906,'ZCB Curve - Payment Dates'!$A$2:$A$246,0))</f>
        <v>0.7999252334775927</v>
      </c>
      <c r="E1906" s="32">
        <f t="shared" si="29"/>
        <v>0.4499579438311459</v>
      </c>
    </row>
    <row r="1907" spans="1:5" x14ac:dyDescent="0.25">
      <c r="A1907" s="17">
        <v>265</v>
      </c>
      <c r="B1907" s="31">
        <v>48259</v>
      </c>
      <c r="C1907" s="32">
        <f>INDEX('Input Data'!$B:$B,A1907)/2+IF(A1907&lt;&gt;A1908,100,0)</f>
        <v>0.5625</v>
      </c>
      <c r="D1907" s="33">
        <f>INDEX('ZCB Curve - Payment Dates'!$D$2:$D$246,MATCH(B1907,'ZCB Curve - Payment Dates'!$A$2:$A$246,0))</f>
        <v>0.78121887027612602</v>
      </c>
      <c r="E1907" s="32">
        <f t="shared" si="29"/>
        <v>0.43943561453032087</v>
      </c>
    </row>
    <row r="1908" spans="1:5" x14ac:dyDescent="0.25">
      <c r="A1908" s="17">
        <v>265</v>
      </c>
      <c r="B1908" s="31">
        <v>48441</v>
      </c>
      <c r="C1908" s="32">
        <f>INDEX('Input Data'!$B:$B,A1908)/2+IF(A1908&lt;&gt;A1909,100,0)</f>
        <v>0.5625</v>
      </c>
      <c r="D1908" s="33">
        <f>INDEX('ZCB Curve - Payment Dates'!$D$2:$D$246,MATCH(B1908,'ZCB Curve - Payment Dates'!$A$2:$A$246,0))</f>
        <v>0.76298123459017864</v>
      </c>
      <c r="E1908" s="32">
        <f t="shared" si="29"/>
        <v>0.42917694445697546</v>
      </c>
    </row>
    <row r="1909" spans="1:5" x14ac:dyDescent="0.25">
      <c r="A1909" s="17">
        <v>265</v>
      </c>
      <c r="B1909" s="31">
        <v>48625</v>
      </c>
      <c r="C1909" s="32">
        <f>INDEX('Input Data'!$B:$B,A1909)/2+IF(A1909&lt;&gt;A1910,100,0)</f>
        <v>0.5625</v>
      </c>
      <c r="D1909" s="33">
        <f>INDEX('ZCB Curve - Payment Dates'!$D$2:$D$246,MATCH(B1909,'ZCB Curve - Payment Dates'!$A$2:$A$246,0))</f>
        <v>0.74476011611938586</v>
      </c>
      <c r="E1909" s="32">
        <f t="shared" si="29"/>
        <v>0.41892756531715453</v>
      </c>
    </row>
    <row r="1910" spans="1:5" x14ac:dyDescent="0.25">
      <c r="A1910" s="17">
        <v>265</v>
      </c>
      <c r="B1910" s="31">
        <v>48806</v>
      </c>
      <c r="C1910" s="32">
        <f>INDEX('Input Data'!$B:$B,A1910)/2+IF(A1910&lt;&gt;A1911,100,0)</f>
        <v>0.5625</v>
      </c>
      <c r="D1910" s="33">
        <f>INDEX('ZCB Curve - Payment Dates'!$D$2:$D$246,MATCH(B1910,'ZCB Curve - Payment Dates'!$A$2:$A$246,0))</f>
        <v>0.72701302496114584</v>
      </c>
      <c r="E1910" s="32">
        <f t="shared" si="29"/>
        <v>0.40894482654064451</v>
      </c>
    </row>
    <row r="1911" spans="1:5" x14ac:dyDescent="0.25">
      <c r="A1911" s="17">
        <v>265</v>
      </c>
      <c r="B1911" s="31">
        <v>48990</v>
      </c>
      <c r="C1911" s="32">
        <f>INDEX('Input Data'!$B:$B,A1911)/2+IF(A1911&lt;&gt;A1912,100,0)</f>
        <v>0.5625</v>
      </c>
      <c r="D1911" s="33">
        <f>INDEX('ZCB Curve - Payment Dates'!$D$2:$D$246,MATCH(B1911,'ZCB Curve - Payment Dates'!$A$2:$A$246,0))</f>
        <v>0.70912647031380449</v>
      </c>
      <c r="E1911" s="32">
        <f t="shared" si="29"/>
        <v>0.39888363955151501</v>
      </c>
    </row>
    <row r="1912" spans="1:5" x14ac:dyDescent="0.25">
      <c r="A1912" s="17">
        <v>265</v>
      </c>
      <c r="B1912" s="31">
        <v>49171</v>
      </c>
      <c r="C1912" s="32">
        <f>INDEX('Input Data'!$B:$B,A1912)/2+IF(A1912&lt;&gt;A1913,100,0)</f>
        <v>0.5625</v>
      </c>
      <c r="D1912" s="33">
        <f>INDEX('ZCB Curve - Payment Dates'!$D$2:$D$246,MATCH(B1912,'ZCB Curve - Payment Dates'!$A$2:$A$246,0))</f>
        <v>0.6916661505723215</v>
      </c>
      <c r="E1912" s="32">
        <f t="shared" si="29"/>
        <v>0.38906220969693084</v>
      </c>
    </row>
    <row r="1913" spans="1:5" x14ac:dyDescent="0.25">
      <c r="A1913" s="17">
        <v>265</v>
      </c>
      <c r="B1913" s="31">
        <v>49355</v>
      </c>
      <c r="C1913" s="32">
        <f>INDEX('Input Data'!$B:$B,A1913)/2+IF(A1913&lt;&gt;A1914,100,0)</f>
        <v>0.5625</v>
      </c>
      <c r="D1913" s="33">
        <f>INDEX('ZCB Curve - Payment Dates'!$D$2:$D$246,MATCH(B1913,'ZCB Curve - Payment Dates'!$A$2:$A$246,0))</f>
        <v>0.674047377898778</v>
      </c>
      <c r="E1913" s="32">
        <f t="shared" si="29"/>
        <v>0.37915165006806262</v>
      </c>
    </row>
    <row r="1914" spans="1:5" x14ac:dyDescent="0.25">
      <c r="A1914" s="17">
        <v>265</v>
      </c>
      <c r="B1914" s="31">
        <v>49536</v>
      </c>
      <c r="C1914" s="32">
        <f>INDEX('Input Data'!$B:$B,A1914)/2+IF(A1914&lt;&gt;A1915,100,0)</f>
        <v>0.5625</v>
      </c>
      <c r="D1914" s="33">
        <f>INDEX('ZCB Curve - Payment Dates'!$D$2:$D$246,MATCH(B1914,'ZCB Curve - Payment Dates'!$A$2:$A$246,0))</f>
        <v>0.65684432300638129</v>
      </c>
      <c r="E1914" s="32">
        <f t="shared" si="29"/>
        <v>0.36947493169108947</v>
      </c>
    </row>
    <row r="1915" spans="1:5" x14ac:dyDescent="0.25">
      <c r="A1915" s="17">
        <v>265</v>
      </c>
      <c r="B1915" s="31">
        <v>49720</v>
      </c>
      <c r="C1915" s="32">
        <f>INDEX('Input Data'!$B:$B,A1915)/2+IF(A1915&lt;&gt;A1916,100,0)</f>
        <v>0.5625</v>
      </c>
      <c r="D1915" s="33">
        <f>INDEX('ZCB Curve - Payment Dates'!$D$2:$D$246,MATCH(B1915,'ZCB Curve - Payment Dates'!$A$2:$A$246,0))</f>
        <v>0.63949604524993764</v>
      </c>
      <c r="E1915" s="32">
        <f t="shared" si="29"/>
        <v>0.35971652545308991</v>
      </c>
    </row>
    <row r="1916" spans="1:5" x14ac:dyDescent="0.25">
      <c r="A1916" s="17">
        <v>265</v>
      </c>
      <c r="B1916" s="31">
        <v>49902</v>
      </c>
      <c r="C1916" s="32">
        <f>INDEX('Input Data'!$B:$B,A1916)/2+IF(A1916&lt;&gt;A1917,100,0)</f>
        <v>0.5625</v>
      </c>
      <c r="D1916" s="33">
        <f>INDEX('ZCB Curve - Payment Dates'!$D$2:$D$246,MATCH(B1916,'ZCB Curve - Payment Dates'!$A$2:$A$246,0))</f>
        <v>0.62248862376822711</v>
      </c>
      <c r="E1916" s="32">
        <f t="shared" si="29"/>
        <v>0.35014985086962774</v>
      </c>
    </row>
    <row r="1917" spans="1:5" x14ac:dyDescent="0.25">
      <c r="A1917" s="17">
        <v>265</v>
      </c>
      <c r="B1917" s="31">
        <v>50086</v>
      </c>
      <c r="C1917" s="32">
        <f>INDEX('Input Data'!$B:$B,A1917)/2+IF(A1917&lt;&gt;A1918,100,0)</f>
        <v>0.5625</v>
      </c>
      <c r="D1917" s="33">
        <f>INDEX('ZCB Curve - Payment Dates'!$D$2:$D$246,MATCH(B1917,'ZCB Curve - Payment Dates'!$A$2:$A$246,0))</f>
        <v>0.60546490876014969</v>
      </c>
      <c r="E1917" s="32">
        <f t="shared" si="29"/>
        <v>0.34057401117758418</v>
      </c>
    </row>
    <row r="1918" spans="1:5" x14ac:dyDescent="0.25">
      <c r="A1918" s="17">
        <v>265</v>
      </c>
      <c r="B1918" s="31">
        <v>50267</v>
      </c>
      <c r="C1918" s="32">
        <f>INDEX('Input Data'!$B:$B,A1918)/2+IF(A1918&lt;&gt;A1919,100,0)</f>
        <v>0.5625</v>
      </c>
      <c r="D1918" s="33">
        <f>INDEX('ZCB Curve - Payment Dates'!$D$2:$D$246,MATCH(B1918,'ZCB Curve - Payment Dates'!$A$2:$A$246,0))</f>
        <v>0.58890683803346977</v>
      </c>
      <c r="E1918" s="32">
        <f t="shared" si="29"/>
        <v>0.33126009639382675</v>
      </c>
    </row>
    <row r="1919" spans="1:5" x14ac:dyDescent="0.25">
      <c r="A1919" s="17">
        <v>265</v>
      </c>
      <c r="B1919" s="31">
        <v>50451</v>
      </c>
      <c r="C1919" s="32">
        <f>INDEX('Input Data'!$B:$B,A1919)/2+IF(A1919&lt;&gt;A1920,100,0)</f>
        <v>0.5625</v>
      </c>
      <c r="D1919" s="33">
        <f>INDEX('ZCB Curve - Payment Dates'!$D$2:$D$246,MATCH(B1919,'ZCB Curve - Payment Dates'!$A$2:$A$246,0))</f>
        <v>0.57228983695479263</v>
      </c>
      <c r="E1919" s="32">
        <f t="shared" si="29"/>
        <v>0.32191303328707088</v>
      </c>
    </row>
    <row r="1920" spans="1:5" x14ac:dyDescent="0.25">
      <c r="A1920" s="17">
        <v>265</v>
      </c>
      <c r="B1920" s="31">
        <v>50632</v>
      </c>
      <c r="C1920" s="32">
        <f>INDEX('Input Data'!$B:$B,A1920)/2+IF(A1920&lt;&gt;A1921,100,0)</f>
        <v>0.5625</v>
      </c>
      <c r="D1920" s="33">
        <f>INDEX('ZCB Curve - Payment Dates'!$D$2:$D$246,MATCH(B1920,'ZCB Curve - Payment Dates'!$A$2:$A$246,0))</f>
        <v>0.55617795699202288</v>
      </c>
      <c r="E1920" s="32">
        <f t="shared" si="29"/>
        <v>0.3128501008080129</v>
      </c>
    </row>
    <row r="1921" spans="1:5" x14ac:dyDescent="0.25">
      <c r="A1921" s="17">
        <v>265</v>
      </c>
      <c r="B1921" s="31">
        <v>50816</v>
      </c>
      <c r="C1921" s="32">
        <f>INDEX('Input Data'!$B:$B,A1921)/2+IF(A1921&lt;&gt;A1922,100,0)</f>
        <v>0.5625</v>
      </c>
      <c r="D1921" s="33">
        <f>INDEX('ZCB Curve - Payment Dates'!$D$2:$D$246,MATCH(B1921,'ZCB Curve - Payment Dates'!$A$2:$A$246,0))</f>
        <v>0.54006240951211237</v>
      </c>
      <c r="E1921" s="32">
        <f t="shared" si="29"/>
        <v>0.30378510535056319</v>
      </c>
    </row>
    <row r="1922" spans="1:5" x14ac:dyDescent="0.25">
      <c r="A1922" s="17">
        <v>265</v>
      </c>
      <c r="B1922" s="31">
        <v>50997</v>
      </c>
      <c r="C1922" s="32">
        <f>INDEX('Input Data'!$B:$B,A1922)/2+IF(A1922&lt;&gt;A1923,100,0)</f>
        <v>0.5625</v>
      </c>
      <c r="D1922" s="33">
        <f>INDEX('ZCB Curve - Payment Dates'!$D$2:$D$246,MATCH(B1922,'ZCB Curve - Payment Dates'!$A$2:$A$246,0))</f>
        <v>0.52449040173194583</v>
      </c>
      <c r="E1922" s="32">
        <f t="shared" ref="E1922:E1985" si="30">C1922*D1922</f>
        <v>0.29502585097421952</v>
      </c>
    </row>
    <row r="1923" spans="1:5" x14ac:dyDescent="0.25">
      <c r="A1923" s="17">
        <v>265</v>
      </c>
      <c r="B1923" s="31">
        <v>51181</v>
      </c>
      <c r="C1923" s="32">
        <f>INDEX('Input Data'!$B:$B,A1923)/2+IF(A1923&lt;&gt;A1924,100,0)</f>
        <v>0.5625</v>
      </c>
      <c r="D1923" s="33">
        <f>INDEX('ZCB Curve - Payment Dates'!$D$2:$D$246,MATCH(B1923,'ZCB Curve - Payment Dates'!$A$2:$A$246,0))</f>
        <v>0.5089691698468306</v>
      </c>
      <c r="E1923" s="32">
        <f t="shared" si="30"/>
        <v>0.2862951580388422</v>
      </c>
    </row>
    <row r="1924" spans="1:5" x14ac:dyDescent="0.25">
      <c r="A1924" s="17">
        <v>265</v>
      </c>
      <c r="B1924" s="31">
        <v>51363</v>
      </c>
      <c r="C1924" s="32">
        <f>INDEX('Input Data'!$B:$B,A1924)/2+IF(A1924&lt;&gt;A1925,100,0)</f>
        <v>100.5625</v>
      </c>
      <c r="D1924" s="33">
        <f>INDEX('ZCB Curve - Payment Dates'!$D$2:$D$246,MATCH(B1924,'ZCB Curve - Payment Dates'!$A$2:$A$246,0))</f>
        <v>0.49394036022330806</v>
      </c>
      <c r="E1924" s="32">
        <f t="shared" si="30"/>
        <v>49.671877474956418</v>
      </c>
    </row>
    <row r="1925" spans="1:5" x14ac:dyDescent="0.25">
      <c r="A1925" s="17">
        <v>266</v>
      </c>
      <c r="B1925" s="31">
        <v>46433</v>
      </c>
      <c r="C1925" s="32">
        <f>INDEX('Input Data'!$B:$B,A1925)/2+IF(A1925&lt;&gt;A1926,100,0)</f>
        <v>1.9375</v>
      </c>
      <c r="D1925" s="33">
        <f>INDEX('ZCB Curve - Payment Dates'!$D$2:$D$246,MATCH(B1925,'ZCB Curve - Payment Dates'!$A$2:$A$246,0))</f>
        <v>0.98242671792446301</v>
      </c>
      <c r="E1925" s="32">
        <f t="shared" si="30"/>
        <v>1.9034517659786472</v>
      </c>
    </row>
    <row r="1926" spans="1:5" x14ac:dyDescent="0.25">
      <c r="A1926" s="17">
        <v>266</v>
      </c>
      <c r="B1926" s="31">
        <v>46614</v>
      </c>
      <c r="C1926" s="32">
        <f>INDEX('Input Data'!$B:$B,A1926)/2+IF(A1926&lt;&gt;A1927,100,0)</f>
        <v>1.9375</v>
      </c>
      <c r="D1926" s="33">
        <f>INDEX('ZCB Curve - Payment Dates'!$D$2:$D$246,MATCH(B1926,'ZCB Curve - Payment Dates'!$A$2:$A$246,0))</f>
        <v>0.96187948164765535</v>
      </c>
      <c r="E1926" s="32">
        <f t="shared" si="30"/>
        <v>1.8636414956923322</v>
      </c>
    </row>
    <row r="1927" spans="1:5" x14ac:dyDescent="0.25">
      <c r="A1927" s="17">
        <v>266</v>
      </c>
      <c r="B1927" s="31">
        <v>46798</v>
      </c>
      <c r="C1927" s="32">
        <f>INDEX('Input Data'!$B:$B,A1927)/2+IF(A1927&lt;&gt;A1928,100,0)</f>
        <v>1.9375</v>
      </c>
      <c r="D1927" s="33">
        <f>INDEX('ZCB Curve - Payment Dates'!$D$2:$D$246,MATCH(B1927,'ZCB Curve - Payment Dates'!$A$2:$A$246,0))</f>
        <v>0.94049096132648802</v>
      </c>
      <c r="E1927" s="32">
        <f t="shared" si="30"/>
        <v>1.8222012375700705</v>
      </c>
    </row>
    <row r="1928" spans="1:5" x14ac:dyDescent="0.25">
      <c r="A1928" s="17">
        <v>266</v>
      </c>
      <c r="B1928" s="31">
        <v>46980</v>
      </c>
      <c r="C1928" s="32">
        <f>INDEX('Input Data'!$B:$B,A1928)/2+IF(A1928&lt;&gt;A1929,100,0)</f>
        <v>1.9375</v>
      </c>
      <c r="D1928" s="33">
        <f>INDEX('ZCB Curve - Payment Dates'!$D$2:$D$246,MATCH(B1928,'ZCB Curve - Payment Dates'!$A$2:$A$246,0))</f>
        <v>0.91931844130238327</v>
      </c>
      <c r="E1928" s="32">
        <f t="shared" si="30"/>
        <v>1.7811794800233676</v>
      </c>
    </row>
    <row r="1929" spans="1:5" x14ac:dyDescent="0.25">
      <c r="A1929" s="17">
        <v>266</v>
      </c>
      <c r="B1929" s="31">
        <v>47164</v>
      </c>
      <c r="C1929" s="32">
        <f>INDEX('Input Data'!$B:$B,A1929)/2+IF(A1929&lt;&gt;A1930,100,0)</f>
        <v>1.9375</v>
      </c>
      <c r="D1929" s="33">
        <f>INDEX('ZCB Curve - Payment Dates'!$D$2:$D$246,MATCH(B1929,'ZCB Curve - Payment Dates'!$A$2:$A$246,0))</f>
        <v>0.89817430058086534</v>
      </c>
      <c r="E1929" s="32">
        <f t="shared" si="30"/>
        <v>1.7402127073754265</v>
      </c>
    </row>
    <row r="1930" spans="1:5" x14ac:dyDescent="0.25">
      <c r="A1930" s="17">
        <v>266</v>
      </c>
      <c r="B1930" s="31">
        <v>47345</v>
      </c>
      <c r="C1930" s="32">
        <f>INDEX('Input Data'!$B:$B,A1930)/2+IF(A1930&lt;&gt;A1931,100,0)</f>
        <v>1.9375</v>
      </c>
      <c r="D1930" s="33">
        <f>INDEX('ZCB Curve - Payment Dates'!$D$2:$D$246,MATCH(B1930,'ZCB Curve - Payment Dates'!$A$2:$A$246,0))</f>
        <v>0.87778421628860481</v>
      </c>
      <c r="E1930" s="32">
        <f t="shared" si="30"/>
        <v>1.7007069190591719</v>
      </c>
    </row>
    <row r="1931" spans="1:5" x14ac:dyDescent="0.25">
      <c r="A1931" s="17">
        <v>266</v>
      </c>
      <c r="B1931" s="31">
        <v>47529</v>
      </c>
      <c r="C1931" s="32">
        <f>INDEX('Input Data'!$B:$B,A1931)/2+IF(A1931&lt;&gt;A1932,100,0)</f>
        <v>1.9375</v>
      </c>
      <c r="D1931" s="33">
        <f>INDEX('ZCB Curve - Payment Dates'!$D$2:$D$246,MATCH(B1931,'ZCB Curve - Payment Dates'!$A$2:$A$246,0))</f>
        <v>0.85751015570959666</v>
      </c>
      <c r="E1931" s="32">
        <f t="shared" si="30"/>
        <v>1.6614259266873435</v>
      </c>
    </row>
    <row r="1932" spans="1:5" x14ac:dyDescent="0.25">
      <c r="A1932" s="17">
        <v>266</v>
      </c>
      <c r="B1932" s="31">
        <v>47710</v>
      </c>
      <c r="C1932" s="32">
        <f>INDEX('Input Data'!$B:$B,A1932)/2+IF(A1932&lt;&gt;A1933,100,0)</f>
        <v>1.9375</v>
      </c>
      <c r="D1932" s="33">
        <f>INDEX('ZCB Curve - Payment Dates'!$D$2:$D$246,MATCH(B1932,'ZCB Curve - Payment Dates'!$A$2:$A$246,0))</f>
        <v>0.83802423748211174</v>
      </c>
      <c r="E1932" s="32">
        <f t="shared" si="30"/>
        <v>1.6236719601215914</v>
      </c>
    </row>
    <row r="1933" spans="1:5" x14ac:dyDescent="0.25">
      <c r="A1933" s="17">
        <v>266</v>
      </c>
      <c r="B1933" s="31">
        <v>47894</v>
      </c>
      <c r="C1933" s="32">
        <f>INDEX('Input Data'!$B:$B,A1933)/2+IF(A1933&lt;&gt;A1934,100,0)</f>
        <v>1.9375</v>
      </c>
      <c r="D1933" s="33">
        <f>INDEX('ZCB Curve - Payment Dates'!$D$2:$D$246,MATCH(B1933,'ZCB Curve - Payment Dates'!$A$2:$A$246,0))</f>
        <v>0.8186305474741673</v>
      </c>
      <c r="E1933" s="32">
        <f t="shared" si="30"/>
        <v>1.5860966857311991</v>
      </c>
    </row>
    <row r="1934" spans="1:5" x14ac:dyDescent="0.25">
      <c r="A1934" s="17">
        <v>266</v>
      </c>
      <c r="B1934" s="31">
        <v>48075</v>
      </c>
      <c r="C1934" s="32">
        <f>INDEX('Input Data'!$B:$B,A1934)/2+IF(A1934&lt;&gt;A1935,100,0)</f>
        <v>1.9375</v>
      </c>
      <c r="D1934" s="33">
        <f>INDEX('ZCB Curve - Payment Dates'!$D$2:$D$246,MATCH(B1934,'ZCB Curve - Payment Dates'!$A$2:$A$246,0))</f>
        <v>0.7999252334775927</v>
      </c>
      <c r="E1934" s="32">
        <f t="shared" si="30"/>
        <v>1.549855139862836</v>
      </c>
    </row>
    <row r="1935" spans="1:5" x14ac:dyDescent="0.25">
      <c r="A1935" s="17">
        <v>266</v>
      </c>
      <c r="B1935" s="31">
        <v>48259</v>
      </c>
      <c r="C1935" s="32">
        <f>INDEX('Input Data'!$B:$B,A1935)/2+IF(A1935&lt;&gt;A1936,100,0)</f>
        <v>1.9375</v>
      </c>
      <c r="D1935" s="33">
        <f>INDEX('ZCB Curve - Payment Dates'!$D$2:$D$246,MATCH(B1935,'ZCB Curve - Payment Dates'!$A$2:$A$246,0))</f>
        <v>0.78121887027612602</v>
      </c>
      <c r="E1935" s="32">
        <f t="shared" si="30"/>
        <v>1.5136115611599941</v>
      </c>
    </row>
    <row r="1936" spans="1:5" x14ac:dyDescent="0.25">
      <c r="A1936" s="17">
        <v>266</v>
      </c>
      <c r="B1936" s="31">
        <v>48441</v>
      </c>
      <c r="C1936" s="32">
        <f>INDEX('Input Data'!$B:$B,A1936)/2+IF(A1936&lt;&gt;A1937,100,0)</f>
        <v>1.9375</v>
      </c>
      <c r="D1936" s="33">
        <f>INDEX('ZCB Curve - Payment Dates'!$D$2:$D$246,MATCH(B1936,'ZCB Curve - Payment Dates'!$A$2:$A$246,0))</f>
        <v>0.76298123459017864</v>
      </c>
      <c r="E1936" s="32">
        <f t="shared" si="30"/>
        <v>1.4782761420184711</v>
      </c>
    </row>
    <row r="1937" spans="1:5" x14ac:dyDescent="0.25">
      <c r="A1937" s="17">
        <v>266</v>
      </c>
      <c r="B1937" s="31">
        <v>48625</v>
      </c>
      <c r="C1937" s="32">
        <f>INDEX('Input Data'!$B:$B,A1937)/2+IF(A1937&lt;&gt;A1938,100,0)</f>
        <v>1.9375</v>
      </c>
      <c r="D1937" s="33">
        <f>INDEX('ZCB Curve - Payment Dates'!$D$2:$D$246,MATCH(B1937,'ZCB Curve - Payment Dates'!$A$2:$A$246,0))</f>
        <v>0.74476011611938586</v>
      </c>
      <c r="E1937" s="32">
        <f t="shared" si="30"/>
        <v>1.44297272498131</v>
      </c>
    </row>
    <row r="1938" spans="1:5" x14ac:dyDescent="0.25">
      <c r="A1938" s="17">
        <v>266</v>
      </c>
      <c r="B1938" s="31">
        <v>48806</v>
      </c>
      <c r="C1938" s="32">
        <f>INDEX('Input Data'!$B:$B,A1938)/2+IF(A1938&lt;&gt;A1939,100,0)</f>
        <v>1.9375</v>
      </c>
      <c r="D1938" s="33">
        <f>INDEX('ZCB Curve - Payment Dates'!$D$2:$D$246,MATCH(B1938,'ZCB Curve - Payment Dates'!$A$2:$A$246,0))</f>
        <v>0.72701302496114584</v>
      </c>
      <c r="E1938" s="32">
        <f t="shared" si="30"/>
        <v>1.4085877358622201</v>
      </c>
    </row>
    <row r="1939" spans="1:5" x14ac:dyDescent="0.25">
      <c r="A1939" s="17">
        <v>266</v>
      </c>
      <c r="B1939" s="31">
        <v>48990</v>
      </c>
      <c r="C1939" s="32">
        <f>INDEX('Input Data'!$B:$B,A1939)/2+IF(A1939&lt;&gt;A1940,100,0)</f>
        <v>1.9375</v>
      </c>
      <c r="D1939" s="33">
        <f>INDEX('ZCB Curve - Payment Dates'!$D$2:$D$246,MATCH(B1939,'ZCB Curve - Payment Dates'!$A$2:$A$246,0))</f>
        <v>0.70912647031380449</v>
      </c>
      <c r="E1939" s="32">
        <f t="shared" si="30"/>
        <v>1.3739325362329962</v>
      </c>
    </row>
    <row r="1940" spans="1:5" x14ac:dyDescent="0.25">
      <c r="A1940" s="17">
        <v>266</v>
      </c>
      <c r="B1940" s="31">
        <v>49171</v>
      </c>
      <c r="C1940" s="32">
        <f>INDEX('Input Data'!$B:$B,A1940)/2+IF(A1940&lt;&gt;A1941,100,0)</f>
        <v>1.9375</v>
      </c>
      <c r="D1940" s="33">
        <f>INDEX('ZCB Curve - Payment Dates'!$D$2:$D$246,MATCH(B1940,'ZCB Curve - Payment Dates'!$A$2:$A$246,0))</f>
        <v>0.6916661505723215</v>
      </c>
      <c r="E1940" s="32">
        <f t="shared" si="30"/>
        <v>1.340103166733873</v>
      </c>
    </row>
    <row r="1941" spans="1:5" x14ac:dyDescent="0.25">
      <c r="A1941" s="17">
        <v>266</v>
      </c>
      <c r="B1941" s="31">
        <v>49355</v>
      </c>
      <c r="C1941" s="32">
        <f>INDEX('Input Data'!$B:$B,A1941)/2+IF(A1941&lt;&gt;A1942,100,0)</f>
        <v>1.9375</v>
      </c>
      <c r="D1941" s="33">
        <f>INDEX('ZCB Curve - Payment Dates'!$D$2:$D$246,MATCH(B1941,'ZCB Curve - Payment Dates'!$A$2:$A$246,0))</f>
        <v>0.674047377898778</v>
      </c>
      <c r="E1941" s="32">
        <f t="shared" si="30"/>
        <v>1.3059667946788824</v>
      </c>
    </row>
    <row r="1942" spans="1:5" x14ac:dyDescent="0.25">
      <c r="A1942" s="17">
        <v>266</v>
      </c>
      <c r="B1942" s="31">
        <v>49536</v>
      </c>
      <c r="C1942" s="32">
        <f>INDEX('Input Data'!$B:$B,A1942)/2+IF(A1942&lt;&gt;A1943,100,0)</f>
        <v>1.9375</v>
      </c>
      <c r="D1942" s="33">
        <f>INDEX('ZCB Curve - Payment Dates'!$D$2:$D$246,MATCH(B1942,'ZCB Curve - Payment Dates'!$A$2:$A$246,0))</f>
        <v>0.65684432300638129</v>
      </c>
      <c r="E1942" s="32">
        <f t="shared" si="30"/>
        <v>1.2726358758248637</v>
      </c>
    </row>
    <row r="1943" spans="1:5" x14ac:dyDescent="0.25">
      <c r="A1943" s="17">
        <v>266</v>
      </c>
      <c r="B1943" s="31">
        <v>49720</v>
      </c>
      <c r="C1943" s="32">
        <f>INDEX('Input Data'!$B:$B,A1943)/2+IF(A1943&lt;&gt;A1944,100,0)</f>
        <v>1.9375</v>
      </c>
      <c r="D1943" s="33">
        <f>INDEX('ZCB Curve - Payment Dates'!$D$2:$D$246,MATCH(B1943,'ZCB Curve - Payment Dates'!$A$2:$A$246,0))</f>
        <v>0.63949604524993764</v>
      </c>
      <c r="E1943" s="32">
        <f t="shared" si="30"/>
        <v>1.2390235876717541</v>
      </c>
    </row>
    <row r="1944" spans="1:5" x14ac:dyDescent="0.25">
      <c r="A1944" s="17">
        <v>266</v>
      </c>
      <c r="B1944" s="31">
        <v>49902</v>
      </c>
      <c r="C1944" s="32">
        <f>INDEX('Input Data'!$B:$B,A1944)/2+IF(A1944&lt;&gt;A1945,100,0)</f>
        <v>1.9375</v>
      </c>
      <c r="D1944" s="33">
        <f>INDEX('ZCB Curve - Payment Dates'!$D$2:$D$246,MATCH(B1944,'ZCB Curve - Payment Dates'!$A$2:$A$246,0))</f>
        <v>0.62248862376822711</v>
      </c>
      <c r="E1944" s="32">
        <f t="shared" si="30"/>
        <v>1.20607170855094</v>
      </c>
    </row>
    <row r="1945" spans="1:5" x14ac:dyDescent="0.25">
      <c r="A1945" s="17">
        <v>266</v>
      </c>
      <c r="B1945" s="31">
        <v>50086</v>
      </c>
      <c r="C1945" s="32">
        <f>INDEX('Input Data'!$B:$B,A1945)/2+IF(A1945&lt;&gt;A1946,100,0)</f>
        <v>1.9375</v>
      </c>
      <c r="D1945" s="33">
        <f>INDEX('ZCB Curve - Payment Dates'!$D$2:$D$246,MATCH(B1945,'ZCB Curve - Payment Dates'!$A$2:$A$246,0))</f>
        <v>0.60546490876014969</v>
      </c>
      <c r="E1945" s="32">
        <f t="shared" si="30"/>
        <v>1.1730882607227899</v>
      </c>
    </row>
    <row r="1946" spans="1:5" x14ac:dyDescent="0.25">
      <c r="A1946" s="17">
        <v>266</v>
      </c>
      <c r="B1946" s="31">
        <v>50267</v>
      </c>
      <c r="C1946" s="32">
        <f>INDEX('Input Data'!$B:$B,A1946)/2+IF(A1946&lt;&gt;A1947,100,0)</f>
        <v>1.9375</v>
      </c>
      <c r="D1946" s="33">
        <f>INDEX('ZCB Curve - Payment Dates'!$D$2:$D$246,MATCH(B1946,'ZCB Curve - Payment Dates'!$A$2:$A$246,0))</f>
        <v>0.58890683803346977</v>
      </c>
      <c r="E1946" s="32">
        <f t="shared" si="30"/>
        <v>1.1410069986898477</v>
      </c>
    </row>
    <row r="1947" spans="1:5" x14ac:dyDescent="0.25">
      <c r="A1947" s="17">
        <v>266</v>
      </c>
      <c r="B1947" s="31">
        <v>50451</v>
      </c>
      <c r="C1947" s="32">
        <f>INDEX('Input Data'!$B:$B,A1947)/2+IF(A1947&lt;&gt;A1948,100,0)</f>
        <v>1.9375</v>
      </c>
      <c r="D1947" s="33">
        <f>INDEX('ZCB Curve - Payment Dates'!$D$2:$D$246,MATCH(B1947,'ZCB Curve - Payment Dates'!$A$2:$A$246,0))</f>
        <v>0.57228983695479263</v>
      </c>
      <c r="E1947" s="32">
        <f t="shared" si="30"/>
        <v>1.1088115590999108</v>
      </c>
    </row>
    <row r="1948" spans="1:5" x14ac:dyDescent="0.25">
      <c r="A1948" s="17">
        <v>266</v>
      </c>
      <c r="B1948" s="31">
        <v>50632</v>
      </c>
      <c r="C1948" s="32">
        <f>INDEX('Input Data'!$B:$B,A1948)/2+IF(A1948&lt;&gt;A1949,100,0)</f>
        <v>1.9375</v>
      </c>
      <c r="D1948" s="33">
        <f>INDEX('ZCB Curve - Payment Dates'!$D$2:$D$246,MATCH(B1948,'ZCB Curve - Payment Dates'!$A$2:$A$246,0))</f>
        <v>0.55617795699202288</v>
      </c>
      <c r="E1948" s="32">
        <f t="shared" si="30"/>
        <v>1.0775947916720443</v>
      </c>
    </row>
    <row r="1949" spans="1:5" x14ac:dyDescent="0.25">
      <c r="A1949" s="17">
        <v>266</v>
      </c>
      <c r="B1949" s="31">
        <v>50816</v>
      </c>
      <c r="C1949" s="32">
        <f>INDEX('Input Data'!$B:$B,A1949)/2+IF(A1949&lt;&gt;A1950,100,0)</f>
        <v>1.9375</v>
      </c>
      <c r="D1949" s="33">
        <f>INDEX('ZCB Curve - Payment Dates'!$D$2:$D$246,MATCH(B1949,'ZCB Curve - Payment Dates'!$A$2:$A$246,0))</f>
        <v>0.54006240951211237</v>
      </c>
      <c r="E1949" s="32">
        <f t="shared" si="30"/>
        <v>1.0463709184297176</v>
      </c>
    </row>
    <row r="1950" spans="1:5" x14ac:dyDescent="0.25">
      <c r="A1950" s="17">
        <v>266</v>
      </c>
      <c r="B1950" s="31">
        <v>50997</v>
      </c>
      <c r="C1950" s="32">
        <f>INDEX('Input Data'!$B:$B,A1950)/2+IF(A1950&lt;&gt;A1951,100,0)</f>
        <v>1.9375</v>
      </c>
      <c r="D1950" s="33">
        <f>INDEX('ZCB Curve - Payment Dates'!$D$2:$D$246,MATCH(B1950,'ZCB Curve - Payment Dates'!$A$2:$A$246,0))</f>
        <v>0.52449040173194583</v>
      </c>
      <c r="E1950" s="32">
        <f t="shared" si="30"/>
        <v>1.0162001533556451</v>
      </c>
    </row>
    <row r="1951" spans="1:5" x14ac:dyDescent="0.25">
      <c r="A1951" s="17">
        <v>266</v>
      </c>
      <c r="B1951" s="31">
        <v>51181</v>
      </c>
      <c r="C1951" s="32">
        <f>INDEX('Input Data'!$B:$B,A1951)/2+IF(A1951&lt;&gt;A1952,100,0)</f>
        <v>1.9375</v>
      </c>
      <c r="D1951" s="33">
        <f>INDEX('ZCB Curve - Payment Dates'!$D$2:$D$246,MATCH(B1951,'ZCB Curve - Payment Dates'!$A$2:$A$246,0))</f>
        <v>0.5089691698468306</v>
      </c>
      <c r="E1951" s="32">
        <f t="shared" si="30"/>
        <v>0.98612776657823431</v>
      </c>
    </row>
    <row r="1952" spans="1:5" x14ac:dyDescent="0.25">
      <c r="A1952" s="17">
        <v>266</v>
      </c>
      <c r="B1952" s="31">
        <v>51363</v>
      </c>
      <c r="C1952" s="32">
        <f>INDEX('Input Data'!$B:$B,A1952)/2+IF(A1952&lt;&gt;A1953,100,0)</f>
        <v>101.9375</v>
      </c>
      <c r="D1952" s="33">
        <f>INDEX('ZCB Curve - Payment Dates'!$D$2:$D$246,MATCH(B1952,'ZCB Curve - Payment Dates'!$A$2:$A$246,0))</f>
        <v>0.49394036022330806</v>
      </c>
      <c r="E1952" s="32">
        <f t="shared" si="30"/>
        <v>50.351045470263465</v>
      </c>
    </row>
    <row r="1953" spans="1:5" x14ac:dyDescent="0.25">
      <c r="A1953" s="17">
        <v>267</v>
      </c>
      <c r="B1953" s="31">
        <v>46341</v>
      </c>
      <c r="C1953" s="32">
        <f>INDEX('Input Data'!$B:$B,A1953)/2+IF(A1953&lt;&gt;A1954,100,0)</f>
        <v>0.6875</v>
      </c>
      <c r="D1953" s="33">
        <f>INDEX('ZCB Curve - Payment Dates'!$D$2:$D$246,MATCH(B1953,'ZCB Curve - Payment Dates'!$A$2:$A$246,0))</f>
        <v>0.99245367292309439</v>
      </c>
      <c r="E1953" s="32">
        <f t="shared" si="30"/>
        <v>0.68231190013462739</v>
      </c>
    </row>
    <row r="1954" spans="1:5" x14ac:dyDescent="0.25">
      <c r="A1954" s="17">
        <v>267</v>
      </c>
      <c r="B1954" s="31">
        <v>46522</v>
      </c>
      <c r="C1954" s="32">
        <f>INDEX('Input Data'!$B:$B,A1954)/2+IF(A1954&lt;&gt;A1955,100,0)</f>
        <v>0.6875</v>
      </c>
      <c r="D1954" s="33">
        <f>INDEX('ZCB Curve - Payment Dates'!$D$2:$D$246,MATCH(B1954,'ZCB Curve - Payment Dates'!$A$2:$A$246,0))</f>
        <v>0.97242179559611874</v>
      </c>
      <c r="E1954" s="32">
        <f t="shared" si="30"/>
        <v>0.66853998447233165</v>
      </c>
    </row>
    <row r="1955" spans="1:5" x14ac:dyDescent="0.25">
      <c r="A1955" s="17">
        <v>267</v>
      </c>
      <c r="B1955" s="31">
        <v>46706</v>
      </c>
      <c r="C1955" s="32">
        <f>INDEX('Input Data'!$B:$B,A1955)/2+IF(A1955&lt;&gt;A1956,100,0)</f>
        <v>0.6875</v>
      </c>
      <c r="D1955" s="33">
        <f>INDEX('ZCB Curve - Payment Dates'!$D$2:$D$246,MATCH(B1955,'ZCB Curve - Payment Dates'!$A$2:$A$246,0))</f>
        <v>0.95121018311627348</v>
      </c>
      <c r="E1955" s="32">
        <f t="shared" si="30"/>
        <v>0.65395700089243802</v>
      </c>
    </row>
    <row r="1956" spans="1:5" x14ac:dyDescent="0.25">
      <c r="A1956" s="17">
        <v>267</v>
      </c>
      <c r="B1956" s="31">
        <v>46888</v>
      </c>
      <c r="C1956" s="32">
        <f>INDEX('Input Data'!$B:$B,A1956)/2+IF(A1956&lt;&gt;A1957,100,0)</f>
        <v>0.6875</v>
      </c>
      <c r="D1956" s="33">
        <f>INDEX('ZCB Curve - Payment Dates'!$D$2:$D$246,MATCH(B1956,'ZCB Curve - Payment Dates'!$A$2:$A$246,0))</f>
        <v>0.93000025435083566</v>
      </c>
      <c r="E1956" s="32">
        <f t="shared" si="30"/>
        <v>0.63937517486619955</v>
      </c>
    </row>
    <row r="1957" spans="1:5" x14ac:dyDescent="0.25">
      <c r="A1957" s="17">
        <v>267</v>
      </c>
      <c r="B1957" s="31">
        <v>47072</v>
      </c>
      <c r="C1957" s="32">
        <f>INDEX('Input Data'!$B:$B,A1957)/2+IF(A1957&lt;&gt;A1958,100,0)</f>
        <v>0.6875</v>
      </c>
      <c r="D1957" s="33">
        <f>INDEX('ZCB Curve - Payment Dates'!$D$2:$D$246,MATCH(B1957,'ZCB Curve - Payment Dates'!$A$2:$A$246,0))</f>
        <v>0.90870125167038918</v>
      </c>
      <c r="E1957" s="32">
        <f t="shared" si="30"/>
        <v>0.6247321105233925</v>
      </c>
    </row>
    <row r="1958" spans="1:5" x14ac:dyDescent="0.25">
      <c r="A1958" s="17">
        <v>267</v>
      </c>
      <c r="B1958" s="31">
        <v>47253</v>
      </c>
      <c r="C1958" s="32">
        <f>INDEX('Input Data'!$B:$B,A1958)/2+IF(A1958&lt;&gt;A1959,100,0)</f>
        <v>0.6875</v>
      </c>
      <c r="D1958" s="33">
        <f>INDEX('ZCB Curve - Payment Dates'!$D$2:$D$246,MATCH(B1958,'ZCB Curve - Payment Dates'!$A$2:$A$246,0))</f>
        <v>0.88809325063638844</v>
      </c>
      <c r="E1958" s="32">
        <f t="shared" si="30"/>
        <v>0.61056410981251708</v>
      </c>
    </row>
    <row r="1959" spans="1:5" x14ac:dyDescent="0.25">
      <c r="A1959" s="17">
        <v>267</v>
      </c>
      <c r="B1959" s="31">
        <v>47437</v>
      </c>
      <c r="C1959" s="32">
        <f>INDEX('Input Data'!$B:$B,A1959)/2+IF(A1959&lt;&gt;A1960,100,0)</f>
        <v>0.6875</v>
      </c>
      <c r="D1959" s="33">
        <f>INDEX('ZCB Curve - Payment Dates'!$D$2:$D$246,MATCH(B1959,'ZCB Curve - Payment Dates'!$A$2:$A$246,0))</f>
        <v>0.86758824089536279</v>
      </c>
      <c r="E1959" s="32">
        <f t="shared" si="30"/>
        <v>0.59646691561556198</v>
      </c>
    </row>
    <row r="1960" spans="1:5" x14ac:dyDescent="0.25">
      <c r="A1960" s="17">
        <v>267</v>
      </c>
      <c r="B1960" s="31">
        <v>47618</v>
      </c>
      <c r="C1960" s="32">
        <f>INDEX('Input Data'!$B:$B,A1960)/2+IF(A1960&lt;&gt;A1961,100,0)</f>
        <v>0.6875</v>
      </c>
      <c r="D1960" s="33">
        <f>INDEX('ZCB Curve - Payment Dates'!$D$2:$D$246,MATCH(B1960,'ZCB Curve - Payment Dates'!$A$2:$A$246,0))</f>
        <v>0.84787416911783064</v>
      </c>
      <c r="E1960" s="32">
        <f t="shared" si="30"/>
        <v>0.58291349126850855</v>
      </c>
    </row>
    <row r="1961" spans="1:5" x14ac:dyDescent="0.25">
      <c r="A1961" s="17">
        <v>267</v>
      </c>
      <c r="B1961" s="31">
        <v>47802</v>
      </c>
      <c r="C1961" s="32">
        <f>INDEX('Input Data'!$B:$B,A1961)/2+IF(A1961&lt;&gt;A1962,100,0)</f>
        <v>0.6875</v>
      </c>
      <c r="D1961" s="33">
        <f>INDEX('ZCB Curve - Payment Dates'!$D$2:$D$246,MATCH(B1961,'ZCB Curve - Payment Dates'!$A$2:$A$246,0))</f>
        <v>0.82827715028796722</v>
      </c>
      <c r="E1961" s="32">
        <f t="shared" si="30"/>
        <v>0.56944054082297746</v>
      </c>
    </row>
    <row r="1962" spans="1:5" x14ac:dyDescent="0.25">
      <c r="A1962" s="17">
        <v>267</v>
      </c>
      <c r="B1962" s="31">
        <v>47983</v>
      </c>
      <c r="C1962" s="32">
        <f>INDEX('Input Data'!$B:$B,A1962)/2+IF(A1962&lt;&gt;A1963,100,0)</f>
        <v>0.6875</v>
      </c>
      <c r="D1962" s="33">
        <f>INDEX('ZCB Curve - Payment Dates'!$D$2:$D$246,MATCH(B1962,'ZCB Curve - Payment Dates'!$A$2:$A$246,0))</f>
        <v>0.80939067484273564</v>
      </c>
      <c r="E1962" s="32">
        <f t="shared" si="30"/>
        <v>0.5564560889543807</v>
      </c>
    </row>
    <row r="1963" spans="1:5" x14ac:dyDescent="0.25">
      <c r="A1963" s="17">
        <v>267</v>
      </c>
      <c r="B1963" s="31">
        <v>48167</v>
      </c>
      <c r="C1963" s="32">
        <f>INDEX('Input Data'!$B:$B,A1963)/2+IF(A1963&lt;&gt;A1964,100,0)</f>
        <v>0.6875</v>
      </c>
      <c r="D1963" s="33">
        <f>INDEX('ZCB Curve - Payment Dates'!$D$2:$D$246,MATCH(B1963,'ZCB Curve - Payment Dates'!$A$2:$A$246,0))</f>
        <v>0.79053567842581962</v>
      </c>
      <c r="E1963" s="32">
        <f t="shared" si="30"/>
        <v>0.54349327891775101</v>
      </c>
    </row>
    <row r="1964" spans="1:5" x14ac:dyDescent="0.25">
      <c r="A1964" s="17">
        <v>267</v>
      </c>
      <c r="B1964" s="31">
        <v>48349</v>
      </c>
      <c r="C1964" s="32">
        <f>INDEX('Input Data'!$B:$B,A1964)/2+IF(A1964&lt;&gt;A1965,100,0)</f>
        <v>0.6875</v>
      </c>
      <c r="D1964" s="33">
        <f>INDEX('ZCB Curve - Payment Dates'!$D$2:$D$246,MATCH(B1964,'ZCB Curve - Payment Dates'!$A$2:$A$246,0))</f>
        <v>0.77217305702007488</v>
      </c>
      <c r="E1964" s="32">
        <f t="shared" si="30"/>
        <v>0.53086897670130151</v>
      </c>
    </row>
    <row r="1965" spans="1:5" x14ac:dyDescent="0.25">
      <c r="A1965" s="17">
        <v>267</v>
      </c>
      <c r="B1965" s="31">
        <v>48533</v>
      </c>
      <c r="C1965" s="32">
        <f>INDEX('Input Data'!$B:$B,A1965)/2+IF(A1965&lt;&gt;A1966,100,0)</f>
        <v>0.6875</v>
      </c>
      <c r="D1965" s="33">
        <f>INDEX('ZCB Curve - Payment Dates'!$D$2:$D$246,MATCH(B1965,'ZCB Curve - Payment Dates'!$A$2:$A$246,0))</f>
        <v>0.75384766072076514</v>
      </c>
      <c r="E1965" s="32">
        <f t="shared" si="30"/>
        <v>0.51827026674552601</v>
      </c>
    </row>
    <row r="1966" spans="1:5" x14ac:dyDescent="0.25">
      <c r="A1966" s="17">
        <v>267</v>
      </c>
      <c r="B1966" s="31">
        <v>48714</v>
      </c>
      <c r="C1966" s="32">
        <f>INDEX('Input Data'!$B:$B,A1966)/2+IF(A1966&lt;&gt;A1967,100,0)</f>
        <v>0.6875</v>
      </c>
      <c r="D1966" s="33">
        <f>INDEX('ZCB Curve - Payment Dates'!$D$2:$D$246,MATCH(B1966,'ZCB Curve - Payment Dates'!$A$2:$A$246,0))</f>
        <v>0.73601491848746747</v>
      </c>
      <c r="E1966" s="32">
        <f t="shared" si="30"/>
        <v>0.50601025646013387</v>
      </c>
    </row>
    <row r="1967" spans="1:5" x14ac:dyDescent="0.25">
      <c r="A1967" s="17">
        <v>267</v>
      </c>
      <c r="B1967" s="31">
        <v>48898</v>
      </c>
      <c r="C1967" s="32">
        <f>INDEX('Input Data'!$B:$B,A1967)/2+IF(A1967&lt;&gt;A1968,100,0)</f>
        <v>0.6875</v>
      </c>
      <c r="D1967" s="33">
        <f>INDEX('ZCB Curve - Payment Dates'!$D$2:$D$246,MATCH(B1967,'ZCB Curve - Payment Dates'!$A$2:$A$246,0))</f>
        <v>0.71805338140354003</v>
      </c>
      <c r="E1967" s="32">
        <f t="shared" si="30"/>
        <v>0.49366169971493379</v>
      </c>
    </row>
    <row r="1968" spans="1:5" x14ac:dyDescent="0.25">
      <c r="A1968" s="17">
        <v>267</v>
      </c>
      <c r="B1968" s="31">
        <v>49079</v>
      </c>
      <c r="C1968" s="32">
        <f>INDEX('Input Data'!$B:$B,A1968)/2+IF(A1968&lt;&gt;A1969,100,0)</f>
        <v>0.6875</v>
      </c>
      <c r="D1968" s="33">
        <f>INDEX('ZCB Curve - Payment Dates'!$D$2:$D$246,MATCH(B1968,'ZCB Curve - Payment Dates'!$A$2:$A$246,0))</f>
        <v>0.70052630492471468</v>
      </c>
      <c r="E1968" s="32">
        <f t="shared" si="30"/>
        <v>0.48161183463574136</v>
      </c>
    </row>
    <row r="1969" spans="1:5" x14ac:dyDescent="0.25">
      <c r="A1969" s="17">
        <v>267</v>
      </c>
      <c r="B1969" s="31">
        <v>49263</v>
      </c>
      <c r="C1969" s="32">
        <f>INDEX('Input Data'!$B:$B,A1969)/2+IF(A1969&lt;&gt;A1970,100,0)</f>
        <v>0.6875</v>
      </c>
      <c r="D1969" s="33">
        <f>INDEX('ZCB Curve - Payment Dates'!$D$2:$D$246,MATCH(B1969,'ZCB Curve - Payment Dates'!$A$2:$A$246,0))</f>
        <v>0.68284221202539863</v>
      </c>
      <c r="E1969" s="32">
        <f t="shared" si="30"/>
        <v>0.46945402076746157</v>
      </c>
    </row>
    <row r="1970" spans="1:5" x14ac:dyDescent="0.25">
      <c r="A1970" s="17">
        <v>267</v>
      </c>
      <c r="B1970" s="31">
        <v>49444</v>
      </c>
      <c r="C1970" s="32">
        <f>INDEX('Input Data'!$B:$B,A1970)/2+IF(A1970&lt;&gt;A1971,100,0)</f>
        <v>0.6875</v>
      </c>
      <c r="D1970" s="33">
        <f>INDEX('ZCB Curve - Payment Dates'!$D$2:$D$246,MATCH(B1970,'ZCB Curve - Payment Dates'!$A$2:$A$246,0))</f>
        <v>0.66557347415228496</v>
      </c>
      <c r="E1970" s="32">
        <f t="shared" si="30"/>
        <v>0.45758176347969592</v>
      </c>
    </row>
    <row r="1971" spans="1:5" x14ac:dyDescent="0.25">
      <c r="A1971" s="17">
        <v>267</v>
      </c>
      <c r="B1971" s="31">
        <v>49628</v>
      </c>
      <c r="C1971" s="32">
        <f>INDEX('Input Data'!$B:$B,A1971)/2+IF(A1971&lt;&gt;A1972,100,0)</f>
        <v>0.6875</v>
      </c>
      <c r="D1971" s="33">
        <f>INDEX('ZCB Curve - Payment Dates'!$D$2:$D$246,MATCH(B1971,'ZCB Curve - Payment Dates'!$A$2:$A$246,0))</f>
        <v>0.64815361918127823</v>
      </c>
      <c r="E1971" s="32">
        <f t="shared" si="30"/>
        <v>0.44560561318712877</v>
      </c>
    </row>
    <row r="1972" spans="1:5" x14ac:dyDescent="0.25">
      <c r="A1972" s="17">
        <v>267</v>
      </c>
      <c r="B1972" s="31">
        <v>49810</v>
      </c>
      <c r="C1972" s="32">
        <f>INDEX('Input Data'!$B:$B,A1972)/2+IF(A1972&lt;&gt;A1973,100,0)</f>
        <v>0.6875</v>
      </c>
      <c r="D1972" s="33">
        <f>INDEX('ZCB Curve - Payment Dates'!$D$2:$D$246,MATCH(B1972,'ZCB Curve - Payment Dates'!$A$2:$A$246,0))</f>
        <v>0.63106457078577471</v>
      </c>
      <c r="E1972" s="32">
        <f t="shared" si="30"/>
        <v>0.43385689241522013</v>
      </c>
    </row>
    <row r="1973" spans="1:5" x14ac:dyDescent="0.25">
      <c r="A1973" s="17">
        <v>267</v>
      </c>
      <c r="B1973" s="31">
        <v>49994</v>
      </c>
      <c r="C1973" s="32">
        <f>INDEX('Input Data'!$B:$B,A1973)/2+IF(A1973&lt;&gt;A1974,100,0)</f>
        <v>0.6875</v>
      </c>
      <c r="D1973" s="33">
        <f>INDEX('ZCB Curve - Payment Dates'!$D$2:$D$246,MATCH(B1973,'ZCB Curve - Payment Dates'!$A$2:$A$246,0))</f>
        <v>0.61395227923184648</v>
      </c>
      <c r="E1973" s="32">
        <f t="shared" si="30"/>
        <v>0.42209219197189446</v>
      </c>
    </row>
    <row r="1974" spans="1:5" x14ac:dyDescent="0.25">
      <c r="A1974" s="17">
        <v>267</v>
      </c>
      <c r="B1974" s="31">
        <v>50175</v>
      </c>
      <c r="C1974" s="32">
        <f>INDEX('Input Data'!$B:$B,A1974)/2+IF(A1974&lt;&gt;A1975,100,0)</f>
        <v>0.6875</v>
      </c>
      <c r="D1974" s="33">
        <f>INDEX('ZCB Curve - Payment Dates'!$D$2:$D$246,MATCH(B1974,'ZCB Curve - Payment Dates'!$A$2:$A$246,0))</f>
        <v>0.5972963482314616</v>
      </c>
      <c r="E1974" s="32">
        <f t="shared" si="30"/>
        <v>0.41064123940912983</v>
      </c>
    </row>
    <row r="1975" spans="1:5" x14ac:dyDescent="0.25">
      <c r="A1975" s="17">
        <v>267</v>
      </c>
      <c r="B1975" s="31">
        <v>50359</v>
      </c>
      <c r="C1975" s="32">
        <f>INDEX('Input Data'!$B:$B,A1975)/2+IF(A1975&lt;&gt;A1976,100,0)</f>
        <v>0.6875</v>
      </c>
      <c r="D1975" s="33">
        <f>INDEX('ZCB Curve - Payment Dates'!$D$2:$D$246,MATCH(B1975,'ZCB Curve - Payment Dates'!$A$2:$A$246,0))</f>
        <v>0.58056812006155756</v>
      </c>
      <c r="E1975" s="32">
        <f t="shared" si="30"/>
        <v>0.39914058254232082</v>
      </c>
    </row>
    <row r="1976" spans="1:5" x14ac:dyDescent="0.25">
      <c r="A1976" s="17">
        <v>267</v>
      </c>
      <c r="B1976" s="31">
        <v>50540</v>
      </c>
      <c r="C1976" s="32">
        <f>INDEX('Input Data'!$B:$B,A1976)/2+IF(A1976&lt;&gt;A1977,100,0)</f>
        <v>0.6875</v>
      </c>
      <c r="D1976" s="33">
        <f>INDEX('ZCB Curve - Payment Dates'!$D$2:$D$246,MATCH(B1976,'ZCB Curve - Payment Dates'!$A$2:$A$246,0))</f>
        <v>0.56433491315969797</v>
      </c>
      <c r="E1976" s="32">
        <f t="shared" si="30"/>
        <v>0.38798025279729237</v>
      </c>
    </row>
    <row r="1977" spans="1:5" x14ac:dyDescent="0.25">
      <c r="A1977" s="17">
        <v>267</v>
      </c>
      <c r="B1977" s="31">
        <v>50724</v>
      </c>
      <c r="C1977" s="32">
        <f>INDEX('Input Data'!$B:$B,A1977)/2+IF(A1977&lt;&gt;A1978,100,0)</f>
        <v>0.6875</v>
      </c>
      <c r="D1977" s="33">
        <f>INDEX('ZCB Curve - Payment Dates'!$D$2:$D$246,MATCH(B1977,'ZCB Curve - Payment Dates'!$A$2:$A$246,0))</f>
        <v>0.54808398139057424</v>
      </c>
      <c r="E1977" s="32">
        <f t="shared" si="30"/>
        <v>0.37680773720601979</v>
      </c>
    </row>
    <row r="1978" spans="1:5" x14ac:dyDescent="0.25">
      <c r="A1978" s="17">
        <v>267</v>
      </c>
      <c r="B1978" s="31">
        <v>50905</v>
      </c>
      <c r="C1978" s="32">
        <f>INDEX('Input Data'!$B:$B,A1978)/2+IF(A1978&lt;&gt;A1979,100,0)</f>
        <v>0.6875</v>
      </c>
      <c r="D1978" s="33">
        <f>INDEX('ZCB Curve - Payment Dates'!$D$2:$D$246,MATCH(B1978,'ZCB Curve - Payment Dates'!$A$2:$A$246,0))</f>
        <v>0.5323673246083096</v>
      </c>
      <c r="E1978" s="32">
        <f t="shared" si="30"/>
        <v>0.36600253566821284</v>
      </c>
    </row>
    <row r="1979" spans="1:5" x14ac:dyDescent="0.25">
      <c r="A1979" s="17">
        <v>267</v>
      </c>
      <c r="B1979" s="31">
        <v>51089</v>
      </c>
      <c r="C1979" s="32">
        <f>INDEX('Input Data'!$B:$B,A1979)/2+IF(A1979&lt;&gt;A1980,100,0)</f>
        <v>0.6875</v>
      </c>
      <c r="D1979" s="33">
        <f>INDEX('ZCB Curve - Payment Dates'!$D$2:$D$246,MATCH(B1979,'ZCB Curve - Payment Dates'!$A$2:$A$246,0))</f>
        <v>0.51668806431098135</v>
      </c>
      <c r="E1979" s="32">
        <f t="shared" si="30"/>
        <v>0.35522304421379969</v>
      </c>
    </row>
    <row r="1980" spans="1:5" x14ac:dyDescent="0.25">
      <c r="A1980" s="17">
        <v>267</v>
      </c>
      <c r="B1980" s="31">
        <v>51271</v>
      </c>
      <c r="C1980" s="32">
        <f>INDEX('Input Data'!$B:$B,A1980)/2+IF(A1980&lt;&gt;A1981,100,0)</f>
        <v>0.6875</v>
      </c>
      <c r="D1980" s="33">
        <f>INDEX('ZCB Curve - Payment Dates'!$D$2:$D$246,MATCH(B1980,'ZCB Curve - Payment Dates'!$A$2:$A$246,0))</f>
        <v>0.50149590020417278</v>
      </c>
      <c r="E1980" s="32">
        <f t="shared" si="30"/>
        <v>0.34477843139036879</v>
      </c>
    </row>
    <row r="1981" spans="1:5" x14ac:dyDescent="0.25">
      <c r="A1981" s="17">
        <v>267</v>
      </c>
      <c r="B1981" s="31">
        <v>51455</v>
      </c>
      <c r="C1981" s="32">
        <f>INDEX('Input Data'!$B:$B,A1981)/2+IF(A1981&lt;&gt;A1982,100,0)</f>
        <v>100.6875</v>
      </c>
      <c r="D1981" s="33">
        <f>INDEX('ZCB Curve - Payment Dates'!$D$2:$D$246,MATCH(B1981,'ZCB Curve - Payment Dates'!$A$2:$A$246,0))</f>
        <v>0.48647538074270091</v>
      </c>
      <c r="E1981" s="32">
        <f t="shared" si="30"/>
        <v>48.981989898530699</v>
      </c>
    </row>
    <row r="1982" spans="1:5" x14ac:dyDescent="0.25">
      <c r="A1982" s="17">
        <v>268</v>
      </c>
      <c r="B1982" s="31">
        <v>46341</v>
      </c>
      <c r="C1982" s="32">
        <f>INDEX('Input Data'!$B:$B,A1982)/2+IF(A1982&lt;&gt;A1983,100,0)</f>
        <v>2.125</v>
      </c>
      <c r="D1982" s="33">
        <f>INDEX('ZCB Curve - Payment Dates'!$D$2:$D$246,MATCH(B1982,'ZCB Curve - Payment Dates'!$A$2:$A$246,0))</f>
        <v>0.99245367292309439</v>
      </c>
      <c r="E1982" s="32">
        <f t="shared" si="30"/>
        <v>2.1089640549615756</v>
      </c>
    </row>
    <row r="1983" spans="1:5" x14ac:dyDescent="0.25">
      <c r="A1983" s="17">
        <v>268</v>
      </c>
      <c r="B1983" s="31">
        <v>46522</v>
      </c>
      <c r="C1983" s="32">
        <f>INDEX('Input Data'!$B:$B,A1983)/2+IF(A1983&lt;&gt;A1984,100,0)</f>
        <v>2.125</v>
      </c>
      <c r="D1983" s="33">
        <f>INDEX('ZCB Curve - Payment Dates'!$D$2:$D$246,MATCH(B1983,'ZCB Curve - Payment Dates'!$A$2:$A$246,0))</f>
        <v>0.97242179559611874</v>
      </c>
      <c r="E1983" s="32">
        <f t="shared" si="30"/>
        <v>2.0663963156417524</v>
      </c>
    </row>
    <row r="1984" spans="1:5" x14ac:dyDescent="0.25">
      <c r="A1984" s="17">
        <v>268</v>
      </c>
      <c r="B1984" s="31">
        <v>46706</v>
      </c>
      <c r="C1984" s="32">
        <f>INDEX('Input Data'!$B:$B,A1984)/2+IF(A1984&lt;&gt;A1985,100,0)</f>
        <v>2.125</v>
      </c>
      <c r="D1984" s="33">
        <f>INDEX('ZCB Curve - Payment Dates'!$D$2:$D$246,MATCH(B1984,'ZCB Curve - Payment Dates'!$A$2:$A$246,0))</f>
        <v>0.95121018311627348</v>
      </c>
      <c r="E1984" s="32">
        <f t="shared" si="30"/>
        <v>2.021321639122081</v>
      </c>
    </row>
    <row r="1985" spans="1:5" x14ac:dyDescent="0.25">
      <c r="A1985" s="17">
        <v>268</v>
      </c>
      <c r="B1985" s="31">
        <v>46888</v>
      </c>
      <c r="C1985" s="32">
        <f>INDEX('Input Data'!$B:$B,A1985)/2+IF(A1985&lt;&gt;A1986,100,0)</f>
        <v>2.125</v>
      </c>
      <c r="D1985" s="33">
        <f>INDEX('ZCB Curve - Payment Dates'!$D$2:$D$246,MATCH(B1985,'ZCB Curve - Payment Dates'!$A$2:$A$246,0))</f>
        <v>0.93000025435083566</v>
      </c>
      <c r="E1985" s="32">
        <f t="shared" si="30"/>
        <v>1.9762505404955257</v>
      </c>
    </row>
    <row r="1986" spans="1:5" x14ac:dyDescent="0.25">
      <c r="A1986" s="17">
        <v>268</v>
      </c>
      <c r="B1986" s="31">
        <v>47072</v>
      </c>
      <c r="C1986" s="32">
        <f>INDEX('Input Data'!$B:$B,A1986)/2+IF(A1986&lt;&gt;A1987,100,0)</f>
        <v>2.125</v>
      </c>
      <c r="D1986" s="33">
        <f>INDEX('ZCB Curve - Payment Dates'!$D$2:$D$246,MATCH(B1986,'ZCB Curve - Payment Dates'!$A$2:$A$246,0))</f>
        <v>0.90870125167038918</v>
      </c>
      <c r="E1986" s="32">
        <f t="shared" ref="E1986:E2049" si="31">C1986*D1986</f>
        <v>1.9309901597995771</v>
      </c>
    </row>
    <row r="1987" spans="1:5" x14ac:dyDescent="0.25">
      <c r="A1987" s="17">
        <v>268</v>
      </c>
      <c r="B1987" s="31">
        <v>47253</v>
      </c>
      <c r="C1987" s="32">
        <f>INDEX('Input Data'!$B:$B,A1987)/2+IF(A1987&lt;&gt;A1988,100,0)</f>
        <v>2.125</v>
      </c>
      <c r="D1987" s="33">
        <f>INDEX('ZCB Curve - Payment Dates'!$D$2:$D$246,MATCH(B1987,'ZCB Curve - Payment Dates'!$A$2:$A$246,0))</f>
        <v>0.88809325063638844</v>
      </c>
      <c r="E1987" s="32">
        <f t="shared" si="31"/>
        <v>1.8871981576023253</v>
      </c>
    </row>
    <row r="1988" spans="1:5" x14ac:dyDescent="0.25">
      <c r="A1988" s="17">
        <v>268</v>
      </c>
      <c r="B1988" s="31">
        <v>47437</v>
      </c>
      <c r="C1988" s="32">
        <f>INDEX('Input Data'!$B:$B,A1988)/2+IF(A1988&lt;&gt;A1989,100,0)</f>
        <v>2.125</v>
      </c>
      <c r="D1988" s="33">
        <f>INDEX('ZCB Curve - Payment Dates'!$D$2:$D$246,MATCH(B1988,'ZCB Curve - Payment Dates'!$A$2:$A$246,0))</f>
        <v>0.86758824089536279</v>
      </c>
      <c r="E1988" s="32">
        <f t="shared" si="31"/>
        <v>1.8436250119026458</v>
      </c>
    </row>
    <row r="1989" spans="1:5" x14ac:dyDescent="0.25">
      <c r="A1989" s="17">
        <v>268</v>
      </c>
      <c r="B1989" s="31">
        <v>47618</v>
      </c>
      <c r="C1989" s="32">
        <f>INDEX('Input Data'!$B:$B,A1989)/2+IF(A1989&lt;&gt;A1990,100,0)</f>
        <v>2.125</v>
      </c>
      <c r="D1989" s="33">
        <f>INDEX('ZCB Curve - Payment Dates'!$D$2:$D$246,MATCH(B1989,'ZCB Curve - Payment Dates'!$A$2:$A$246,0))</f>
        <v>0.84787416911783064</v>
      </c>
      <c r="E1989" s="32">
        <f t="shared" si="31"/>
        <v>1.80173260937539</v>
      </c>
    </row>
    <row r="1990" spans="1:5" x14ac:dyDescent="0.25">
      <c r="A1990" s="17">
        <v>268</v>
      </c>
      <c r="B1990" s="31">
        <v>47802</v>
      </c>
      <c r="C1990" s="32">
        <f>INDEX('Input Data'!$B:$B,A1990)/2+IF(A1990&lt;&gt;A1991,100,0)</f>
        <v>2.125</v>
      </c>
      <c r="D1990" s="33">
        <f>INDEX('ZCB Curve - Payment Dates'!$D$2:$D$246,MATCH(B1990,'ZCB Curve - Payment Dates'!$A$2:$A$246,0))</f>
        <v>0.82827715028796722</v>
      </c>
      <c r="E1990" s="32">
        <f t="shared" si="31"/>
        <v>1.7600889443619303</v>
      </c>
    </row>
    <row r="1991" spans="1:5" x14ac:dyDescent="0.25">
      <c r="A1991" s="17">
        <v>268</v>
      </c>
      <c r="B1991" s="31">
        <v>47983</v>
      </c>
      <c r="C1991" s="32">
        <f>INDEX('Input Data'!$B:$B,A1991)/2+IF(A1991&lt;&gt;A1992,100,0)</f>
        <v>2.125</v>
      </c>
      <c r="D1991" s="33">
        <f>INDEX('ZCB Curve - Payment Dates'!$D$2:$D$246,MATCH(B1991,'ZCB Curve - Payment Dates'!$A$2:$A$246,0))</f>
        <v>0.80939067484273564</v>
      </c>
      <c r="E1991" s="32">
        <f t="shared" si="31"/>
        <v>1.7199551840408132</v>
      </c>
    </row>
    <row r="1992" spans="1:5" x14ac:dyDescent="0.25">
      <c r="A1992" s="17">
        <v>268</v>
      </c>
      <c r="B1992" s="31">
        <v>48167</v>
      </c>
      <c r="C1992" s="32">
        <f>INDEX('Input Data'!$B:$B,A1992)/2+IF(A1992&lt;&gt;A1993,100,0)</f>
        <v>2.125</v>
      </c>
      <c r="D1992" s="33">
        <f>INDEX('ZCB Curve - Payment Dates'!$D$2:$D$246,MATCH(B1992,'ZCB Curve - Payment Dates'!$A$2:$A$246,0))</f>
        <v>0.79053567842581962</v>
      </c>
      <c r="E1992" s="32">
        <f t="shared" si="31"/>
        <v>1.6798883166548666</v>
      </c>
    </row>
    <row r="1993" spans="1:5" x14ac:dyDescent="0.25">
      <c r="A1993" s="17">
        <v>268</v>
      </c>
      <c r="B1993" s="31">
        <v>48349</v>
      </c>
      <c r="C1993" s="32">
        <f>INDEX('Input Data'!$B:$B,A1993)/2+IF(A1993&lt;&gt;A1994,100,0)</f>
        <v>2.125</v>
      </c>
      <c r="D1993" s="33">
        <f>INDEX('ZCB Curve - Payment Dates'!$D$2:$D$246,MATCH(B1993,'ZCB Curve - Payment Dates'!$A$2:$A$246,0))</f>
        <v>0.77217305702007488</v>
      </c>
      <c r="E1993" s="32">
        <f t="shared" si="31"/>
        <v>1.6408677461676591</v>
      </c>
    </row>
    <row r="1994" spans="1:5" x14ac:dyDescent="0.25">
      <c r="A1994" s="17">
        <v>268</v>
      </c>
      <c r="B1994" s="31">
        <v>48533</v>
      </c>
      <c r="C1994" s="32">
        <f>INDEX('Input Data'!$B:$B,A1994)/2+IF(A1994&lt;&gt;A1995,100,0)</f>
        <v>2.125</v>
      </c>
      <c r="D1994" s="33">
        <f>INDEX('ZCB Curve - Payment Dates'!$D$2:$D$246,MATCH(B1994,'ZCB Curve - Payment Dates'!$A$2:$A$246,0))</f>
        <v>0.75384766072076514</v>
      </c>
      <c r="E1994" s="32">
        <f t="shared" si="31"/>
        <v>1.601926279031626</v>
      </c>
    </row>
    <row r="1995" spans="1:5" x14ac:dyDescent="0.25">
      <c r="A1995" s="17">
        <v>268</v>
      </c>
      <c r="B1995" s="31">
        <v>48714</v>
      </c>
      <c r="C1995" s="32">
        <f>INDEX('Input Data'!$B:$B,A1995)/2+IF(A1995&lt;&gt;A1996,100,0)</f>
        <v>2.125</v>
      </c>
      <c r="D1995" s="33">
        <f>INDEX('ZCB Curve - Payment Dates'!$D$2:$D$246,MATCH(B1995,'ZCB Curve - Payment Dates'!$A$2:$A$246,0))</f>
        <v>0.73601491848746747</v>
      </c>
      <c r="E1995" s="32">
        <f t="shared" si="31"/>
        <v>1.5640317017858685</v>
      </c>
    </row>
    <row r="1996" spans="1:5" x14ac:dyDescent="0.25">
      <c r="A1996" s="17">
        <v>268</v>
      </c>
      <c r="B1996" s="31">
        <v>48898</v>
      </c>
      <c r="C1996" s="32">
        <f>INDEX('Input Data'!$B:$B,A1996)/2+IF(A1996&lt;&gt;A1997,100,0)</f>
        <v>2.125</v>
      </c>
      <c r="D1996" s="33">
        <f>INDEX('ZCB Curve - Payment Dates'!$D$2:$D$246,MATCH(B1996,'ZCB Curve - Payment Dates'!$A$2:$A$246,0))</f>
        <v>0.71805338140354003</v>
      </c>
      <c r="E1996" s="32">
        <f t="shared" si="31"/>
        <v>1.5258634354825225</v>
      </c>
    </row>
    <row r="1997" spans="1:5" x14ac:dyDescent="0.25">
      <c r="A1997" s="17">
        <v>268</v>
      </c>
      <c r="B1997" s="31">
        <v>49079</v>
      </c>
      <c r="C1997" s="32">
        <f>INDEX('Input Data'!$B:$B,A1997)/2+IF(A1997&lt;&gt;A1998,100,0)</f>
        <v>2.125</v>
      </c>
      <c r="D1997" s="33">
        <f>INDEX('ZCB Curve - Payment Dates'!$D$2:$D$246,MATCH(B1997,'ZCB Curve - Payment Dates'!$A$2:$A$246,0))</f>
        <v>0.70052630492471468</v>
      </c>
      <c r="E1997" s="32">
        <f t="shared" si="31"/>
        <v>1.4886183979650187</v>
      </c>
    </row>
    <row r="1998" spans="1:5" x14ac:dyDescent="0.25">
      <c r="A1998" s="17">
        <v>268</v>
      </c>
      <c r="B1998" s="31">
        <v>49263</v>
      </c>
      <c r="C1998" s="32">
        <f>INDEX('Input Data'!$B:$B,A1998)/2+IF(A1998&lt;&gt;A1999,100,0)</f>
        <v>2.125</v>
      </c>
      <c r="D1998" s="33">
        <f>INDEX('ZCB Curve - Payment Dates'!$D$2:$D$246,MATCH(B1998,'ZCB Curve - Payment Dates'!$A$2:$A$246,0))</f>
        <v>0.68284221202539863</v>
      </c>
      <c r="E1998" s="32">
        <f t="shared" si="31"/>
        <v>1.4510397005539721</v>
      </c>
    </row>
    <row r="1999" spans="1:5" x14ac:dyDescent="0.25">
      <c r="A1999" s="17">
        <v>268</v>
      </c>
      <c r="B1999" s="31">
        <v>49444</v>
      </c>
      <c r="C1999" s="32">
        <f>INDEX('Input Data'!$B:$B,A1999)/2+IF(A1999&lt;&gt;A2000,100,0)</f>
        <v>2.125</v>
      </c>
      <c r="D1999" s="33">
        <f>INDEX('ZCB Curve - Payment Dates'!$D$2:$D$246,MATCH(B1999,'ZCB Curve - Payment Dates'!$A$2:$A$246,0))</f>
        <v>0.66557347415228496</v>
      </c>
      <c r="E1999" s="32">
        <f t="shared" si="31"/>
        <v>1.4143436325736056</v>
      </c>
    </row>
    <row r="2000" spans="1:5" x14ac:dyDescent="0.25">
      <c r="A2000" s="17">
        <v>268</v>
      </c>
      <c r="B2000" s="31">
        <v>49628</v>
      </c>
      <c r="C2000" s="32">
        <f>INDEX('Input Data'!$B:$B,A2000)/2+IF(A2000&lt;&gt;A2001,100,0)</f>
        <v>2.125</v>
      </c>
      <c r="D2000" s="33">
        <f>INDEX('ZCB Curve - Payment Dates'!$D$2:$D$246,MATCH(B2000,'ZCB Curve - Payment Dates'!$A$2:$A$246,0))</f>
        <v>0.64815361918127823</v>
      </c>
      <c r="E2000" s="32">
        <f t="shared" si="31"/>
        <v>1.3773264407602162</v>
      </c>
    </row>
    <row r="2001" spans="1:5" x14ac:dyDescent="0.25">
      <c r="A2001" s="17">
        <v>268</v>
      </c>
      <c r="B2001" s="31">
        <v>49810</v>
      </c>
      <c r="C2001" s="32">
        <f>INDEX('Input Data'!$B:$B,A2001)/2+IF(A2001&lt;&gt;A2002,100,0)</f>
        <v>2.125</v>
      </c>
      <c r="D2001" s="33">
        <f>INDEX('ZCB Curve - Payment Dates'!$D$2:$D$246,MATCH(B2001,'ZCB Curve - Payment Dates'!$A$2:$A$246,0))</f>
        <v>0.63106457078577471</v>
      </c>
      <c r="E2001" s="32">
        <f t="shared" si="31"/>
        <v>1.3410122129197712</v>
      </c>
    </row>
    <row r="2002" spans="1:5" x14ac:dyDescent="0.25">
      <c r="A2002" s="17">
        <v>268</v>
      </c>
      <c r="B2002" s="31">
        <v>49994</v>
      </c>
      <c r="C2002" s="32">
        <f>INDEX('Input Data'!$B:$B,A2002)/2+IF(A2002&lt;&gt;A2003,100,0)</f>
        <v>2.125</v>
      </c>
      <c r="D2002" s="33">
        <f>INDEX('ZCB Curve - Payment Dates'!$D$2:$D$246,MATCH(B2002,'ZCB Curve - Payment Dates'!$A$2:$A$246,0))</f>
        <v>0.61395227923184648</v>
      </c>
      <c r="E2002" s="32">
        <f t="shared" si="31"/>
        <v>1.3046485933676737</v>
      </c>
    </row>
    <row r="2003" spans="1:5" x14ac:dyDescent="0.25">
      <c r="A2003" s="17">
        <v>268</v>
      </c>
      <c r="B2003" s="31">
        <v>50175</v>
      </c>
      <c r="C2003" s="32">
        <f>INDEX('Input Data'!$B:$B,A2003)/2+IF(A2003&lt;&gt;A2004,100,0)</f>
        <v>2.125</v>
      </c>
      <c r="D2003" s="33">
        <f>INDEX('ZCB Curve - Payment Dates'!$D$2:$D$246,MATCH(B2003,'ZCB Curve - Payment Dates'!$A$2:$A$246,0))</f>
        <v>0.5972963482314616</v>
      </c>
      <c r="E2003" s="32">
        <f t="shared" si="31"/>
        <v>1.2692547399918559</v>
      </c>
    </row>
    <row r="2004" spans="1:5" x14ac:dyDescent="0.25">
      <c r="A2004" s="17">
        <v>268</v>
      </c>
      <c r="B2004" s="31">
        <v>50359</v>
      </c>
      <c r="C2004" s="32">
        <f>INDEX('Input Data'!$B:$B,A2004)/2+IF(A2004&lt;&gt;A2005,100,0)</f>
        <v>2.125</v>
      </c>
      <c r="D2004" s="33">
        <f>INDEX('ZCB Curve - Payment Dates'!$D$2:$D$246,MATCH(B2004,'ZCB Curve - Payment Dates'!$A$2:$A$246,0))</f>
        <v>0.58056812006155756</v>
      </c>
      <c r="E2004" s="32">
        <f t="shared" si="31"/>
        <v>1.2337072551308097</v>
      </c>
    </row>
    <row r="2005" spans="1:5" x14ac:dyDescent="0.25">
      <c r="A2005" s="17">
        <v>268</v>
      </c>
      <c r="B2005" s="31">
        <v>50540</v>
      </c>
      <c r="C2005" s="32">
        <f>INDEX('Input Data'!$B:$B,A2005)/2+IF(A2005&lt;&gt;A2006,100,0)</f>
        <v>2.125</v>
      </c>
      <c r="D2005" s="33">
        <f>INDEX('ZCB Curve - Payment Dates'!$D$2:$D$246,MATCH(B2005,'ZCB Curve - Payment Dates'!$A$2:$A$246,0))</f>
        <v>0.56433491315969797</v>
      </c>
      <c r="E2005" s="32">
        <f t="shared" si="31"/>
        <v>1.1992116904643582</v>
      </c>
    </row>
    <row r="2006" spans="1:5" x14ac:dyDescent="0.25">
      <c r="A2006" s="17">
        <v>268</v>
      </c>
      <c r="B2006" s="31">
        <v>50724</v>
      </c>
      <c r="C2006" s="32">
        <f>INDEX('Input Data'!$B:$B,A2006)/2+IF(A2006&lt;&gt;A2007,100,0)</f>
        <v>2.125</v>
      </c>
      <c r="D2006" s="33">
        <f>INDEX('ZCB Curve - Payment Dates'!$D$2:$D$246,MATCH(B2006,'ZCB Curve - Payment Dates'!$A$2:$A$246,0))</f>
        <v>0.54808398139057424</v>
      </c>
      <c r="E2006" s="32">
        <f t="shared" si="31"/>
        <v>1.1646784604549703</v>
      </c>
    </row>
    <row r="2007" spans="1:5" x14ac:dyDescent="0.25">
      <c r="A2007" s="17">
        <v>268</v>
      </c>
      <c r="B2007" s="31">
        <v>50905</v>
      </c>
      <c r="C2007" s="32">
        <f>INDEX('Input Data'!$B:$B,A2007)/2+IF(A2007&lt;&gt;A2008,100,0)</f>
        <v>2.125</v>
      </c>
      <c r="D2007" s="33">
        <f>INDEX('ZCB Curve - Payment Dates'!$D$2:$D$246,MATCH(B2007,'ZCB Curve - Payment Dates'!$A$2:$A$246,0))</f>
        <v>0.5323673246083096</v>
      </c>
      <c r="E2007" s="32">
        <f t="shared" si="31"/>
        <v>1.1312805647926578</v>
      </c>
    </row>
    <row r="2008" spans="1:5" x14ac:dyDescent="0.25">
      <c r="A2008" s="17">
        <v>268</v>
      </c>
      <c r="B2008" s="31">
        <v>51089</v>
      </c>
      <c r="C2008" s="32">
        <f>INDEX('Input Data'!$B:$B,A2008)/2+IF(A2008&lt;&gt;A2009,100,0)</f>
        <v>2.125</v>
      </c>
      <c r="D2008" s="33">
        <f>INDEX('ZCB Curve - Payment Dates'!$D$2:$D$246,MATCH(B2008,'ZCB Curve - Payment Dates'!$A$2:$A$246,0))</f>
        <v>0.51668806431098135</v>
      </c>
      <c r="E2008" s="32">
        <f t="shared" si="31"/>
        <v>1.0979621366608354</v>
      </c>
    </row>
    <row r="2009" spans="1:5" x14ac:dyDescent="0.25">
      <c r="A2009" s="17">
        <v>268</v>
      </c>
      <c r="B2009" s="31">
        <v>51271</v>
      </c>
      <c r="C2009" s="32">
        <f>INDEX('Input Data'!$B:$B,A2009)/2+IF(A2009&lt;&gt;A2010,100,0)</f>
        <v>2.125</v>
      </c>
      <c r="D2009" s="33">
        <f>INDEX('ZCB Curve - Payment Dates'!$D$2:$D$246,MATCH(B2009,'ZCB Curve - Payment Dates'!$A$2:$A$246,0))</f>
        <v>0.50149590020417278</v>
      </c>
      <c r="E2009" s="32">
        <f t="shared" si="31"/>
        <v>1.0656787879338672</v>
      </c>
    </row>
    <row r="2010" spans="1:5" x14ac:dyDescent="0.25">
      <c r="A2010" s="17">
        <v>268</v>
      </c>
      <c r="B2010" s="31">
        <v>51455</v>
      </c>
      <c r="C2010" s="32">
        <f>INDEX('Input Data'!$B:$B,A2010)/2+IF(A2010&lt;&gt;A2011,100,0)</f>
        <v>102.125</v>
      </c>
      <c r="D2010" s="33">
        <f>INDEX('ZCB Curve - Payment Dates'!$D$2:$D$246,MATCH(B2010,'ZCB Curve - Payment Dates'!$A$2:$A$246,0))</f>
        <v>0.48647538074270091</v>
      </c>
      <c r="E2010" s="32">
        <f t="shared" si="31"/>
        <v>49.681298258348328</v>
      </c>
    </row>
    <row r="2011" spans="1:5" x14ac:dyDescent="0.25">
      <c r="A2011" s="17">
        <v>269</v>
      </c>
      <c r="B2011" s="31">
        <v>46433</v>
      </c>
      <c r="C2011" s="32">
        <f>INDEX('Input Data'!$B:$B,A2011)/2+IF(A2011&lt;&gt;A2012,100,0)</f>
        <v>0.9375</v>
      </c>
      <c r="D2011" s="33">
        <f>INDEX('ZCB Curve - Payment Dates'!$D$2:$D$246,MATCH(B2011,'ZCB Curve - Payment Dates'!$A$2:$A$246,0))</f>
        <v>0.98242671792446301</v>
      </c>
      <c r="E2011" s="32">
        <f t="shared" si="31"/>
        <v>0.92102504805418406</v>
      </c>
    </row>
    <row r="2012" spans="1:5" x14ac:dyDescent="0.25">
      <c r="A2012" s="17">
        <v>269</v>
      </c>
      <c r="B2012" s="31">
        <v>46614</v>
      </c>
      <c r="C2012" s="32">
        <f>INDEX('Input Data'!$B:$B,A2012)/2+IF(A2012&lt;&gt;A2013,100,0)</f>
        <v>0.9375</v>
      </c>
      <c r="D2012" s="33">
        <f>INDEX('ZCB Curve - Payment Dates'!$D$2:$D$246,MATCH(B2012,'ZCB Curve - Payment Dates'!$A$2:$A$246,0))</f>
        <v>0.96187948164765535</v>
      </c>
      <c r="E2012" s="32">
        <f t="shared" si="31"/>
        <v>0.90176201404467693</v>
      </c>
    </row>
    <row r="2013" spans="1:5" x14ac:dyDescent="0.25">
      <c r="A2013" s="17">
        <v>269</v>
      </c>
      <c r="B2013" s="31">
        <v>46798</v>
      </c>
      <c r="C2013" s="32">
        <f>INDEX('Input Data'!$B:$B,A2013)/2+IF(A2013&lt;&gt;A2014,100,0)</f>
        <v>0.9375</v>
      </c>
      <c r="D2013" s="33">
        <f>INDEX('ZCB Curve - Payment Dates'!$D$2:$D$246,MATCH(B2013,'ZCB Curve - Payment Dates'!$A$2:$A$246,0))</f>
        <v>0.94049096132648802</v>
      </c>
      <c r="E2013" s="32">
        <f t="shared" si="31"/>
        <v>0.88171027624358256</v>
      </c>
    </row>
    <row r="2014" spans="1:5" x14ac:dyDescent="0.25">
      <c r="A2014" s="17">
        <v>269</v>
      </c>
      <c r="B2014" s="31">
        <v>46980</v>
      </c>
      <c r="C2014" s="32">
        <f>INDEX('Input Data'!$B:$B,A2014)/2+IF(A2014&lt;&gt;A2015,100,0)</f>
        <v>0.9375</v>
      </c>
      <c r="D2014" s="33">
        <f>INDEX('ZCB Curve - Payment Dates'!$D$2:$D$246,MATCH(B2014,'ZCB Curve - Payment Dates'!$A$2:$A$246,0))</f>
        <v>0.91931844130238327</v>
      </c>
      <c r="E2014" s="32">
        <f t="shared" si="31"/>
        <v>0.8618610387209843</v>
      </c>
    </row>
    <row r="2015" spans="1:5" x14ac:dyDescent="0.25">
      <c r="A2015" s="17">
        <v>269</v>
      </c>
      <c r="B2015" s="31">
        <v>47164</v>
      </c>
      <c r="C2015" s="32">
        <f>INDEX('Input Data'!$B:$B,A2015)/2+IF(A2015&lt;&gt;A2016,100,0)</f>
        <v>0.9375</v>
      </c>
      <c r="D2015" s="33">
        <f>INDEX('ZCB Curve - Payment Dates'!$D$2:$D$246,MATCH(B2015,'ZCB Curve - Payment Dates'!$A$2:$A$246,0))</f>
        <v>0.89817430058086534</v>
      </c>
      <c r="E2015" s="32">
        <f t="shared" si="31"/>
        <v>0.84203840679456121</v>
      </c>
    </row>
    <row r="2016" spans="1:5" x14ac:dyDescent="0.25">
      <c r="A2016" s="17">
        <v>269</v>
      </c>
      <c r="B2016" s="31">
        <v>47345</v>
      </c>
      <c r="C2016" s="32">
        <f>INDEX('Input Data'!$B:$B,A2016)/2+IF(A2016&lt;&gt;A2017,100,0)</f>
        <v>0.9375</v>
      </c>
      <c r="D2016" s="33">
        <f>INDEX('ZCB Curve - Payment Dates'!$D$2:$D$246,MATCH(B2016,'ZCB Curve - Payment Dates'!$A$2:$A$246,0))</f>
        <v>0.87778421628860481</v>
      </c>
      <c r="E2016" s="32">
        <f t="shared" si="31"/>
        <v>0.82292270277056701</v>
      </c>
    </row>
    <row r="2017" spans="1:5" x14ac:dyDescent="0.25">
      <c r="A2017" s="17">
        <v>269</v>
      </c>
      <c r="B2017" s="31">
        <v>47529</v>
      </c>
      <c r="C2017" s="32">
        <f>INDEX('Input Data'!$B:$B,A2017)/2+IF(A2017&lt;&gt;A2018,100,0)</f>
        <v>0.9375</v>
      </c>
      <c r="D2017" s="33">
        <f>INDEX('ZCB Curve - Payment Dates'!$D$2:$D$246,MATCH(B2017,'ZCB Curve - Payment Dates'!$A$2:$A$246,0))</f>
        <v>0.85751015570959666</v>
      </c>
      <c r="E2017" s="32">
        <f t="shared" si="31"/>
        <v>0.80391577097774691</v>
      </c>
    </row>
    <row r="2018" spans="1:5" x14ac:dyDescent="0.25">
      <c r="A2018" s="17">
        <v>269</v>
      </c>
      <c r="B2018" s="31">
        <v>47710</v>
      </c>
      <c r="C2018" s="32">
        <f>INDEX('Input Data'!$B:$B,A2018)/2+IF(A2018&lt;&gt;A2019,100,0)</f>
        <v>0.9375</v>
      </c>
      <c r="D2018" s="33">
        <f>INDEX('ZCB Curve - Payment Dates'!$D$2:$D$246,MATCH(B2018,'ZCB Curve - Payment Dates'!$A$2:$A$246,0))</f>
        <v>0.83802423748211174</v>
      </c>
      <c r="E2018" s="32">
        <f t="shared" si="31"/>
        <v>0.7856477226394798</v>
      </c>
    </row>
    <row r="2019" spans="1:5" x14ac:dyDescent="0.25">
      <c r="A2019" s="17">
        <v>269</v>
      </c>
      <c r="B2019" s="31">
        <v>47894</v>
      </c>
      <c r="C2019" s="32">
        <f>INDEX('Input Data'!$B:$B,A2019)/2+IF(A2019&lt;&gt;A2020,100,0)</f>
        <v>0.9375</v>
      </c>
      <c r="D2019" s="33">
        <f>INDEX('ZCB Curve - Payment Dates'!$D$2:$D$246,MATCH(B2019,'ZCB Curve - Payment Dates'!$A$2:$A$246,0))</f>
        <v>0.8186305474741673</v>
      </c>
      <c r="E2019" s="32">
        <f t="shared" si="31"/>
        <v>0.7674661382570318</v>
      </c>
    </row>
    <row r="2020" spans="1:5" x14ac:dyDescent="0.25">
      <c r="A2020" s="17">
        <v>269</v>
      </c>
      <c r="B2020" s="31">
        <v>48075</v>
      </c>
      <c r="C2020" s="32">
        <f>INDEX('Input Data'!$B:$B,A2020)/2+IF(A2020&lt;&gt;A2021,100,0)</f>
        <v>0.9375</v>
      </c>
      <c r="D2020" s="33">
        <f>INDEX('ZCB Curve - Payment Dates'!$D$2:$D$246,MATCH(B2020,'ZCB Curve - Payment Dates'!$A$2:$A$246,0))</f>
        <v>0.7999252334775927</v>
      </c>
      <c r="E2020" s="32">
        <f t="shared" si="31"/>
        <v>0.74992990638524315</v>
      </c>
    </row>
    <row r="2021" spans="1:5" x14ac:dyDescent="0.25">
      <c r="A2021" s="17">
        <v>269</v>
      </c>
      <c r="B2021" s="31">
        <v>48259</v>
      </c>
      <c r="C2021" s="32">
        <f>INDEX('Input Data'!$B:$B,A2021)/2+IF(A2021&lt;&gt;A2022,100,0)</f>
        <v>0.9375</v>
      </c>
      <c r="D2021" s="33">
        <f>INDEX('ZCB Curve - Payment Dates'!$D$2:$D$246,MATCH(B2021,'ZCB Curve - Payment Dates'!$A$2:$A$246,0))</f>
        <v>0.78121887027612602</v>
      </c>
      <c r="E2021" s="32">
        <f t="shared" si="31"/>
        <v>0.73239269088386816</v>
      </c>
    </row>
    <row r="2022" spans="1:5" x14ac:dyDescent="0.25">
      <c r="A2022" s="17">
        <v>269</v>
      </c>
      <c r="B2022" s="31">
        <v>48441</v>
      </c>
      <c r="C2022" s="32">
        <f>INDEX('Input Data'!$B:$B,A2022)/2+IF(A2022&lt;&gt;A2023,100,0)</f>
        <v>0.9375</v>
      </c>
      <c r="D2022" s="33">
        <f>INDEX('ZCB Curve - Payment Dates'!$D$2:$D$246,MATCH(B2022,'ZCB Curve - Payment Dates'!$A$2:$A$246,0))</f>
        <v>0.76298123459017864</v>
      </c>
      <c r="E2022" s="32">
        <f t="shared" si="31"/>
        <v>0.71529490742829249</v>
      </c>
    </row>
    <row r="2023" spans="1:5" x14ac:dyDescent="0.25">
      <c r="A2023" s="17">
        <v>269</v>
      </c>
      <c r="B2023" s="31">
        <v>48625</v>
      </c>
      <c r="C2023" s="32">
        <f>INDEX('Input Data'!$B:$B,A2023)/2+IF(A2023&lt;&gt;A2024,100,0)</f>
        <v>0.9375</v>
      </c>
      <c r="D2023" s="33">
        <f>INDEX('ZCB Curve - Payment Dates'!$D$2:$D$246,MATCH(B2023,'ZCB Curve - Payment Dates'!$A$2:$A$246,0))</f>
        <v>0.74476011611938586</v>
      </c>
      <c r="E2023" s="32">
        <f t="shared" si="31"/>
        <v>0.69821260886192427</v>
      </c>
    </row>
    <row r="2024" spans="1:5" x14ac:dyDescent="0.25">
      <c r="A2024" s="17">
        <v>269</v>
      </c>
      <c r="B2024" s="31">
        <v>48806</v>
      </c>
      <c r="C2024" s="32">
        <f>INDEX('Input Data'!$B:$B,A2024)/2+IF(A2024&lt;&gt;A2025,100,0)</f>
        <v>0.9375</v>
      </c>
      <c r="D2024" s="33">
        <f>INDEX('ZCB Curve - Payment Dates'!$D$2:$D$246,MATCH(B2024,'ZCB Curve - Payment Dates'!$A$2:$A$246,0))</f>
        <v>0.72701302496114584</v>
      </c>
      <c r="E2024" s="32">
        <f t="shared" si="31"/>
        <v>0.68157471090107424</v>
      </c>
    </row>
    <row r="2025" spans="1:5" x14ac:dyDescent="0.25">
      <c r="A2025" s="17">
        <v>269</v>
      </c>
      <c r="B2025" s="31">
        <v>48990</v>
      </c>
      <c r="C2025" s="32">
        <f>INDEX('Input Data'!$B:$B,A2025)/2+IF(A2025&lt;&gt;A2026,100,0)</f>
        <v>0.9375</v>
      </c>
      <c r="D2025" s="33">
        <f>INDEX('ZCB Curve - Payment Dates'!$D$2:$D$246,MATCH(B2025,'ZCB Curve - Payment Dates'!$A$2:$A$246,0))</f>
        <v>0.70912647031380449</v>
      </c>
      <c r="E2025" s="32">
        <f t="shared" si="31"/>
        <v>0.66480606591919167</v>
      </c>
    </row>
    <row r="2026" spans="1:5" x14ac:dyDescent="0.25">
      <c r="A2026" s="17">
        <v>269</v>
      </c>
      <c r="B2026" s="31">
        <v>49171</v>
      </c>
      <c r="C2026" s="32">
        <f>INDEX('Input Data'!$B:$B,A2026)/2+IF(A2026&lt;&gt;A2027,100,0)</f>
        <v>0.9375</v>
      </c>
      <c r="D2026" s="33">
        <f>INDEX('ZCB Curve - Payment Dates'!$D$2:$D$246,MATCH(B2026,'ZCB Curve - Payment Dates'!$A$2:$A$246,0))</f>
        <v>0.6916661505723215</v>
      </c>
      <c r="E2026" s="32">
        <f t="shared" si="31"/>
        <v>0.64843701616155136</v>
      </c>
    </row>
    <row r="2027" spans="1:5" x14ac:dyDescent="0.25">
      <c r="A2027" s="17">
        <v>269</v>
      </c>
      <c r="B2027" s="31">
        <v>49355</v>
      </c>
      <c r="C2027" s="32">
        <f>INDEX('Input Data'!$B:$B,A2027)/2+IF(A2027&lt;&gt;A2028,100,0)</f>
        <v>0.9375</v>
      </c>
      <c r="D2027" s="33">
        <f>INDEX('ZCB Curve - Payment Dates'!$D$2:$D$246,MATCH(B2027,'ZCB Curve - Payment Dates'!$A$2:$A$246,0))</f>
        <v>0.674047377898778</v>
      </c>
      <c r="E2027" s="32">
        <f t="shared" si="31"/>
        <v>0.63191941678010433</v>
      </c>
    </row>
    <row r="2028" spans="1:5" x14ac:dyDescent="0.25">
      <c r="A2028" s="17">
        <v>269</v>
      </c>
      <c r="B2028" s="31">
        <v>49536</v>
      </c>
      <c r="C2028" s="32">
        <f>INDEX('Input Data'!$B:$B,A2028)/2+IF(A2028&lt;&gt;A2029,100,0)</f>
        <v>0.9375</v>
      </c>
      <c r="D2028" s="33">
        <f>INDEX('ZCB Curve - Payment Dates'!$D$2:$D$246,MATCH(B2028,'ZCB Curve - Payment Dates'!$A$2:$A$246,0))</f>
        <v>0.65684432300638129</v>
      </c>
      <c r="E2028" s="32">
        <f t="shared" si="31"/>
        <v>0.61579155281848241</v>
      </c>
    </row>
    <row r="2029" spans="1:5" x14ac:dyDescent="0.25">
      <c r="A2029" s="17">
        <v>269</v>
      </c>
      <c r="B2029" s="31">
        <v>49720</v>
      </c>
      <c r="C2029" s="32">
        <f>INDEX('Input Data'!$B:$B,A2029)/2+IF(A2029&lt;&gt;A2030,100,0)</f>
        <v>0.9375</v>
      </c>
      <c r="D2029" s="33">
        <f>INDEX('ZCB Curve - Payment Dates'!$D$2:$D$246,MATCH(B2029,'ZCB Curve - Payment Dates'!$A$2:$A$246,0))</f>
        <v>0.63949604524993764</v>
      </c>
      <c r="E2029" s="32">
        <f t="shared" si="31"/>
        <v>0.5995275424218165</v>
      </c>
    </row>
    <row r="2030" spans="1:5" x14ac:dyDescent="0.25">
      <c r="A2030" s="17">
        <v>269</v>
      </c>
      <c r="B2030" s="31">
        <v>49902</v>
      </c>
      <c r="C2030" s="32">
        <f>INDEX('Input Data'!$B:$B,A2030)/2+IF(A2030&lt;&gt;A2031,100,0)</f>
        <v>0.9375</v>
      </c>
      <c r="D2030" s="33">
        <f>INDEX('ZCB Curve - Payment Dates'!$D$2:$D$246,MATCH(B2030,'ZCB Curve - Payment Dates'!$A$2:$A$246,0))</f>
        <v>0.62248862376822711</v>
      </c>
      <c r="E2030" s="32">
        <f t="shared" si="31"/>
        <v>0.58358308478271292</v>
      </c>
    </row>
    <row r="2031" spans="1:5" x14ac:dyDescent="0.25">
      <c r="A2031" s="17">
        <v>269</v>
      </c>
      <c r="B2031" s="31">
        <v>50086</v>
      </c>
      <c r="C2031" s="32">
        <f>INDEX('Input Data'!$B:$B,A2031)/2+IF(A2031&lt;&gt;A2032,100,0)</f>
        <v>0.9375</v>
      </c>
      <c r="D2031" s="33">
        <f>INDEX('ZCB Curve - Payment Dates'!$D$2:$D$246,MATCH(B2031,'ZCB Curve - Payment Dates'!$A$2:$A$246,0))</f>
        <v>0.60546490876014969</v>
      </c>
      <c r="E2031" s="32">
        <f t="shared" si="31"/>
        <v>0.56762335196264035</v>
      </c>
    </row>
    <row r="2032" spans="1:5" x14ac:dyDescent="0.25">
      <c r="A2032" s="17">
        <v>269</v>
      </c>
      <c r="B2032" s="31">
        <v>50267</v>
      </c>
      <c r="C2032" s="32">
        <f>INDEX('Input Data'!$B:$B,A2032)/2+IF(A2032&lt;&gt;A2033,100,0)</f>
        <v>0.9375</v>
      </c>
      <c r="D2032" s="33">
        <f>INDEX('ZCB Curve - Payment Dates'!$D$2:$D$246,MATCH(B2032,'ZCB Curve - Payment Dates'!$A$2:$A$246,0))</f>
        <v>0.58890683803346977</v>
      </c>
      <c r="E2032" s="32">
        <f t="shared" si="31"/>
        <v>0.5521001606563779</v>
      </c>
    </row>
    <row r="2033" spans="1:5" x14ac:dyDescent="0.25">
      <c r="A2033" s="17">
        <v>269</v>
      </c>
      <c r="B2033" s="31">
        <v>50451</v>
      </c>
      <c r="C2033" s="32">
        <f>INDEX('Input Data'!$B:$B,A2033)/2+IF(A2033&lt;&gt;A2034,100,0)</f>
        <v>0.9375</v>
      </c>
      <c r="D2033" s="33">
        <f>INDEX('ZCB Curve - Payment Dates'!$D$2:$D$246,MATCH(B2033,'ZCB Curve - Payment Dates'!$A$2:$A$246,0))</f>
        <v>0.57228983695479263</v>
      </c>
      <c r="E2033" s="32">
        <f t="shared" si="31"/>
        <v>0.53652172214511806</v>
      </c>
    </row>
    <row r="2034" spans="1:5" x14ac:dyDescent="0.25">
      <c r="A2034" s="17">
        <v>269</v>
      </c>
      <c r="B2034" s="31">
        <v>50632</v>
      </c>
      <c r="C2034" s="32">
        <f>INDEX('Input Data'!$B:$B,A2034)/2+IF(A2034&lt;&gt;A2035,100,0)</f>
        <v>0.9375</v>
      </c>
      <c r="D2034" s="33">
        <f>INDEX('ZCB Curve - Payment Dates'!$D$2:$D$246,MATCH(B2034,'ZCB Curve - Payment Dates'!$A$2:$A$246,0))</f>
        <v>0.55617795699202288</v>
      </c>
      <c r="E2034" s="32">
        <f t="shared" si="31"/>
        <v>0.52141683468002142</v>
      </c>
    </row>
    <row r="2035" spans="1:5" x14ac:dyDescent="0.25">
      <c r="A2035" s="17">
        <v>269</v>
      </c>
      <c r="B2035" s="31">
        <v>50816</v>
      </c>
      <c r="C2035" s="32">
        <f>INDEX('Input Data'!$B:$B,A2035)/2+IF(A2035&lt;&gt;A2036,100,0)</f>
        <v>0.9375</v>
      </c>
      <c r="D2035" s="33">
        <f>INDEX('ZCB Curve - Payment Dates'!$D$2:$D$246,MATCH(B2035,'ZCB Curve - Payment Dates'!$A$2:$A$246,0))</f>
        <v>0.54006240951211237</v>
      </c>
      <c r="E2035" s="32">
        <f t="shared" si="31"/>
        <v>0.50630850891760537</v>
      </c>
    </row>
    <row r="2036" spans="1:5" x14ac:dyDescent="0.25">
      <c r="A2036" s="17">
        <v>269</v>
      </c>
      <c r="B2036" s="31">
        <v>50997</v>
      </c>
      <c r="C2036" s="32">
        <f>INDEX('Input Data'!$B:$B,A2036)/2+IF(A2036&lt;&gt;A2037,100,0)</f>
        <v>0.9375</v>
      </c>
      <c r="D2036" s="33">
        <f>INDEX('ZCB Curve - Payment Dates'!$D$2:$D$246,MATCH(B2036,'ZCB Curve - Payment Dates'!$A$2:$A$246,0))</f>
        <v>0.52449040173194583</v>
      </c>
      <c r="E2036" s="32">
        <f t="shared" si="31"/>
        <v>0.49170975162369923</v>
      </c>
    </row>
    <row r="2037" spans="1:5" x14ac:dyDescent="0.25">
      <c r="A2037" s="17">
        <v>269</v>
      </c>
      <c r="B2037" s="31">
        <v>51181</v>
      </c>
      <c r="C2037" s="32">
        <f>INDEX('Input Data'!$B:$B,A2037)/2+IF(A2037&lt;&gt;A2038,100,0)</f>
        <v>0.9375</v>
      </c>
      <c r="D2037" s="33">
        <f>INDEX('ZCB Curve - Payment Dates'!$D$2:$D$246,MATCH(B2037,'ZCB Curve - Payment Dates'!$A$2:$A$246,0))</f>
        <v>0.5089691698468306</v>
      </c>
      <c r="E2037" s="32">
        <f t="shared" si="31"/>
        <v>0.47715859673140371</v>
      </c>
    </row>
    <row r="2038" spans="1:5" x14ac:dyDescent="0.25">
      <c r="A2038" s="17">
        <v>269</v>
      </c>
      <c r="B2038" s="31">
        <v>51363</v>
      </c>
      <c r="C2038" s="32">
        <f>INDEX('Input Data'!$B:$B,A2038)/2+IF(A2038&lt;&gt;A2039,100,0)</f>
        <v>0.9375</v>
      </c>
      <c r="D2038" s="33">
        <f>INDEX('ZCB Curve - Payment Dates'!$D$2:$D$246,MATCH(B2038,'ZCB Curve - Payment Dates'!$A$2:$A$246,0))</f>
        <v>0.49394036022330806</v>
      </c>
      <c r="E2038" s="32">
        <f t="shared" si="31"/>
        <v>0.46306908770935129</v>
      </c>
    </row>
    <row r="2039" spans="1:5" x14ac:dyDescent="0.25">
      <c r="A2039" s="17">
        <v>269</v>
      </c>
      <c r="B2039" s="31">
        <v>51547</v>
      </c>
      <c r="C2039" s="32">
        <f>INDEX('Input Data'!$B:$B,A2039)/2+IF(A2039&lt;&gt;A2040,100,0)</f>
        <v>100.9375</v>
      </c>
      <c r="D2039" s="33">
        <f>INDEX('ZCB Curve - Payment Dates'!$D$2:$D$246,MATCH(B2039,'ZCB Curve - Payment Dates'!$A$2:$A$246,0))</f>
        <v>0.47909718957588998</v>
      </c>
      <c r="E2039" s="32">
        <f t="shared" si="31"/>
        <v>48.358872572816395</v>
      </c>
    </row>
    <row r="2040" spans="1:5" x14ac:dyDescent="0.25">
      <c r="A2040" s="17">
        <v>270</v>
      </c>
      <c r="B2040" s="31">
        <v>46433</v>
      </c>
      <c r="C2040" s="32">
        <f>INDEX('Input Data'!$B:$B,A2040)/2+IF(A2040&lt;&gt;A2041,100,0)</f>
        <v>2.375</v>
      </c>
      <c r="D2040" s="33">
        <f>INDEX('ZCB Curve - Payment Dates'!$D$2:$D$246,MATCH(B2040,'ZCB Curve - Payment Dates'!$A$2:$A$246,0))</f>
        <v>0.98242671792446301</v>
      </c>
      <c r="E2040" s="32">
        <f t="shared" si="31"/>
        <v>2.3332634550705995</v>
      </c>
    </row>
    <row r="2041" spans="1:5" x14ac:dyDescent="0.25">
      <c r="A2041" s="17">
        <v>270</v>
      </c>
      <c r="B2041" s="31">
        <v>46614</v>
      </c>
      <c r="C2041" s="32">
        <f>INDEX('Input Data'!$B:$B,A2041)/2+IF(A2041&lt;&gt;A2042,100,0)</f>
        <v>2.375</v>
      </c>
      <c r="D2041" s="33">
        <f>INDEX('ZCB Curve - Payment Dates'!$D$2:$D$246,MATCH(B2041,'ZCB Curve - Payment Dates'!$A$2:$A$246,0))</f>
        <v>0.96187948164765535</v>
      </c>
      <c r="E2041" s="32">
        <f t="shared" si="31"/>
        <v>2.2844637689131813</v>
      </c>
    </row>
    <row r="2042" spans="1:5" x14ac:dyDescent="0.25">
      <c r="A2042" s="17">
        <v>270</v>
      </c>
      <c r="B2042" s="31">
        <v>46798</v>
      </c>
      <c r="C2042" s="32">
        <f>INDEX('Input Data'!$B:$B,A2042)/2+IF(A2042&lt;&gt;A2043,100,0)</f>
        <v>2.375</v>
      </c>
      <c r="D2042" s="33">
        <f>INDEX('ZCB Curve - Payment Dates'!$D$2:$D$246,MATCH(B2042,'ZCB Curve - Payment Dates'!$A$2:$A$246,0))</f>
        <v>0.94049096132648802</v>
      </c>
      <c r="E2042" s="32">
        <f t="shared" si="31"/>
        <v>2.233666033150409</v>
      </c>
    </row>
    <row r="2043" spans="1:5" x14ac:dyDescent="0.25">
      <c r="A2043" s="17">
        <v>270</v>
      </c>
      <c r="B2043" s="31">
        <v>46980</v>
      </c>
      <c r="C2043" s="32">
        <f>INDEX('Input Data'!$B:$B,A2043)/2+IF(A2043&lt;&gt;A2044,100,0)</f>
        <v>2.375</v>
      </c>
      <c r="D2043" s="33">
        <f>INDEX('ZCB Curve - Payment Dates'!$D$2:$D$246,MATCH(B2043,'ZCB Curve - Payment Dates'!$A$2:$A$246,0))</f>
        <v>0.91931844130238327</v>
      </c>
      <c r="E2043" s="32">
        <f t="shared" si="31"/>
        <v>2.1833812980931602</v>
      </c>
    </row>
    <row r="2044" spans="1:5" x14ac:dyDescent="0.25">
      <c r="A2044" s="17">
        <v>270</v>
      </c>
      <c r="B2044" s="31">
        <v>47164</v>
      </c>
      <c r="C2044" s="32">
        <f>INDEX('Input Data'!$B:$B,A2044)/2+IF(A2044&lt;&gt;A2045,100,0)</f>
        <v>2.375</v>
      </c>
      <c r="D2044" s="33">
        <f>INDEX('ZCB Curve - Payment Dates'!$D$2:$D$246,MATCH(B2044,'ZCB Curve - Payment Dates'!$A$2:$A$246,0))</f>
        <v>0.89817430058086534</v>
      </c>
      <c r="E2044" s="32">
        <f t="shared" si="31"/>
        <v>2.133163963879555</v>
      </c>
    </row>
    <row r="2045" spans="1:5" x14ac:dyDescent="0.25">
      <c r="A2045" s="17">
        <v>270</v>
      </c>
      <c r="B2045" s="31">
        <v>47345</v>
      </c>
      <c r="C2045" s="32">
        <f>INDEX('Input Data'!$B:$B,A2045)/2+IF(A2045&lt;&gt;A2046,100,0)</f>
        <v>2.375</v>
      </c>
      <c r="D2045" s="33">
        <f>INDEX('ZCB Curve - Payment Dates'!$D$2:$D$246,MATCH(B2045,'ZCB Curve - Payment Dates'!$A$2:$A$246,0))</f>
        <v>0.87778421628860481</v>
      </c>
      <c r="E2045" s="32">
        <f t="shared" si="31"/>
        <v>2.0847375136854365</v>
      </c>
    </row>
    <row r="2046" spans="1:5" x14ac:dyDescent="0.25">
      <c r="A2046" s="17">
        <v>270</v>
      </c>
      <c r="B2046" s="31">
        <v>47529</v>
      </c>
      <c r="C2046" s="32">
        <f>INDEX('Input Data'!$B:$B,A2046)/2+IF(A2046&lt;&gt;A2047,100,0)</f>
        <v>2.375</v>
      </c>
      <c r="D2046" s="33">
        <f>INDEX('ZCB Curve - Payment Dates'!$D$2:$D$246,MATCH(B2046,'ZCB Curve - Payment Dates'!$A$2:$A$246,0))</f>
        <v>0.85751015570959666</v>
      </c>
      <c r="E2046" s="32">
        <f t="shared" si="31"/>
        <v>2.0365866198102922</v>
      </c>
    </row>
    <row r="2047" spans="1:5" x14ac:dyDescent="0.25">
      <c r="A2047" s="17">
        <v>270</v>
      </c>
      <c r="B2047" s="31">
        <v>47710</v>
      </c>
      <c r="C2047" s="32">
        <f>INDEX('Input Data'!$B:$B,A2047)/2+IF(A2047&lt;&gt;A2048,100,0)</f>
        <v>2.375</v>
      </c>
      <c r="D2047" s="33">
        <f>INDEX('ZCB Curve - Payment Dates'!$D$2:$D$246,MATCH(B2047,'ZCB Curve - Payment Dates'!$A$2:$A$246,0))</f>
        <v>0.83802423748211174</v>
      </c>
      <c r="E2047" s="32">
        <f t="shared" si="31"/>
        <v>1.9903075640200154</v>
      </c>
    </row>
    <row r="2048" spans="1:5" x14ac:dyDescent="0.25">
      <c r="A2048" s="17">
        <v>270</v>
      </c>
      <c r="B2048" s="31">
        <v>47894</v>
      </c>
      <c r="C2048" s="32">
        <f>INDEX('Input Data'!$B:$B,A2048)/2+IF(A2048&lt;&gt;A2049,100,0)</f>
        <v>2.375</v>
      </c>
      <c r="D2048" s="33">
        <f>INDEX('ZCB Curve - Payment Dates'!$D$2:$D$246,MATCH(B2048,'ZCB Curve - Payment Dates'!$A$2:$A$246,0))</f>
        <v>0.8186305474741673</v>
      </c>
      <c r="E2048" s="32">
        <f t="shared" si="31"/>
        <v>1.9442475502511474</v>
      </c>
    </row>
    <row r="2049" spans="1:5" x14ac:dyDescent="0.25">
      <c r="A2049" s="17">
        <v>270</v>
      </c>
      <c r="B2049" s="31">
        <v>48075</v>
      </c>
      <c r="C2049" s="32">
        <f>INDEX('Input Data'!$B:$B,A2049)/2+IF(A2049&lt;&gt;A2050,100,0)</f>
        <v>2.375</v>
      </c>
      <c r="D2049" s="33">
        <f>INDEX('ZCB Curve - Payment Dates'!$D$2:$D$246,MATCH(B2049,'ZCB Curve - Payment Dates'!$A$2:$A$246,0))</f>
        <v>0.7999252334775927</v>
      </c>
      <c r="E2049" s="32">
        <f t="shared" si="31"/>
        <v>1.8998224295092827</v>
      </c>
    </row>
    <row r="2050" spans="1:5" x14ac:dyDescent="0.25">
      <c r="A2050" s="17">
        <v>270</v>
      </c>
      <c r="B2050" s="31">
        <v>48259</v>
      </c>
      <c r="C2050" s="32">
        <f>INDEX('Input Data'!$B:$B,A2050)/2+IF(A2050&lt;&gt;A2051,100,0)</f>
        <v>2.375</v>
      </c>
      <c r="D2050" s="33">
        <f>INDEX('ZCB Curve - Payment Dates'!$D$2:$D$246,MATCH(B2050,'ZCB Curve - Payment Dates'!$A$2:$A$246,0))</f>
        <v>0.78121887027612602</v>
      </c>
      <c r="E2050" s="32">
        <f t="shared" ref="E2050:E2113" si="32">C2050*D2050</f>
        <v>1.8553948169057992</v>
      </c>
    </row>
    <row r="2051" spans="1:5" x14ac:dyDescent="0.25">
      <c r="A2051" s="17">
        <v>270</v>
      </c>
      <c r="B2051" s="31">
        <v>48441</v>
      </c>
      <c r="C2051" s="32">
        <f>INDEX('Input Data'!$B:$B,A2051)/2+IF(A2051&lt;&gt;A2052,100,0)</f>
        <v>2.375</v>
      </c>
      <c r="D2051" s="33">
        <f>INDEX('ZCB Curve - Payment Dates'!$D$2:$D$246,MATCH(B2051,'ZCB Curve - Payment Dates'!$A$2:$A$246,0))</f>
        <v>0.76298123459017864</v>
      </c>
      <c r="E2051" s="32">
        <f t="shared" si="32"/>
        <v>1.8120804321516744</v>
      </c>
    </row>
    <row r="2052" spans="1:5" x14ac:dyDescent="0.25">
      <c r="A2052" s="17">
        <v>270</v>
      </c>
      <c r="B2052" s="31">
        <v>48625</v>
      </c>
      <c r="C2052" s="32">
        <f>INDEX('Input Data'!$B:$B,A2052)/2+IF(A2052&lt;&gt;A2053,100,0)</f>
        <v>2.375</v>
      </c>
      <c r="D2052" s="33">
        <f>INDEX('ZCB Curve - Payment Dates'!$D$2:$D$246,MATCH(B2052,'ZCB Curve - Payment Dates'!$A$2:$A$246,0))</f>
        <v>0.74476011611938586</v>
      </c>
      <c r="E2052" s="32">
        <f t="shared" si="32"/>
        <v>1.7688052757835415</v>
      </c>
    </row>
    <row r="2053" spans="1:5" x14ac:dyDescent="0.25">
      <c r="A2053" s="17">
        <v>270</v>
      </c>
      <c r="B2053" s="31">
        <v>48806</v>
      </c>
      <c r="C2053" s="32">
        <f>INDEX('Input Data'!$B:$B,A2053)/2+IF(A2053&lt;&gt;A2054,100,0)</f>
        <v>2.375</v>
      </c>
      <c r="D2053" s="33">
        <f>INDEX('ZCB Curve - Payment Dates'!$D$2:$D$246,MATCH(B2053,'ZCB Curve - Payment Dates'!$A$2:$A$246,0))</f>
        <v>0.72701302496114584</v>
      </c>
      <c r="E2053" s="32">
        <f t="shared" si="32"/>
        <v>1.7266559342827215</v>
      </c>
    </row>
    <row r="2054" spans="1:5" x14ac:dyDescent="0.25">
      <c r="A2054" s="17">
        <v>270</v>
      </c>
      <c r="B2054" s="31">
        <v>48990</v>
      </c>
      <c r="C2054" s="32">
        <f>INDEX('Input Data'!$B:$B,A2054)/2+IF(A2054&lt;&gt;A2055,100,0)</f>
        <v>2.375</v>
      </c>
      <c r="D2054" s="33">
        <f>INDEX('ZCB Curve - Payment Dates'!$D$2:$D$246,MATCH(B2054,'ZCB Curve - Payment Dates'!$A$2:$A$246,0))</f>
        <v>0.70912647031380449</v>
      </c>
      <c r="E2054" s="32">
        <f t="shared" si="32"/>
        <v>1.6841753669952857</v>
      </c>
    </row>
    <row r="2055" spans="1:5" x14ac:dyDescent="0.25">
      <c r="A2055" s="17">
        <v>270</v>
      </c>
      <c r="B2055" s="31">
        <v>49171</v>
      </c>
      <c r="C2055" s="32">
        <f>INDEX('Input Data'!$B:$B,A2055)/2+IF(A2055&lt;&gt;A2056,100,0)</f>
        <v>2.375</v>
      </c>
      <c r="D2055" s="33">
        <f>INDEX('ZCB Curve - Payment Dates'!$D$2:$D$246,MATCH(B2055,'ZCB Curve - Payment Dates'!$A$2:$A$246,0))</f>
        <v>0.6916661505723215</v>
      </c>
      <c r="E2055" s="32">
        <f t="shared" si="32"/>
        <v>1.6427071076092636</v>
      </c>
    </row>
    <row r="2056" spans="1:5" x14ac:dyDescent="0.25">
      <c r="A2056" s="17">
        <v>270</v>
      </c>
      <c r="B2056" s="31">
        <v>49355</v>
      </c>
      <c r="C2056" s="32">
        <f>INDEX('Input Data'!$B:$B,A2056)/2+IF(A2056&lt;&gt;A2057,100,0)</f>
        <v>2.375</v>
      </c>
      <c r="D2056" s="33">
        <f>INDEX('ZCB Curve - Payment Dates'!$D$2:$D$246,MATCH(B2056,'ZCB Curve - Payment Dates'!$A$2:$A$246,0))</f>
        <v>0.674047377898778</v>
      </c>
      <c r="E2056" s="32">
        <f t="shared" si="32"/>
        <v>1.6008625225095978</v>
      </c>
    </row>
    <row r="2057" spans="1:5" x14ac:dyDescent="0.25">
      <c r="A2057" s="17">
        <v>270</v>
      </c>
      <c r="B2057" s="31">
        <v>49536</v>
      </c>
      <c r="C2057" s="32">
        <f>INDEX('Input Data'!$B:$B,A2057)/2+IF(A2057&lt;&gt;A2058,100,0)</f>
        <v>2.375</v>
      </c>
      <c r="D2057" s="33">
        <f>INDEX('ZCB Curve - Payment Dates'!$D$2:$D$246,MATCH(B2057,'ZCB Curve - Payment Dates'!$A$2:$A$246,0))</f>
        <v>0.65684432300638129</v>
      </c>
      <c r="E2057" s="32">
        <f t="shared" si="32"/>
        <v>1.5600052671401556</v>
      </c>
    </row>
    <row r="2058" spans="1:5" x14ac:dyDescent="0.25">
      <c r="A2058" s="17">
        <v>270</v>
      </c>
      <c r="B2058" s="31">
        <v>49720</v>
      </c>
      <c r="C2058" s="32">
        <f>INDEX('Input Data'!$B:$B,A2058)/2+IF(A2058&lt;&gt;A2059,100,0)</f>
        <v>2.375</v>
      </c>
      <c r="D2058" s="33">
        <f>INDEX('ZCB Curve - Payment Dates'!$D$2:$D$246,MATCH(B2058,'ZCB Curve - Payment Dates'!$A$2:$A$246,0))</f>
        <v>0.63949604524993764</v>
      </c>
      <c r="E2058" s="32">
        <f t="shared" si="32"/>
        <v>1.5188031074686019</v>
      </c>
    </row>
    <row r="2059" spans="1:5" x14ac:dyDescent="0.25">
      <c r="A2059" s="17">
        <v>270</v>
      </c>
      <c r="B2059" s="31">
        <v>49902</v>
      </c>
      <c r="C2059" s="32">
        <f>INDEX('Input Data'!$B:$B,A2059)/2+IF(A2059&lt;&gt;A2060,100,0)</f>
        <v>2.375</v>
      </c>
      <c r="D2059" s="33">
        <f>INDEX('ZCB Curve - Payment Dates'!$D$2:$D$246,MATCH(B2059,'ZCB Curve - Payment Dates'!$A$2:$A$246,0))</f>
        <v>0.62248862376822711</v>
      </c>
      <c r="E2059" s="32">
        <f t="shared" si="32"/>
        <v>1.4784104814495393</v>
      </c>
    </row>
    <row r="2060" spans="1:5" x14ac:dyDescent="0.25">
      <c r="A2060" s="17">
        <v>270</v>
      </c>
      <c r="B2060" s="31">
        <v>50086</v>
      </c>
      <c r="C2060" s="32">
        <f>INDEX('Input Data'!$B:$B,A2060)/2+IF(A2060&lt;&gt;A2061,100,0)</f>
        <v>2.375</v>
      </c>
      <c r="D2060" s="33">
        <f>INDEX('ZCB Curve - Payment Dates'!$D$2:$D$246,MATCH(B2060,'ZCB Curve - Payment Dates'!$A$2:$A$246,0))</f>
        <v>0.60546490876014969</v>
      </c>
      <c r="E2060" s="32">
        <f t="shared" si="32"/>
        <v>1.4379791583053556</v>
      </c>
    </row>
    <row r="2061" spans="1:5" x14ac:dyDescent="0.25">
      <c r="A2061" s="17">
        <v>270</v>
      </c>
      <c r="B2061" s="31">
        <v>50267</v>
      </c>
      <c r="C2061" s="32">
        <f>INDEX('Input Data'!$B:$B,A2061)/2+IF(A2061&lt;&gt;A2062,100,0)</f>
        <v>2.375</v>
      </c>
      <c r="D2061" s="33">
        <f>INDEX('ZCB Curve - Payment Dates'!$D$2:$D$246,MATCH(B2061,'ZCB Curve - Payment Dates'!$A$2:$A$246,0))</f>
        <v>0.58890683803346977</v>
      </c>
      <c r="E2061" s="32">
        <f t="shared" si="32"/>
        <v>1.3986537403294907</v>
      </c>
    </row>
    <row r="2062" spans="1:5" x14ac:dyDescent="0.25">
      <c r="A2062" s="17">
        <v>270</v>
      </c>
      <c r="B2062" s="31">
        <v>50451</v>
      </c>
      <c r="C2062" s="32">
        <f>INDEX('Input Data'!$B:$B,A2062)/2+IF(A2062&lt;&gt;A2063,100,0)</f>
        <v>2.375</v>
      </c>
      <c r="D2062" s="33">
        <f>INDEX('ZCB Curve - Payment Dates'!$D$2:$D$246,MATCH(B2062,'ZCB Curve - Payment Dates'!$A$2:$A$246,0))</f>
        <v>0.57228983695479263</v>
      </c>
      <c r="E2062" s="32">
        <f t="shared" si="32"/>
        <v>1.3591883627676324</v>
      </c>
    </row>
    <row r="2063" spans="1:5" x14ac:dyDescent="0.25">
      <c r="A2063" s="17">
        <v>270</v>
      </c>
      <c r="B2063" s="31">
        <v>50632</v>
      </c>
      <c r="C2063" s="32">
        <f>INDEX('Input Data'!$B:$B,A2063)/2+IF(A2063&lt;&gt;A2064,100,0)</f>
        <v>2.375</v>
      </c>
      <c r="D2063" s="33">
        <f>INDEX('ZCB Curve - Payment Dates'!$D$2:$D$246,MATCH(B2063,'ZCB Curve - Payment Dates'!$A$2:$A$246,0))</f>
        <v>0.55617795699202288</v>
      </c>
      <c r="E2063" s="32">
        <f t="shared" si="32"/>
        <v>1.3209226478560543</v>
      </c>
    </row>
    <row r="2064" spans="1:5" x14ac:dyDescent="0.25">
      <c r="A2064" s="17">
        <v>270</v>
      </c>
      <c r="B2064" s="31">
        <v>50816</v>
      </c>
      <c r="C2064" s="32">
        <f>INDEX('Input Data'!$B:$B,A2064)/2+IF(A2064&lt;&gt;A2065,100,0)</f>
        <v>2.375</v>
      </c>
      <c r="D2064" s="33">
        <f>INDEX('ZCB Curve - Payment Dates'!$D$2:$D$246,MATCH(B2064,'ZCB Curve - Payment Dates'!$A$2:$A$246,0))</f>
        <v>0.54006240951211237</v>
      </c>
      <c r="E2064" s="32">
        <f t="shared" si="32"/>
        <v>1.282648222591267</v>
      </c>
    </row>
    <row r="2065" spans="1:5" x14ac:dyDescent="0.25">
      <c r="A2065" s="17">
        <v>270</v>
      </c>
      <c r="B2065" s="31">
        <v>50997</v>
      </c>
      <c r="C2065" s="32">
        <f>INDEX('Input Data'!$B:$B,A2065)/2+IF(A2065&lt;&gt;A2066,100,0)</f>
        <v>2.375</v>
      </c>
      <c r="D2065" s="33">
        <f>INDEX('ZCB Curve - Payment Dates'!$D$2:$D$246,MATCH(B2065,'ZCB Curve - Payment Dates'!$A$2:$A$246,0))</f>
        <v>0.52449040173194583</v>
      </c>
      <c r="E2065" s="32">
        <f t="shared" si="32"/>
        <v>1.2456647041133713</v>
      </c>
    </row>
    <row r="2066" spans="1:5" x14ac:dyDescent="0.25">
      <c r="A2066" s="17">
        <v>270</v>
      </c>
      <c r="B2066" s="31">
        <v>51181</v>
      </c>
      <c r="C2066" s="32">
        <f>INDEX('Input Data'!$B:$B,A2066)/2+IF(A2066&lt;&gt;A2067,100,0)</f>
        <v>2.375</v>
      </c>
      <c r="D2066" s="33">
        <f>INDEX('ZCB Curve - Payment Dates'!$D$2:$D$246,MATCH(B2066,'ZCB Curve - Payment Dates'!$A$2:$A$246,0))</f>
        <v>0.5089691698468306</v>
      </c>
      <c r="E2066" s="32">
        <f t="shared" si="32"/>
        <v>1.2088017783862226</v>
      </c>
    </row>
    <row r="2067" spans="1:5" x14ac:dyDescent="0.25">
      <c r="A2067" s="17">
        <v>270</v>
      </c>
      <c r="B2067" s="31">
        <v>51363</v>
      </c>
      <c r="C2067" s="32">
        <f>INDEX('Input Data'!$B:$B,A2067)/2+IF(A2067&lt;&gt;A2068,100,0)</f>
        <v>2.375</v>
      </c>
      <c r="D2067" s="33">
        <f>INDEX('ZCB Curve - Payment Dates'!$D$2:$D$246,MATCH(B2067,'ZCB Curve - Payment Dates'!$A$2:$A$246,0))</f>
        <v>0.49394036022330806</v>
      </c>
      <c r="E2067" s="32">
        <f t="shared" si="32"/>
        <v>1.1731083555303568</v>
      </c>
    </row>
    <row r="2068" spans="1:5" x14ac:dyDescent="0.25">
      <c r="A2068" s="17">
        <v>270</v>
      </c>
      <c r="B2068" s="31">
        <v>51547</v>
      </c>
      <c r="C2068" s="32">
        <f>INDEX('Input Data'!$B:$B,A2068)/2+IF(A2068&lt;&gt;A2069,100,0)</f>
        <v>102.375</v>
      </c>
      <c r="D2068" s="33">
        <f>INDEX('ZCB Curve - Payment Dates'!$D$2:$D$246,MATCH(B2068,'ZCB Curve - Payment Dates'!$A$2:$A$246,0))</f>
        <v>0.47909718957588998</v>
      </c>
      <c r="E2068" s="32">
        <f t="shared" si="32"/>
        <v>49.047574782831738</v>
      </c>
    </row>
    <row r="2069" spans="1:5" x14ac:dyDescent="0.25">
      <c r="A2069" s="17">
        <v>271</v>
      </c>
      <c r="B2069" s="31">
        <v>46341</v>
      </c>
      <c r="C2069" s="32">
        <f>INDEX('Input Data'!$B:$B,A2069)/2+IF(A2069&lt;&gt;A2070,100,0)</f>
        <v>1.125</v>
      </c>
      <c r="D2069" s="33">
        <f>INDEX('ZCB Curve - Payment Dates'!$D$2:$D$246,MATCH(B2069,'ZCB Curve - Payment Dates'!$A$2:$A$246,0))</f>
        <v>0.99245367292309439</v>
      </c>
      <c r="E2069" s="32">
        <f t="shared" si="32"/>
        <v>1.1165103820384812</v>
      </c>
    </row>
    <row r="2070" spans="1:5" x14ac:dyDescent="0.25">
      <c r="A2070" s="17">
        <v>271</v>
      </c>
      <c r="B2070" s="31">
        <v>46522</v>
      </c>
      <c r="C2070" s="32">
        <f>INDEX('Input Data'!$B:$B,A2070)/2+IF(A2070&lt;&gt;A2071,100,0)</f>
        <v>1.125</v>
      </c>
      <c r="D2070" s="33">
        <f>INDEX('ZCB Curve - Payment Dates'!$D$2:$D$246,MATCH(B2070,'ZCB Curve - Payment Dates'!$A$2:$A$246,0))</f>
        <v>0.97242179559611874</v>
      </c>
      <c r="E2070" s="32">
        <f t="shared" si="32"/>
        <v>1.0939745200456337</v>
      </c>
    </row>
    <row r="2071" spans="1:5" x14ac:dyDescent="0.25">
      <c r="A2071" s="17">
        <v>271</v>
      </c>
      <c r="B2071" s="31">
        <v>46706</v>
      </c>
      <c r="C2071" s="32">
        <f>INDEX('Input Data'!$B:$B,A2071)/2+IF(A2071&lt;&gt;A2072,100,0)</f>
        <v>1.125</v>
      </c>
      <c r="D2071" s="33">
        <f>INDEX('ZCB Curve - Payment Dates'!$D$2:$D$246,MATCH(B2071,'ZCB Curve - Payment Dates'!$A$2:$A$246,0))</f>
        <v>0.95121018311627348</v>
      </c>
      <c r="E2071" s="32">
        <f t="shared" si="32"/>
        <v>1.0701114560058076</v>
      </c>
    </row>
    <row r="2072" spans="1:5" x14ac:dyDescent="0.25">
      <c r="A2072" s="17">
        <v>271</v>
      </c>
      <c r="B2072" s="31">
        <v>46888</v>
      </c>
      <c r="C2072" s="32">
        <f>INDEX('Input Data'!$B:$B,A2072)/2+IF(A2072&lt;&gt;A2073,100,0)</f>
        <v>1.125</v>
      </c>
      <c r="D2072" s="33">
        <f>INDEX('ZCB Curve - Payment Dates'!$D$2:$D$246,MATCH(B2072,'ZCB Curve - Payment Dates'!$A$2:$A$246,0))</f>
        <v>0.93000025435083566</v>
      </c>
      <c r="E2072" s="32">
        <f t="shared" si="32"/>
        <v>1.0462502861446901</v>
      </c>
    </row>
    <row r="2073" spans="1:5" x14ac:dyDescent="0.25">
      <c r="A2073" s="17">
        <v>271</v>
      </c>
      <c r="B2073" s="31">
        <v>47072</v>
      </c>
      <c r="C2073" s="32">
        <f>INDEX('Input Data'!$B:$B,A2073)/2+IF(A2073&lt;&gt;A2074,100,0)</f>
        <v>1.125</v>
      </c>
      <c r="D2073" s="33">
        <f>INDEX('ZCB Curve - Payment Dates'!$D$2:$D$246,MATCH(B2073,'ZCB Curve - Payment Dates'!$A$2:$A$246,0))</f>
        <v>0.90870125167038918</v>
      </c>
      <c r="E2073" s="32">
        <f t="shared" si="32"/>
        <v>1.0222889081291879</v>
      </c>
    </row>
    <row r="2074" spans="1:5" x14ac:dyDescent="0.25">
      <c r="A2074" s="17">
        <v>271</v>
      </c>
      <c r="B2074" s="31">
        <v>47253</v>
      </c>
      <c r="C2074" s="32">
        <f>INDEX('Input Data'!$B:$B,A2074)/2+IF(A2074&lt;&gt;A2075,100,0)</f>
        <v>1.125</v>
      </c>
      <c r="D2074" s="33">
        <f>INDEX('ZCB Curve - Payment Dates'!$D$2:$D$246,MATCH(B2074,'ZCB Curve - Payment Dates'!$A$2:$A$246,0))</f>
        <v>0.88809325063638844</v>
      </c>
      <c r="E2074" s="32">
        <f t="shared" si="32"/>
        <v>0.99910490696593701</v>
      </c>
    </row>
    <row r="2075" spans="1:5" x14ac:dyDescent="0.25">
      <c r="A2075" s="17">
        <v>271</v>
      </c>
      <c r="B2075" s="31">
        <v>47437</v>
      </c>
      <c r="C2075" s="32">
        <f>INDEX('Input Data'!$B:$B,A2075)/2+IF(A2075&lt;&gt;A2076,100,0)</f>
        <v>1.125</v>
      </c>
      <c r="D2075" s="33">
        <f>INDEX('ZCB Curve - Payment Dates'!$D$2:$D$246,MATCH(B2075,'ZCB Curve - Payment Dates'!$A$2:$A$246,0))</f>
        <v>0.86758824089536279</v>
      </c>
      <c r="E2075" s="32">
        <f t="shared" si="32"/>
        <v>0.97603677100728314</v>
      </c>
    </row>
    <row r="2076" spans="1:5" x14ac:dyDescent="0.25">
      <c r="A2076" s="17">
        <v>271</v>
      </c>
      <c r="B2076" s="31">
        <v>47618</v>
      </c>
      <c r="C2076" s="32">
        <f>INDEX('Input Data'!$B:$B,A2076)/2+IF(A2076&lt;&gt;A2077,100,0)</f>
        <v>1.125</v>
      </c>
      <c r="D2076" s="33">
        <f>INDEX('ZCB Curve - Payment Dates'!$D$2:$D$246,MATCH(B2076,'ZCB Curve - Payment Dates'!$A$2:$A$246,0))</f>
        <v>0.84787416911783064</v>
      </c>
      <c r="E2076" s="32">
        <f t="shared" si="32"/>
        <v>0.9538584402575595</v>
      </c>
    </row>
    <row r="2077" spans="1:5" x14ac:dyDescent="0.25">
      <c r="A2077" s="17">
        <v>271</v>
      </c>
      <c r="B2077" s="31">
        <v>47802</v>
      </c>
      <c r="C2077" s="32">
        <f>INDEX('Input Data'!$B:$B,A2077)/2+IF(A2077&lt;&gt;A2078,100,0)</f>
        <v>1.125</v>
      </c>
      <c r="D2077" s="33">
        <f>INDEX('ZCB Curve - Payment Dates'!$D$2:$D$246,MATCH(B2077,'ZCB Curve - Payment Dates'!$A$2:$A$246,0))</f>
        <v>0.82827715028796722</v>
      </c>
      <c r="E2077" s="32">
        <f t="shared" si="32"/>
        <v>0.93181179407396308</v>
      </c>
    </row>
    <row r="2078" spans="1:5" x14ac:dyDescent="0.25">
      <c r="A2078" s="17">
        <v>271</v>
      </c>
      <c r="B2078" s="31">
        <v>47983</v>
      </c>
      <c r="C2078" s="32">
        <f>INDEX('Input Data'!$B:$B,A2078)/2+IF(A2078&lt;&gt;A2079,100,0)</f>
        <v>1.125</v>
      </c>
      <c r="D2078" s="33">
        <f>INDEX('ZCB Curve - Payment Dates'!$D$2:$D$246,MATCH(B2078,'ZCB Curve - Payment Dates'!$A$2:$A$246,0))</f>
        <v>0.80939067484273564</v>
      </c>
      <c r="E2078" s="32">
        <f t="shared" si="32"/>
        <v>0.91056450919807763</v>
      </c>
    </row>
    <row r="2079" spans="1:5" x14ac:dyDescent="0.25">
      <c r="A2079" s="17">
        <v>271</v>
      </c>
      <c r="B2079" s="31">
        <v>48167</v>
      </c>
      <c r="C2079" s="32">
        <f>INDEX('Input Data'!$B:$B,A2079)/2+IF(A2079&lt;&gt;A2080,100,0)</f>
        <v>1.125</v>
      </c>
      <c r="D2079" s="33">
        <f>INDEX('ZCB Curve - Payment Dates'!$D$2:$D$246,MATCH(B2079,'ZCB Curve - Payment Dates'!$A$2:$A$246,0))</f>
        <v>0.79053567842581962</v>
      </c>
      <c r="E2079" s="32">
        <f t="shared" si="32"/>
        <v>0.88935263822904709</v>
      </c>
    </row>
    <row r="2080" spans="1:5" x14ac:dyDescent="0.25">
      <c r="A2080" s="17">
        <v>271</v>
      </c>
      <c r="B2080" s="31">
        <v>48349</v>
      </c>
      <c r="C2080" s="32">
        <f>INDEX('Input Data'!$B:$B,A2080)/2+IF(A2080&lt;&gt;A2081,100,0)</f>
        <v>1.125</v>
      </c>
      <c r="D2080" s="33">
        <f>INDEX('ZCB Curve - Payment Dates'!$D$2:$D$246,MATCH(B2080,'ZCB Curve - Payment Dates'!$A$2:$A$246,0))</f>
        <v>0.77217305702007488</v>
      </c>
      <c r="E2080" s="32">
        <f t="shared" si="32"/>
        <v>0.86869468914758419</v>
      </c>
    </row>
    <row r="2081" spans="1:5" x14ac:dyDescent="0.25">
      <c r="A2081" s="17">
        <v>271</v>
      </c>
      <c r="B2081" s="31">
        <v>48533</v>
      </c>
      <c r="C2081" s="32">
        <f>INDEX('Input Data'!$B:$B,A2081)/2+IF(A2081&lt;&gt;A2082,100,0)</f>
        <v>1.125</v>
      </c>
      <c r="D2081" s="33">
        <f>INDEX('ZCB Curve - Payment Dates'!$D$2:$D$246,MATCH(B2081,'ZCB Curve - Payment Dates'!$A$2:$A$246,0))</f>
        <v>0.75384766072076514</v>
      </c>
      <c r="E2081" s="32">
        <f t="shared" si="32"/>
        <v>0.84807861831086084</v>
      </c>
    </row>
    <row r="2082" spans="1:5" x14ac:dyDescent="0.25">
      <c r="A2082" s="17">
        <v>271</v>
      </c>
      <c r="B2082" s="31">
        <v>48714</v>
      </c>
      <c r="C2082" s="32">
        <f>INDEX('Input Data'!$B:$B,A2082)/2+IF(A2082&lt;&gt;A2083,100,0)</f>
        <v>1.125</v>
      </c>
      <c r="D2082" s="33">
        <f>INDEX('ZCB Curve - Payment Dates'!$D$2:$D$246,MATCH(B2082,'ZCB Curve - Payment Dates'!$A$2:$A$246,0))</f>
        <v>0.73601491848746747</v>
      </c>
      <c r="E2082" s="32">
        <f t="shared" si="32"/>
        <v>0.82801678329840089</v>
      </c>
    </row>
    <row r="2083" spans="1:5" x14ac:dyDescent="0.25">
      <c r="A2083" s="17">
        <v>271</v>
      </c>
      <c r="B2083" s="31">
        <v>48898</v>
      </c>
      <c r="C2083" s="32">
        <f>INDEX('Input Data'!$B:$B,A2083)/2+IF(A2083&lt;&gt;A2084,100,0)</f>
        <v>1.125</v>
      </c>
      <c r="D2083" s="33">
        <f>INDEX('ZCB Curve - Payment Dates'!$D$2:$D$246,MATCH(B2083,'ZCB Curve - Payment Dates'!$A$2:$A$246,0))</f>
        <v>0.71805338140354003</v>
      </c>
      <c r="E2083" s="32">
        <f t="shared" si="32"/>
        <v>0.80781005407898254</v>
      </c>
    </row>
    <row r="2084" spans="1:5" x14ac:dyDescent="0.25">
      <c r="A2084" s="17">
        <v>271</v>
      </c>
      <c r="B2084" s="31">
        <v>49079</v>
      </c>
      <c r="C2084" s="32">
        <f>INDEX('Input Data'!$B:$B,A2084)/2+IF(A2084&lt;&gt;A2085,100,0)</f>
        <v>1.125</v>
      </c>
      <c r="D2084" s="33">
        <f>INDEX('ZCB Curve - Payment Dates'!$D$2:$D$246,MATCH(B2084,'ZCB Curve - Payment Dates'!$A$2:$A$246,0))</f>
        <v>0.70052630492471468</v>
      </c>
      <c r="E2084" s="32">
        <f t="shared" si="32"/>
        <v>0.78809209304030403</v>
      </c>
    </row>
    <row r="2085" spans="1:5" x14ac:dyDescent="0.25">
      <c r="A2085" s="17">
        <v>271</v>
      </c>
      <c r="B2085" s="31">
        <v>49263</v>
      </c>
      <c r="C2085" s="32">
        <f>INDEX('Input Data'!$B:$B,A2085)/2+IF(A2085&lt;&gt;A2086,100,0)</f>
        <v>1.125</v>
      </c>
      <c r="D2085" s="33">
        <f>INDEX('ZCB Curve - Payment Dates'!$D$2:$D$246,MATCH(B2085,'ZCB Curve - Payment Dates'!$A$2:$A$246,0))</f>
        <v>0.68284221202539863</v>
      </c>
      <c r="E2085" s="32">
        <f t="shared" si="32"/>
        <v>0.7681974885285735</v>
      </c>
    </row>
    <row r="2086" spans="1:5" x14ac:dyDescent="0.25">
      <c r="A2086" s="17">
        <v>271</v>
      </c>
      <c r="B2086" s="31">
        <v>49444</v>
      </c>
      <c r="C2086" s="32">
        <f>INDEX('Input Data'!$B:$B,A2086)/2+IF(A2086&lt;&gt;A2087,100,0)</f>
        <v>1.125</v>
      </c>
      <c r="D2086" s="33">
        <f>INDEX('ZCB Curve - Payment Dates'!$D$2:$D$246,MATCH(B2086,'ZCB Curve - Payment Dates'!$A$2:$A$246,0))</f>
        <v>0.66557347415228496</v>
      </c>
      <c r="E2086" s="32">
        <f t="shared" si="32"/>
        <v>0.74877015842132055</v>
      </c>
    </row>
    <row r="2087" spans="1:5" x14ac:dyDescent="0.25">
      <c r="A2087" s="17">
        <v>271</v>
      </c>
      <c r="B2087" s="31">
        <v>49628</v>
      </c>
      <c r="C2087" s="32">
        <f>INDEX('Input Data'!$B:$B,A2087)/2+IF(A2087&lt;&gt;A2088,100,0)</f>
        <v>1.125</v>
      </c>
      <c r="D2087" s="33">
        <f>INDEX('ZCB Curve - Payment Dates'!$D$2:$D$246,MATCH(B2087,'ZCB Curve - Payment Dates'!$A$2:$A$246,0))</f>
        <v>0.64815361918127823</v>
      </c>
      <c r="E2087" s="32">
        <f t="shared" si="32"/>
        <v>0.72917282157893804</v>
      </c>
    </row>
    <row r="2088" spans="1:5" x14ac:dyDescent="0.25">
      <c r="A2088" s="17">
        <v>271</v>
      </c>
      <c r="B2088" s="31">
        <v>49810</v>
      </c>
      <c r="C2088" s="32">
        <f>INDEX('Input Data'!$B:$B,A2088)/2+IF(A2088&lt;&gt;A2089,100,0)</f>
        <v>1.125</v>
      </c>
      <c r="D2088" s="33">
        <f>INDEX('ZCB Curve - Payment Dates'!$D$2:$D$246,MATCH(B2088,'ZCB Curve - Payment Dates'!$A$2:$A$246,0))</f>
        <v>0.63106457078577471</v>
      </c>
      <c r="E2088" s="32">
        <f t="shared" si="32"/>
        <v>0.70994764213399653</v>
      </c>
    </row>
    <row r="2089" spans="1:5" x14ac:dyDescent="0.25">
      <c r="A2089" s="17">
        <v>271</v>
      </c>
      <c r="B2089" s="31">
        <v>49994</v>
      </c>
      <c r="C2089" s="32">
        <f>INDEX('Input Data'!$B:$B,A2089)/2+IF(A2089&lt;&gt;A2090,100,0)</f>
        <v>1.125</v>
      </c>
      <c r="D2089" s="33">
        <f>INDEX('ZCB Curve - Payment Dates'!$D$2:$D$246,MATCH(B2089,'ZCB Curve - Payment Dates'!$A$2:$A$246,0))</f>
        <v>0.61395227923184648</v>
      </c>
      <c r="E2089" s="32">
        <f t="shared" si="32"/>
        <v>0.69069631413582733</v>
      </c>
    </row>
    <row r="2090" spans="1:5" x14ac:dyDescent="0.25">
      <c r="A2090" s="17">
        <v>271</v>
      </c>
      <c r="B2090" s="31">
        <v>50175</v>
      </c>
      <c r="C2090" s="32">
        <f>INDEX('Input Data'!$B:$B,A2090)/2+IF(A2090&lt;&gt;A2091,100,0)</f>
        <v>1.125</v>
      </c>
      <c r="D2090" s="33">
        <f>INDEX('ZCB Curve - Payment Dates'!$D$2:$D$246,MATCH(B2090,'ZCB Curve - Payment Dates'!$A$2:$A$246,0))</f>
        <v>0.5972963482314616</v>
      </c>
      <c r="E2090" s="32">
        <f t="shared" si="32"/>
        <v>0.67195839176039429</v>
      </c>
    </row>
    <row r="2091" spans="1:5" x14ac:dyDescent="0.25">
      <c r="A2091" s="17">
        <v>271</v>
      </c>
      <c r="B2091" s="31">
        <v>50359</v>
      </c>
      <c r="C2091" s="32">
        <f>INDEX('Input Data'!$B:$B,A2091)/2+IF(A2091&lt;&gt;A2092,100,0)</f>
        <v>1.125</v>
      </c>
      <c r="D2091" s="33">
        <f>INDEX('ZCB Curve - Payment Dates'!$D$2:$D$246,MATCH(B2091,'ZCB Curve - Payment Dates'!$A$2:$A$246,0))</f>
        <v>0.58056812006155756</v>
      </c>
      <c r="E2091" s="32">
        <f t="shared" si="32"/>
        <v>0.65313913506925225</v>
      </c>
    </row>
    <row r="2092" spans="1:5" x14ac:dyDescent="0.25">
      <c r="A2092" s="17">
        <v>271</v>
      </c>
      <c r="B2092" s="31">
        <v>50540</v>
      </c>
      <c r="C2092" s="32">
        <f>INDEX('Input Data'!$B:$B,A2092)/2+IF(A2092&lt;&gt;A2093,100,0)</f>
        <v>1.125</v>
      </c>
      <c r="D2092" s="33">
        <f>INDEX('ZCB Curve - Payment Dates'!$D$2:$D$246,MATCH(B2092,'ZCB Curve - Payment Dates'!$A$2:$A$246,0))</f>
        <v>0.56433491315969797</v>
      </c>
      <c r="E2092" s="32">
        <f t="shared" si="32"/>
        <v>0.63487677730466019</v>
      </c>
    </row>
    <row r="2093" spans="1:5" x14ac:dyDescent="0.25">
      <c r="A2093" s="17">
        <v>271</v>
      </c>
      <c r="B2093" s="31">
        <v>50724</v>
      </c>
      <c r="C2093" s="32">
        <f>INDEX('Input Data'!$B:$B,A2093)/2+IF(A2093&lt;&gt;A2094,100,0)</f>
        <v>1.125</v>
      </c>
      <c r="D2093" s="33">
        <f>INDEX('ZCB Curve - Payment Dates'!$D$2:$D$246,MATCH(B2093,'ZCB Curve - Payment Dates'!$A$2:$A$246,0))</f>
        <v>0.54808398139057424</v>
      </c>
      <c r="E2093" s="32">
        <f t="shared" si="32"/>
        <v>0.61659447906439602</v>
      </c>
    </row>
    <row r="2094" spans="1:5" x14ac:dyDescent="0.25">
      <c r="A2094" s="17">
        <v>271</v>
      </c>
      <c r="B2094" s="31">
        <v>50905</v>
      </c>
      <c r="C2094" s="32">
        <f>INDEX('Input Data'!$B:$B,A2094)/2+IF(A2094&lt;&gt;A2095,100,0)</f>
        <v>1.125</v>
      </c>
      <c r="D2094" s="33">
        <f>INDEX('ZCB Curve - Payment Dates'!$D$2:$D$246,MATCH(B2094,'ZCB Curve - Payment Dates'!$A$2:$A$246,0))</f>
        <v>0.5323673246083096</v>
      </c>
      <c r="E2094" s="32">
        <f t="shared" si="32"/>
        <v>0.59891324018434833</v>
      </c>
    </row>
    <row r="2095" spans="1:5" x14ac:dyDescent="0.25">
      <c r="A2095" s="17">
        <v>271</v>
      </c>
      <c r="B2095" s="31">
        <v>51089</v>
      </c>
      <c r="C2095" s="32">
        <f>INDEX('Input Data'!$B:$B,A2095)/2+IF(A2095&lt;&gt;A2096,100,0)</f>
        <v>1.125</v>
      </c>
      <c r="D2095" s="33">
        <f>INDEX('ZCB Curve - Payment Dates'!$D$2:$D$246,MATCH(B2095,'ZCB Curve - Payment Dates'!$A$2:$A$246,0))</f>
        <v>0.51668806431098135</v>
      </c>
      <c r="E2095" s="32">
        <f t="shared" si="32"/>
        <v>0.58127407234985407</v>
      </c>
    </row>
    <row r="2096" spans="1:5" x14ac:dyDescent="0.25">
      <c r="A2096" s="17">
        <v>271</v>
      </c>
      <c r="B2096" s="31">
        <v>51271</v>
      </c>
      <c r="C2096" s="32">
        <f>INDEX('Input Data'!$B:$B,A2096)/2+IF(A2096&lt;&gt;A2097,100,0)</f>
        <v>1.125</v>
      </c>
      <c r="D2096" s="33">
        <f>INDEX('ZCB Curve - Payment Dates'!$D$2:$D$246,MATCH(B2096,'ZCB Curve - Payment Dates'!$A$2:$A$246,0))</f>
        <v>0.50149590020417278</v>
      </c>
      <c r="E2096" s="32">
        <f t="shared" si="32"/>
        <v>0.56418288772969438</v>
      </c>
    </row>
    <row r="2097" spans="1:5" x14ac:dyDescent="0.25">
      <c r="A2097" s="17">
        <v>271</v>
      </c>
      <c r="B2097" s="31">
        <v>51455</v>
      </c>
      <c r="C2097" s="32">
        <f>INDEX('Input Data'!$B:$B,A2097)/2+IF(A2097&lt;&gt;A2098,100,0)</f>
        <v>1.125</v>
      </c>
      <c r="D2097" s="33">
        <f>INDEX('ZCB Curve - Payment Dates'!$D$2:$D$246,MATCH(B2097,'ZCB Curve - Payment Dates'!$A$2:$A$246,0))</f>
        <v>0.48647538074270091</v>
      </c>
      <c r="E2097" s="32">
        <f t="shared" si="32"/>
        <v>0.54728480333553853</v>
      </c>
    </row>
    <row r="2098" spans="1:5" x14ac:dyDescent="0.25">
      <c r="A2098" s="17">
        <v>271</v>
      </c>
      <c r="B2098" s="31">
        <v>51636</v>
      </c>
      <c r="C2098" s="32">
        <f>INDEX('Input Data'!$B:$B,A2098)/2+IF(A2098&lt;&gt;A2099,100,0)</f>
        <v>101.125</v>
      </c>
      <c r="D2098" s="33">
        <f>INDEX('ZCB Curve - Payment Dates'!$D$2:$D$246,MATCH(B2098,'ZCB Curve - Payment Dates'!$A$2:$A$246,0))</f>
        <v>0.47204918703719451</v>
      </c>
      <c r="E2098" s="32">
        <f t="shared" si="32"/>
        <v>47.735974039136295</v>
      </c>
    </row>
    <row r="2099" spans="1:5" x14ac:dyDescent="0.25">
      <c r="A2099" s="17">
        <v>272</v>
      </c>
      <c r="B2099" s="31">
        <v>46341</v>
      </c>
      <c r="C2099" s="32">
        <f>INDEX('Input Data'!$B:$B,A2099)/2+IF(A2099&lt;&gt;A2100,100,0)</f>
        <v>2.1875</v>
      </c>
      <c r="D2099" s="33">
        <f>INDEX('ZCB Curve - Payment Dates'!$D$2:$D$246,MATCH(B2099,'ZCB Curve - Payment Dates'!$A$2:$A$246,0))</f>
        <v>0.99245367292309439</v>
      </c>
      <c r="E2099" s="32">
        <f t="shared" si="32"/>
        <v>2.1709924095192692</v>
      </c>
    </row>
    <row r="2100" spans="1:5" x14ac:dyDescent="0.25">
      <c r="A2100" s="17">
        <v>272</v>
      </c>
      <c r="B2100" s="31">
        <v>46522</v>
      </c>
      <c r="C2100" s="32">
        <f>INDEX('Input Data'!$B:$B,A2100)/2+IF(A2100&lt;&gt;A2101,100,0)</f>
        <v>2.1875</v>
      </c>
      <c r="D2100" s="33">
        <f>INDEX('ZCB Curve - Payment Dates'!$D$2:$D$246,MATCH(B2100,'ZCB Curve - Payment Dates'!$A$2:$A$246,0))</f>
        <v>0.97242179559611874</v>
      </c>
      <c r="E2100" s="32">
        <f t="shared" si="32"/>
        <v>2.1271726778665099</v>
      </c>
    </row>
    <row r="2101" spans="1:5" x14ac:dyDescent="0.25">
      <c r="A2101" s="17">
        <v>272</v>
      </c>
      <c r="B2101" s="31">
        <v>46706</v>
      </c>
      <c r="C2101" s="32">
        <f>INDEX('Input Data'!$B:$B,A2101)/2+IF(A2101&lt;&gt;A2102,100,0)</f>
        <v>2.1875</v>
      </c>
      <c r="D2101" s="33">
        <f>INDEX('ZCB Curve - Payment Dates'!$D$2:$D$246,MATCH(B2101,'ZCB Curve - Payment Dates'!$A$2:$A$246,0))</f>
        <v>0.95121018311627348</v>
      </c>
      <c r="E2101" s="32">
        <f t="shared" si="32"/>
        <v>2.0807722755668481</v>
      </c>
    </row>
    <row r="2102" spans="1:5" x14ac:dyDescent="0.25">
      <c r="A2102" s="17">
        <v>272</v>
      </c>
      <c r="B2102" s="31">
        <v>46888</v>
      </c>
      <c r="C2102" s="32">
        <f>INDEX('Input Data'!$B:$B,A2102)/2+IF(A2102&lt;&gt;A2103,100,0)</f>
        <v>2.1875</v>
      </c>
      <c r="D2102" s="33">
        <f>INDEX('ZCB Curve - Payment Dates'!$D$2:$D$246,MATCH(B2102,'ZCB Curve - Payment Dates'!$A$2:$A$246,0))</f>
        <v>0.93000025435083566</v>
      </c>
      <c r="E2102" s="32">
        <f t="shared" si="32"/>
        <v>2.0343755563924528</v>
      </c>
    </row>
    <row r="2103" spans="1:5" x14ac:dyDescent="0.25">
      <c r="A2103" s="17">
        <v>272</v>
      </c>
      <c r="B2103" s="31">
        <v>47072</v>
      </c>
      <c r="C2103" s="32">
        <f>INDEX('Input Data'!$B:$B,A2103)/2+IF(A2103&lt;&gt;A2104,100,0)</f>
        <v>2.1875</v>
      </c>
      <c r="D2103" s="33">
        <f>INDEX('ZCB Curve - Payment Dates'!$D$2:$D$246,MATCH(B2103,'ZCB Curve - Payment Dates'!$A$2:$A$246,0))</f>
        <v>0.90870125167038918</v>
      </c>
      <c r="E2103" s="32">
        <f t="shared" si="32"/>
        <v>1.9877839880289763</v>
      </c>
    </row>
    <row r="2104" spans="1:5" x14ac:dyDescent="0.25">
      <c r="A2104" s="17">
        <v>272</v>
      </c>
      <c r="B2104" s="31">
        <v>47253</v>
      </c>
      <c r="C2104" s="32">
        <f>INDEX('Input Data'!$B:$B,A2104)/2+IF(A2104&lt;&gt;A2105,100,0)</f>
        <v>2.1875</v>
      </c>
      <c r="D2104" s="33">
        <f>INDEX('ZCB Curve - Payment Dates'!$D$2:$D$246,MATCH(B2104,'ZCB Curve - Payment Dates'!$A$2:$A$246,0))</f>
        <v>0.88809325063638844</v>
      </c>
      <c r="E2104" s="32">
        <f t="shared" si="32"/>
        <v>1.9427039857670998</v>
      </c>
    </row>
    <row r="2105" spans="1:5" x14ac:dyDescent="0.25">
      <c r="A2105" s="17">
        <v>272</v>
      </c>
      <c r="B2105" s="31">
        <v>47437</v>
      </c>
      <c r="C2105" s="32">
        <f>INDEX('Input Data'!$B:$B,A2105)/2+IF(A2105&lt;&gt;A2106,100,0)</f>
        <v>2.1875</v>
      </c>
      <c r="D2105" s="33">
        <f>INDEX('ZCB Curve - Payment Dates'!$D$2:$D$246,MATCH(B2105,'ZCB Curve - Payment Dates'!$A$2:$A$246,0))</f>
        <v>0.86758824089536279</v>
      </c>
      <c r="E2105" s="32">
        <f t="shared" si="32"/>
        <v>1.8978492769586062</v>
      </c>
    </row>
    <row r="2106" spans="1:5" x14ac:dyDescent="0.25">
      <c r="A2106" s="17">
        <v>272</v>
      </c>
      <c r="B2106" s="31">
        <v>47618</v>
      </c>
      <c r="C2106" s="32">
        <f>INDEX('Input Data'!$B:$B,A2106)/2+IF(A2106&lt;&gt;A2107,100,0)</f>
        <v>2.1875</v>
      </c>
      <c r="D2106" s="33">
        <f>INDEX('ZCB Curve - Payment Dates'!$D$2:$D$246,MATCH(B2106,'ZCB Curve - Payment Dates'!$A$2:$A$246,0))</f>
        <v>0.84787416911783064</v>
      </c>
      <c r="E2106" s="32">
        <f t="shared" si="32"/>
        <v>1.8547247449452546</v>
      </c>
    </row>
    <row r="2107" spans="1:5" x14ac:dyDescent="0.25">
      <c r="A2107" s="17">
        <v>272</v>
      </c>
      <c r="B2107" s="31">
        <v>47802</v>
      </c>
      <c r="C2107" s="32">
        <f>INDEX('Input Data'!$B:$B,A2107)/2+IF(A2107&lt;&gt;A2108,100,0)</f>
        <v>2.1875</v>
      </c>
      <c r="D2107" s="33">
        <f>INDEX('ZCB Curve - Payment Dates'!$D$2:$D$246,MATCH(B2107,'ZCB Curve - Payment Dates'!$A$2:$A$246,0))</f>
        <v>0.82827715028796722</v>
      </c>
      <c r="E2107" s="32">
        <f t="shared" si="32"/>
        <v>1.8118562662549282</v>
      </c>
    </row>
    <row r="2108" spans="1:5" x14ac:dyDescent="0.25">
      <c r="A2108" s="17">
        <v>272</v>
      </c>
      <c r="B2108" s="31">
        <v>47983</v>
      </c>
      <c r="C2108" s="32">
        <f>INDEX('Input Data'!$B:$B,A2108)/2+IF(A2108&lt;&gt;A2109,100,0)</f>
        <v>2.1875</v>
      </c>
      <c r="D2108" s="33">
        <f>INDEX('ZCB Curve - Payment Dates'!$D$2:$D$246,MATCH(B2108,'ZCB Curve - Payment Dates'!$A$2:$A$246,0))</f>
        <v>0.80939067484273564</v>
      </c>
      <c r="E2108" s="32">
        <f t="shared" si="32"/>
        <v>1.7705421012184841</v>
      </c>
    </row>
    <row r="2109" spans="1:5" x14ac:dyDescent="0.25">
      <c r="A2109" s="17">
        <v>272</v>
      </c>
      <c r="B2109" s="31">
        <v>48167</v>
      </c>
      <c r="C2109" s="32">
        <f>INDEX('Input Data'!$B:$B,A2109)/2+IF(A2109&lt;&gt;A2110,100,0)</f>
        <v>2.1875</v>
      </c>
      <c r="D2109" s="33">
        <f>INDEX('ZCB Curve - Payment Dates'!$D$2:$D$246,MATCH(B2109,'ZCB Curve - Payment Dates'!$A$2:$A$246,0))</f>
        <v>0.79053567842581962</v>
      </c>
      <c r="E2109" s="32">
        <f t="shared" si="32"/>
        <v>1.7292967965564805</v>
      </c>
    </row>
    <row r="2110" spans="1:5" x14ac:dyDescent="0.25">
      <c r="A2110" s="17">
        <v>272</v>
      </c>
      <c r="B2110" s="31">
        <v>48349</v>
      </c>
      <c r="C2110" s="32">
        <f>INDEX('Input Data'!$B:$B,A2110)/2+IF(A2110&lt;&gt;A2111,100,0)</f>
        <v>2.1875</v>
      </c>
      <c r="D2110" s="33">
        <f>INDEX('ZCB Curve - Payment Dates'!$D$2:$D$246,MATCH(B2110,'ZCB Curve - Payment Dates'!$A$2:$A$246,0))</f>
        <v>0.77217305702007488</v>
      </c>
      <c r="E2110" s="32">
        <f t="shared" si="32"/>
        <v>1.6891285622314138</v>
      </c>
    </row>
    <row r="2111" spans="1:5" x14ac:dyDescent="0.25">
      <c r="A2111" s="17">
        <v>272</v>
      </c>
      <c r="B2111" s="31">
        <v>48533</v>
      </c>
      <c r="C2111" s="32">
        <f>INDEX('Input Data'!$B:$B,A2111)/2+IF(A2111&lt;&gt;A2112,100,0)</f>
        <v>2.1875</v>
      </c>
      <c r="D2111" s="33">
        <f>INDEX('ZCB Curve - Payment Dates'!$D$2:$D$246,MATCH(B2111,'ZCB Curve - Payment Dates'!$A$2:$A$246,0))</f>
        <v>0.75384766072076514</v>
      </c>
      <c r="E2111" s="32">
        <f t="shared" si="32"/>
        <v>1.6490417578266738</v>
      </c>
    </row>
    <row r="2112" spans="1:5" x14ac:dyDescent="0.25">
      <c r="A2112" s="17">
        <v>272</v>
      </c>
      <c r="B2112" s="31">
        <v>48714</v>
      </c>
      <c r="C2112" s="32">
        <f>INDEX('Input Data'!$B:$B,A2112)/2+IF(A2112&lt;&gt;A2113,100,0)</f>
        <v>2.1875</v>
      </c>
      <c r="D2112" s="33">
        <f>INDEX('ZCB Curve - Payment Dates'!$D$2:$D$246,MATCH(B2112,'ZCB Curve - Payment Dates'!$A$2:$A$246,0))</f>
        <v>0.73601491848746747</v>
      </c>
      <c r="E2112" s="32">
        <f t="shared" si="32"/>
        <v>1.6100326341913351</v>
      </c>
    </row>
    <row r="2113" spans="1:5" x14ac:dyDescent="0.25">
      <c r="A2113" s="17">
        <v>272</v>
      </c>
      <c r="B2113" s="31">
        <v>48898</v>
      </c>
      <c r="C2113" s="32">
        <f>INDEX('Input Data'!$B:$B,A2113)/2+IF(A2113&lt;&gt;A2114,100,0)</f>
        <v>2.1875</v>
      </c>
      <c r="D2113" s="33">
        <f>INDEX('ZCB Curve - Payment Dates'!$D$2:$D$246,MATCH(B2113,'ZCB Curve - Payment Dates'!$A$2:$A$246,0))</f>
        <v>0.71805338140354003</v>
      </c>
      <c r="E2113" s="32">
        <f t="shared" si="32"/>
        <v>1.5707417718202439</v>
      </c>
    </row>
    <row r="2114" spans="1:5" x14ac:dyDescent="0.25">
      <c r="A2114" s="17">
        <v>272</v>
      </c>
      <c r="B2114" s="31">
        <v>49079</v>
      </c>
      <c r="C2114" s="32">
        <f>INDEX('Input Data'!$B:$B,A2114)/2+IF(A2114&lt;&gt;A2115,100,0)</f>
        <v>2.1875</v>
      </c>
      <c r="D2114" s="33">
        <f>INDEX('ZCB Curve - Payment Dates'!$D$2:$D$246,MATCH(B2114,'ZCB Curve - Payment Dates'!$A$2:$A$246,0))</f>
        <v>0.70052630492471468</v>
      </c>
      <c r="E2114" s="32">
        <f t="shared" ref="E2114:E2177" si="33">C2114*D2114</f>
        <v>1.5324012920228134</v>
      </c>
    </row>
    <row r="2115" spans="1:5" x14ac:dyDescent="0.25">
      <c r="A2115" s="17">
        <v>272</v>
      </c>
      <c r="B2115" s="31">
        <v>49263</v>
      </c>
      <c r="C2115" s="32">
        <f>INDEX('Input Data'!$B:$B,A2115)/2+IF(A2115&lt;&gt;A2116,100,0)</f>
        <v>2.1875</v>
      </c>
      <c r="D2115" s="33">
        <f>INDEX('ZCB Curve - Payment Dates'!$D$2:$D$246,MATCH(B2115,'ZCB Curve - Payment Dates'!$A$2:$A$246,0))</f>
        <v>0.68284221202539863</v>
      </c>
      <c r="E2115" s="32">
        <f t="shared" si="33"/>
        <v>1.4937173388055596</v>
      </c>
    </row>
    <row r="2116" spans="1:5" x14ac:dyDescent="0.25">
      <c r="A2116" s="17">
        <v>272</v>
      </c>
      <c r="B2116" s="31">
        <v>49444</v>
      </c>
      <c r="C2116" s="32">
        <f>INDEX('Input Data'!$B:$B,A2116)/2+IF(A2116&lt;&gt;A2117,100,0)</f>
        <v>2.1875</v>
      </c>
      <c r="D2116" s="33">
        <f>INDEX('ZCB Curve - Payment Dates'!$D$2:$D$246,MATCH(B2116,'ZCB Curve - Payment Dates'!$A$2:$A$246,0))</f>
        <v>0.66557347415228496</v>
      </c>
      <c r="E2116" s="32">
        <f t="shared" si="33"/>
        <v>1.4559419747081233</v>
      </c>
    </row>
    <row r="2117" spans="1:5" x14ac:dyDescent="0.25">
      <c r="A2117" s="17">
        <v>272</v>
      </c>
      <c r="B2117" s="31">
        <v>49628</v>
      </c>
      <c r="C2117" s="32">
        <f>INDEX('Input Data'!$B:$B,A2117)/2+IF(A2117&lt;&gt;A2118,100,0)</f>
        <v>2.1875</v>
      </c>
      <c r="D2117" s="33">
        <f>INDEX('ZCB Curve - Payment Dates'!$D$2:$D$246,MATCH(B2117,'ZCB Curve - Payment Dates'!$A$2:$A$246,0))</f>
        <v>0.64815361918127823</v>
      </c>
      <c r="E2117" s="32">
        <f t="shared" si="33"/>
        <v>1.4178360419590461</v>
      </c>
    </row>
    <row r="2118" spans="1:5" x14ac:dyDescent="0.25">
      <c r="A2118" s="17">
        <v>272</v>
      </c>
      <c r="B2118" s="31">
        <v>49810</v>
      </c>
      <c r="C2118" s="32">
        <f>INDEX('Input Data'!$B:$B,A2118)/2+IF(A2118&lt;&gt;A2119,100,0)</f>
        <v>2.1875</v>
      </c>
      <c r="D2118" s="33">
        <f>INDEX('ZCB Curve - Payment Dates'!$D$2:$D$246,MATCH(B2118,'ZCB Curve - Payment Dates'!$A$2:$A$246,0))</f>
        <v>0.63106457078577471</v>
      </c>
      <c r="E2118" s="32">
        <f t="shared" si="33"/>
        <v>1.3804537485938821</v>
      </c>
    </row>
    <row r="2119" spans="1:5" x14ac:dyDescent="0.25">
      <c r="A2119" s="17">
        <v>272</v>
      </c>
      <c r="B2119" s="31">
        <v>49994</v>
      </c>
      <c r="C2119" s="32">
        <f>INDEX('Input Data'!$B:$B,A2119)/2+IF(A2119&lt;&gt;A2120,100,0)</f>
        <v>2.1875</v>
      </c>
      <c r="D2119" s="33">
        <f>INDEX('ZCB Curve - Payment Dates'!$D$2:$D$246,MATCH(B2119,'ZCB Curve - Payment Dates'!$A$2:$A$246,0))</f>
        <v>0.61395227923184648</v>
      </c>
      <c r="E2119" s="32">
        <f t="shared" si="33"/>
        <v>1.3430206108196641</v>
      </c>
    </row>
    <row r="2120" spans="1:5" x14ac:dyDescent="0.25">
      <c r="A2120" s="17">
        <v>272</v>
      </c>
      <c r="B2120" s="31">
        <v>50175</v>
      </c>
      <c r="C2120" s="32">
        <f>INDEX('Input Data'!$B:$B,A2120)/2+IF(A2120&lt;&gt;A2121,100,0)</f>
        <v>2.1875</v>
      </c>
      <c r="D2120" s="33">
        <f>INDEX('ZCB Curve - Payment Dates'!$D$2:$D$246,MATCH(B2120,'ZCB Curve - Payment Dates'!$A$2:$A$246,0))</f>
        <v>0.5972963482314616</v>
      </c>
      <c r="E2120" s="32">
        <f t="shared" si="33"/>
        <v>1.3065857617563224</v>
      </c>
    </row>
    <row r="2121" spans="1:5" x14ac:dyDescent="0.25">
      <c r="A2121" s="17">
        <v>272</v>
      </c>
      <c r="B2121" s="31">
        <v>50359</v>
      </c>
      <c r="C2121" s="32">
        <f>INDEX('Input Data'!$B:$B,A2121)/2+IF(A2121&lt;&gt;A2122,100,0)</f>
        <v>2.1875</v>
      </c>
      <c r="D2121" s="33">
        <f>INDEX('ZCB Curve - Payment Dates'!$D$2:$D$246,MATCH(B2121,'ZCB Curve - Payment Dates'!$A$2:$A$246,0))</f>
        <v>0.58056812006155756</v>
      </c>
      <c r="E2121" s="32">
        <f t="shared" si="33"/>
        <v>1.2699927626346572</v>
      </c>
    </row>
    <row r="2122" spans="1:5" x14ac:dyDescent="0.25">
      <c r="A2122" s="17">
        <v>272</v>
      </c>
      <c r="B2122" s="31">
        <v>50540</v>
      </c>
      <c r="C2122" s="32">
        <f>INDEX('Input Data'!$B:$B,A2122)/2+IF(A2122&lt;&gt;A2123,100,0)</f>
        <v>2.1875</v>
      </c>
      <c r="D2122" s="33">
        <f>INDEX('ZCB Curve - Payment Dates'!$D$2:$D$246,MATCH(B2122,'ZCB Curve - Payment Dates'!$A$2:$A$246,0))</f>
        <v>0.56433491315969797</v>
      </c>
      <c r="E2122" s="32">
        <f t="shared" si="33"/>
        <v>1.2344826225368393</v>
      </c>
    </row>
    <row r="2123" spans="1:5" x14ac:dyDescent="0.25">
      <c r="A2123" s="17">
        <v>272</v>
      </c>
      <c r="B2123" s="31">
        <v>50724</v>
      </c>
      <c r="C2123" s="32">
        <f>INDEX('Input Data'!$B:$B,A2123)/2+IF(A2123&lt;&gt;A2124,100,0)</f>
        <v>2.1875</v>
      </c>
      <c r="D2123" s="33">
        <f>INDEX('ZCB Curve - Payment Dates'!$D$2:$D$246,MATCH(B2123,'ZCB Curve - Payment Dates'!$A$2:$A$246,0))</f>
        <v>0.54808398139057424</v>
      </c>
      <c r="E2123" s="32">
        <f t="shared" si="33"/>
        <v>1.198933709291881</v>
      </c>
    </row>
    <row r="2124" spans="1:5" x14ac:dyDescent="0.25">
      <c r="A2124" s="17">
        <v>272</v>
      </c>
      <c r="B2124" s="31">
        <v>50905</v>
      </c>
      <c r="C2124" s="32">
        <f>INDEX('Input Data'!$B:$B,A2124)/2+IF(A2124&lt;&gt;A2125,100,0)</f>
        <v>2.1875</v>
      </c>
      <c r="D2124" s="33">
        <f>INDEX('ZCB Curve - Payment Dates'!$D$2:$D$246,MATCH(B2124,'ZCB Curve - Payment Dates'!$A$2:$A$246,0))</f>
        <v>0.5323673246083096</v>
      </c>
      <c r="E2124" s="32">
        <f t="shared" si="33"/>
        <v>1.1645535225806773</v>
      </c>
    </row>
    <row r="2125" spans="1:5" x14ac:dyDescent="0.25">
      <c r="A2125" s="17">
        <v>272</v>
      </c>
      <c r="B2125" s="31">
        <v>51089</v>
      </c>
      <c r="C2125" s="32">
        <f>INDEX('Input Data'!$B:$B,A2125)/2+IF(A2125&lt;&gt;A2126,100,0)</f>
        <v>2.1875</v>
      </c>
      <c r="D2125" s="33">
        <f>INDEX('ZCB Curve - Payment Dates'!$D$2:$D$246,MATCH(B2125,'ZCB Curve - Payment Dates'!$A$2:$A$246,0))</f>
        <v>0.51668806431098135</v>
      </c>
      <c r="E2125" s="32">
        <f t="shared" si="33"/>
        <v>1.1302551406802717</v>
      </c>
    </row>
    <row r="2126" spans="1:5" x14ac:dyDescent="0.25">
      <c r="A2126" s="17">
        <v>272</v>
      </c>
      <c r="B2126" s="31">
        <v>51271</v>
      </c>
      <c r="C2126" s="32">
        <f>INDEX('Input Data'!$B:$B,A2126)/2+IF(A2126&lt;&gt;A2127,100,0)</f>
        <v>2.1875</v>
      </c>
      <c r="D2126" s="33">
        <f>INDEX('ZCB Curve - Payment Dates'!$D$2:$D$246,MATCH(B2126,'ZCB Curve - Payment Dates'!$A$2:$A$246,0))</f>
        <v>0.50149590020417278</v>
      </c>
      <c r="E2126" s="32">
        <f t="shared" si="33"/>
        <v>1.097022281696628</v>
      </c>
    </row>
    <row r="2127" spans="1:5" x14ac:dyDescent="0.25">
      <c r="A2127" s="17">
        <v>272</v>
      </c>
      <c r="B2127" s="31">
        <v>51455</v>
      </c>
      <c r="C2127" s="32">
        <f>INDEX('Input Data'!$B:$B,A2127)/2+IF(A2127&lt;&gt;A2128,100,0)</f>
        <v>2.1875</v>
      </c>
      <c r="D2127" s="33">
        <f>INDEX('ZCB Curve - Payment Dates'!$D$2:$D$246,MATCH(B2127,'ZCB Curve - Payment Dates'!$A$2:$A$246,0))</f>
        <v>0.48647538074270091</v>
      </c>
      <c r="E2127" s="32">
        <f t="shared" si="33"/>
        <v>1.0641648953746583</v>
      </c>
    </row>
    <row r="2128" spans="1:5" x14ac:dyDescent="0.25">
      <c r="A2128" s="17">
        <v>272</v>
      </c>
      <c r="B2128" s="31">
        <v>51636</v>
      </c>
      <c r="C2128" s="32">
        <f>INDEX('Input Data'!$B:$B,A2128)/2+IF(A2128&lt;&gt;A2129,100,0)</f>
        <v>102.1875</v>
      </c>
      <c r="D2128" s="33">
        <f>INDEX('ZCB Curve - Payment Dates'!$D$2:$D$246,MATCH(B2128,'ZCB Curve - Payment Dates'!$A$2:$A$246,0))</f>
        <v>0.47204918703719451</v>
      </c>
      <c r="E2128" s="32">
        <f t="shared" si="33"/>
        <v>48.237526300363314</v>
      </c>
    </row>
    <row r="2129" spans="1:5" x14ac:dyDescent="0.25">
      <c r="A2129" s="17">
        <v>273</v>
      </c>
      <c r="B2129" s="31">
        <v>46433</v>
      </c>
      <c r="C2129" s="32">
        <f>INDEX('Input Data'!$B:$B,A2129)/2+IF(A2129&lt;&gt;A2130,100,0)</f>
        <v>0.875</v>
      </c>
      <c r="D2129" s="33">
        <f>INDEX('ZCB Curve - Payment Dates'!$D$2:$D$246,MATCH(B2129,'ZCB Curve - Payment Dates'!$A$2:$A$246,0))</f>
        <v>0.98242671792446301</v>
      </c>
      <c r="E2129" s="32">
        <f t="shared" si="33"/>
        <v>0.85962337818390511</v>
      </c>
    </row>
    <row r="2130" spans="1:5" x14ac:dyDescent="0.25">
      <c r="A2130" s="17">
        <v>273</v>
      </c>
      <c r="B2130" s="31">
        <v>46614</v>
      </c>
      <c r="C2130" s="32">
        <f>INDEX('Input Data'!$B:$B,A2130)/2+IF(A2130&lt;&gt;A2131,100,0)</f>
        <v>0.875</v>
      </c>
      <c r="D2130" s="33">
        <f>INDEX('ZCB Curve - Payment Dates'!$D$2:$D$246,MATCH(B2130,'ZCB Curve - Payment Dates'!$A$2:$A$246,0))</f>
        <v>0.96187948164765535</v>
      </c>
      <c r="E2130" s="32">
        <f t="shared" si="33"/>
        <v>0.84164454644169839</v>
      </c>
    </row>
    <row r="2131" spans="1:5" x14ac:dyDescent="0.25">
      <c r="A2131" s="17">
        <v>273</v>
      </c>
      <c r="B2131" s="31">
        <v>46798</v>
      </c>
      <c r="C2131" s="32">
        <f>INDEX('Input Data'!$B:$B,A2131)/2+IF(A2131&lt;&gt;A2132,100,0)</f>
        <v>0.875</v>
      </c>
      <c r="D2131" s="33">
        <f>INDEX('ZCB Curve - Payment Dates'!$D$2:$D$246,MATCH(B2131,'ZCB Curve - Payment Dates'!$A$2:$A$246,0))</f>
        <v>0.94049096132648802</v>
      </c>
      <c r="E2131" s="32">
        <f t="shared" si="33"/>
        <v>0.82292959116067699</v>
      </c>
    </row>
    <row r="2132" spans="1:5" x14ac:dyDescent="0.25">
      <c r="A2132" s="17">
        <v>273</v>
      </c>
      <c r="B2132" s="31">
        <v>46980</v>
      </c>
      <c r="C2132" s="32">
        <f>INDEX('Input Data'!$B:$B,A2132)/2+IF(A2132&lt;&gt;A2133,100,0)</f>
        <v>0.875</v>
      </c>
      <c r="D2132" s="33">
        <f>INDEX('ZCB Curve - Payment Dates'!$D$2:$D$246,MATCH(B2132,'ZCB Curve - Payment Dates'!$A$2:$A$246,0))</f>
        <v>0.91931844130238327</v>
      </c>
      <c r="E2132" s="32">
        <f t="shared" si="33"/>
        <v>0.80440363613958532</v>
      </c>
    </row>
    <row r="2133" spans="1:5" x14ac:dyDescent="0.25">
      <c r="A2133" s="17">
        <v>273</v>
      </c>
      <c r="B2133" s="31">
        <v>47164</v>
      </c>
      <c r="C2133" s="32">
        <f>INDEX('Input Data'!$B:$B,A2133)/2+IF(A2133&lt;&gt;A2134,100,0)</f>
        <v>0.875</v>
      </c>
      <c r="D2133" s="33">
        <f>INDEX('ZCB Curve - Payment Dates'!$D$2:$D$246,MATCH(B2133,'ZCB Curve - Payment Dates'!$A$2:$A$246,0))</f>
        <v>0.89817430058086534</v>
      </c>
      <c r="E2133" s="32">
        <f t="shared" si="33"/>
        <v>0.7859025130082572</v>
      </c>
    </row>
    <row r="2134" spans="1:5" x14ac:dyDescent="0.25">
      <c r="A2134" s="17">
        <v>273</v>
      </c>
      <c r="B2134" s="31">
        <v>47345</v>
      </c>
      <c r="C2134" s="32">
        <f>INDEX('Input Data'!$B:$B,A2134)/2+IF(A2134&lt;&gt;A2135,100,0)</f>
        <v>0.875</v>
      </c>
      <c r="D2134" s="33">
        <f>INDEX('ZCB Curve - Payment Dates'!$D$2:$D$246,MATCH(B2134,'ZCB Curve - Payment Dates'!$A$2:$A$246,0))</f>
        <v>0.87778421628860481</v>
      </c>
      <c r="E2134" s="32">
        <f t="shared" si="33"/>
        <v>0.7680611892525292</v>
      </c>
    </row>
    <row r="2135" spans="1:5" x14ac:dyDescent="0.25">
      <c r="A2135" s="17">
        <v>273</v>
      </c>
      <c r="B2135" s="31">
        <v>47529</v>
      </c>
      <c r="C2135" s="32">
        <f>INDEX('Input Data'!$B:$B,A2135)/2+IF(A2135&lt;&gt;A2136,100,0)</f>
        <v>0.875</v>
      </c>
      <c r="D2135" s="33">
        <f>INDEX('ZCB Curve - Payment Dates'!$D$2:$D$246,MATCH(B2135,'ZCB Curve - Payment Dates'!$A$2:$A$246,0))</f>
        <v>0.85751015570959666</v>
      </c>
      <c r="E2135" s="32">
        <f t="shared" si="33"/>
        <v>0.75032138624589706</v>
      </c>
    </row>
    <row r="2136" spans="1:5" x14ac:dyDescent="0.25">
      <c r="A2136" s="17">
        <v>273</v>
      </c>
      <c r="B2136" s="31">
        <v>47710</v>
      </c>
      <c r="C2136" s="32">
        <f>INDEX('Input Data'!$B:$B,A2136)/2+IF(A2136&lt;&gt;A2137,100,0)</f>
        <v>0.875</v>
      </c>
      <c r="D2136" s="33">
        <f>INDEX('ZCB Curve - Payment Dates'!$D$2:$D$246,MATCH(B2136,'ZCB Curve - Payment Dates'!$A$2:$A$246,0))</f>
        <v>0.83802423748211174</v>
      </c>
      <c r="E2136" s="32">
        <f t="shared" si="33"/>
        <v>0.73327120779684773</v>
      </c>
    </row>
    <row r="2137" spans="1:5" x14ac:dyDescent="0.25">
      <c r="A2137" s="17">
        <v>273</v>
      </c>
      <c r="B2137" s="31">
        <v>47894</v>
      </c>
      <c r="C2137" s="32">
        <f>INDEX('Input Data'!$B:$B,A2137)/2+IF(A2137&lt;&gt;A2138,100,0)</f>
        <v>0.875</v>
      </c>
      <c r="D2137" s="33">
        <f>INDEX('ZCB Curve - Payment Dates'!$D$2:$D$246,MATCH(B2137,'ZCB Curve - Payment Dates'!$A$2:$A$246,0))</f>
        <v>0.8186305474741673</v>
      </c>
      <c r="E2137" s="32">
        <f t="shared" si="33"/>
        <v>0.71630172903989642</v>
      </c>
    </row>
    <row r="2138" spans="1:5" x14ac:dyDescent="0.25">
      <c r="A2138" s="17">
        <v>273</v>
      </c>
      <c r="B2138" s="31">
        <v>48075</v>
      </c>
      <c r="C2138" s="32">
        <f>INDEX('Input Data'!$B:$B,A2138)/2+IF(A2138&lt;&gt;A2139,100,0)</f>
        <v>0.875</v>
      </c>
      <c r="D2138" s="33">
        <f>INDEX('ZCB Curve - Payment Dates'!$D$2:$D$246,MATCH(B2138,'ZCB Curve - Payment Dates'!$A$2:$A$246,0))</f>
        <v>0.7999252334775927</v>
      </c>
      <c r="E2138" s="32">
        <f t="shared" si="33"/>
        <v>0.6999345792928936</v>
      </c>
    </row>
    <row r="2139" spans="1:5" x14ac:dyDescent="0.25">
      <c r="A2139" s="17">
        <v>273</v>
      </c>
      <c r="B2139" s="31">
        <v>48259</v>
      </c>
      <c r="C2139" s="32">
        <f>INDEX('Input Data'!$B:$B,A2139)/2+IF(A2139&lt;&gt;A2140,100,0)</f>
        <v>0.875</v>
      </c>
      <c r="D2139" s="33">
        <f>INDEX('ZCB Curve - Payment Dates'!$D$2:$D$246,MATCH(B2139,'ZCB Curve - Payment Dates'!$A$2:$A$246,0))</f>
        <v>0.78121887027612602</v>
      </c>
      <c r="E2139" s="32">
        <f t="shared" si="33"/>
        <v>0.6835665114916103</v>
      </c>
    </row>
    <row r="2140" spans="1:5" x14ac:dyDescent="0.25">
      <c r="A2140" s="17">
        <v>273</v>
      </c>
      <c r="B2140" s="31">
        <v>48441</v>
      </c>
      <c r="C2140" s="32">
        <f>INDEX('Input Data'!$B:$B,A2140)/2+IF(A2140&lt;&gt;A2141,100,0)</f>
        <v>0.875</v>
      </c>
      <c r="D2140" s="33">
        <f>INDEX('ZCB Curve - Payment Dates'!$D$2:$D$246,MATCH(B2140,'ZCB Curve - Payment Dates'!$A$2:$A$246,0))</f>
        <v>0.76298123459017864</v>
      </c>
      <c r="E2140" s="32">
        <f t="shared" si="33"/>
        <v>0.66760858026640635</v>
      </c>
    </row>
    <row r="2141" spans="1:5" x14ac:dyDescent="0.25">
      <c r="A2141" s="17">
        <v>273</v>
      </c>
      <c r="B2141" s="31">
        <v>48625</v>
      </c>
      <c r="C2141" s="32">
        <f>INDEX('Input Data'!$B:$B,A2141)/2+IF(A2141&lt;&gt;A2142,100,0)</f>
        <v>0.875</v>
      </c>
      <c r="D2141" s="33">
        <f>INDEX('ZCB Curve - Payment Dates'!$D$2:$D$246,MATCH(B2141,'ZCB Curve - Payment Dates'!$A$2:$A$246,0))</f>
        <v>0.74476011611938586</v>
      </c>
      <c r="E2141" s="32">
        <f t="shared" si="33"/>
        <v>0.65166510160446267</v>
      </c>
    </row>
    <row r="2142" spans="1:5" x14ac:dyDescent="0.25">
      <c r="A2142" s="17">
        <v>273</v>
      </c>
      <c r="B2142" s="31">
        <v>48806</v>
      </c>
      <c r="C2142" s="32">
        <f>INDEX('Input Data'!$B:$B,A2142)/2+IF(A2142&lt;&gt;A2143,100,0)</f>
        <v>0.875</v>
      </c>
      <c r="D2142" s="33">
        <f>INDEX('ZCB Curve - Payment Dates'!$D$2:$D$246,MATCH(B2142,'ZCB Curve - Payment Dates'!$A$2:$A$246,0))</f>
        <v>0.72701302496114584</v>
      </c>
      <c r="E2142" s="32">
        <f t="shared" si="33"/>
        <v>0.63613639684100265</v>
      </c>
    </row>
    <row r="2143" spans="1:5" x14ac:dyDescent="0.25">
      <c r="A2143" s="17">
        <v>273</v>
      </c>
      <c r="B2143" s="31">
        <v>48990</v>
      </c>
      <c r="C2143" s="32">
        <f>INDEX('Input Data'!$B:$B,A2143)/2+IF(A2143&lt;&gt;A2144,100,0)</f>
        <v>0.875</v>
      </c>
      <c r="D2143" s="33">
        <f>INDEX('ZCB Curve - Payment Dates'!$D$2:$D$246,MATCH(B2143,'ZCB Curve - Payment Dates'!$A$2:$A$246,0))</f>
        <v>0.70912647031380449</v>
      </c>
      <c r="E2143" s="32">
        <f t="shared" si="33"/>
        <v>0.62048566152457896</v>
      </c>
    </row>
    <row r="2144" spans="1:5" x14ac:dyDescent="0.25">
      <c r="A2144" s="17">
        <v>273</v>
      </c>
      <c r="B2144" s="31">
        <v>49171</v>
      </c>
      <c r="C2144" s="32">
        <f>INDEX('Input Data'!$B:$B,A2144)/2+IF(A2144&lt;&gt;A2145,100,0)</f>
        <v>0.875</v>
      </c>
      <c r="D2144" s="33">
        <f>INDEX('ZCB Curve - Payment Dates'!$D$2:$D$246,MATCH(B2144,'ZCB Curve - Payment Dates'!$A$2:$A$246,0))</f>
        <v>0.6916661505723215</v>
      </c>
      <c r="E2144" s="32">
        <f t="shared" si="33"/>
        <v>0.60520788175078133</v>
      </c>
    </row>
    <row r="2145" spans="1:5" x14ac:dyDescent="0.25">
      <c r="A2145" s="17">
        <v>273</v>
      </c>
      <c r="B2145" s="31">
        <v>49355</v>
      </c>
      <c r="C2145" s="32">
        <f>INDEX('Input Data'!$B:$B,A2145)/2+IF(A2145&lt;&gt;A2146,100,0)</f>
        <v>0.875</v>
      </c>
      <c r="D2145" s="33">
        <f>INDEX('ZCB Curve - Payment Dates'!$D$2:$D$246,MATCH(B2145,'ZCB Curve - Payment Dates'!$A$2:$A$246,0))</f>
        <v>0.674047377898778</v>
      </c>
      <c r="E2145" s="32">
        <f t="shared" si="33"/>
        <v>0.58979145566143076</v>
      </c>
    </row>
    <row r="2146" spans="1:5" x14ac:dyDescent="0.25">
      <c r="A2146" s="17">
        <v>273</v>
      </c>
      <c r="B2146" s="31">
        <v>49536</v>
      </c>
      <c r="C2146" s="32">
        <f>INDEX('Input Data'!$B:$B,A2146)/2+IF(A2146&lt;&gt;A2147,100,0)</f>
        <v>0.875</v>
      </c>
      <c r="D2146" s="33">
        <f>INDEX('ZCB Curve - Payment Dates'!$D$2:$D$246,MATCH(B2146,'ZCB Curve - Payment Dates'!$A$2:$A$246,0))</f>
        <v>0.65684432300638129</v>
      </c>
      <c r="E2146" s="32">
        <f t="shared" si="33"/>
        <v>0.57473878263058364</v>
      </c>
    </row>
    <row r="2147" spans="1:5" x14ac:dyDescent="0.25">
      <c r="A2147" s="17">
        <v>273</v>
      </c>
      <c r="B2147" s="31">
        <v>49720</v>
      </c>
      <c r="C2147" s="32">
        <f>INDEX('Input Data'!$B:$B,A2147)/2+IF(A2147&lt;&gt;A2148,100,0)</f>
        <v>0.875</v>
      </c>
      <c r="D2147" s="33">
        <f>INDEX('ZCB Curve - Payment Dates'!$D$2:$D$246,MATCH(B2147,'ZCB Curve - Payment Dates'!$A$2:$A$246,0))</f>
        <v>0.63949604524993764</v>
      </c>
      <c r="E2147" s="32">
        <f t="shared" si="33"/>
        <v>0.55955903959369546</v>
      </c>
    </row>
    <row r="2148" spans="1:5" x14ac:dyDescent="0.25">
      <c r="A2148" s="17">
        <v>273</v>
      </c>
      <c r="B2148" s="31">
        <v>49902</v>
      </c>
      <c r="C2148" s="32">
        <f>INDEX('Input Data'!$B:$B,A2148)/2+IF(A2148&lt;&gt;A2149,100,0)</f>
        <v>0.875</v>
      </c>
      <c r="D2148" s="33">
        <f>INDEX('ZCB Curve - Payment Dates'!$D$2:$D$246,MATCH(B2148,'ZCB Curve - Payment Dates'!$A$2:$A$246,0))</f>
        <v>0.62248862376822711</v>
      </c>
      <c r="E2148" s="32">
        <f t="shared" si="33"/>
        <v>0.54467754579719874</v>
      </c>
    </row>
    <row r="2149" spans="1:5" x14ac:dyDescent="0.25">
      <c r="A2149" s="17">
        <v>273</v>
      </c>
      <c r="B2149" s="31">
        <v>50086</v>
      </c>
      <c r="C2149" s="32">
        <f>INDEX('Input Data'!$B:$B,A2149)/2+IF(A2149&lt;&gt;A2150,100,0)</f>
        <v>0.875</v>
      </c>
      <c r="D2149" s="33">
        <f>INDEX('ZCB Curve - Payment Dates'!$D$2:$D$246,MATCH(B2149,'ZCB Curve - Payment Dates'!$A$2:$A$246,0))</f>
        <v>0.60546490876014969</v>
      </c>
      <c r="E2149" s="32">
        <f t="shared" si="33"/>
        <v>0.52978179516513102</v>
      </c>
    </row>
    <row r="2150" spans="1:5" x14ac:dyDescent="0.25">
      <c r="A2150" s="17">
        <v>273</v>
      </c>
      <c r="B2150" s="31">
        <v>50267</v>
      </c>
      <c r="C2150" s="32">
        <f>INDEX('Input Data'!$B:$B,A2150)/2+IF(A2150&lt;&gt;A2151,100,0)</f>
        <v>0.875</v>
      </c>
      <c r="D2150" s="33">
        <f>INDEX('ZCB Curve - Payment Dates'!$D$2:$D$246,MATCH(B2150,'ZCB Curve - Payment Dates'!$A$2:$A$246,0))</f>
        <v>0.58890683803346977</v>
      </c>
      <c r="E2150" s="32">
        <f t="shared" si="33"/>
        <v>0.51529348327928604</v>
      </c>
    </row>
    <row r="2151" spans="1:5" x14ac:dyDescent="0.25">
      <c r="A2151" s="17">
        <v>273</v>
      </c>
      <c r="B2151" s="31">
        <v>50451</v>
      </c>
      <c r="C2151" s="32">
        <f>INDEX('Input Data'!$B:$B,A2151)/2+IF(A2151&lt;&gt;A2152,100,0)</f>
        <v>0.875</v>
      </c>
      <c r="D2151" s="33">
        <f>INDEX('ZCB Curve - Payment Dates'!$D$2:$D$246,MATCH(B2151,'ZCB Curve - Payment Dates'!$A$2:$A$246,0))</f>
        <v>0.57228983695479263</v>
      </c>
      <c r="E2151" s="32">
        <f t="shared" si="33"/>
        <v>0.5007536073354435</v>
      </c>
    </row>
    <row r="2152" spans="1:5" x14ac:dyDescent="0.25">
      <c r="A2152" s="17">
        <v>273</v>
      </c>
      <c r="B2152" s="31">
        <v>50632</v>
      </c>
      <c r="C2152" s="32">
        <f>INDEX('Input Data'!$B:$B,A2152)/2+IF(A2152&lt;&gt;A2153,100,0)</f>
        <v>0.875</v>
      </c>
      <c r="D2152" s="33">
        <f>INDEX('ZCB Curve - Payment Dates'!$D$2:$D$246,MATCH(B2152,'ZCB Curve - Payment Dates'!$A$2:$A$246,0))</f>
        <v>0.55617795699202288</v>
      </c>
      <c r="E2152" s="32">
        <f t="shared" si="33"/>
        <v>0.48665571236802002</v>
      </c>
    </row>
    <row r="2153" spans="1:5" x14ac:dyDescent="0.25">
      <c r="A2153" s="17">
        <v>273</v>
      </c>
      <c r="B2153" s="31">
        <v>50816</v>
      </c>
      <c r="C2153" s="32">
        <f>INDEX('Input Data'!$B:$B,A2153)/2+IF(A2153&lt;&gt;A2154,100,0)</f>
        <v>0.875</v>
      </c>
      <c r="D2153" s="33">
        <f>INDEX('ZCB Curve - Payment Dates'!$D$2:$D$246,MATCH(B2153,'ZCB Curve - Payment Dates'!$A$2:$A$246,0))</f>
        <v>0.54006240951211237</v>
      </c>
      <c r="E2153" s="32">
        <f t="shared" si="33"/>
        <v>0.47255460832309831</v>
      </c>
    </row>
    <row r="2154" spans="1:5" x14ac:dyDescent="0.25">
      <c r="A2154" s="17">
        <v>273</v>
      </c>
      <c r="B2154" s="31">
        <v>50997</v>
      </c>
      <c r="C2154" s="32">
        <f>INDEX('Input Data'!$B:$B,A2154)/2+IF(A2154&lt;&gt;A2155,100,0)</f>
        <v>0.875</v>
      </c>
      <c r="D2154" s="33">
        <f>INDEX('ZCB Curve - Payment Dates'!$D$2:$D$246,MATCH(B2154,'ZCB Curve - Payment Dates'!$A$2:$A$246,0))</f>
        <v>0.52449040173194583</v>
      </c>
      <c r="E2154" s="32">
        <f t="shared" si="33"/>
        <v>0.45892910151545263</v>
      </c>
    </row>
    <row r="2155" spans="1:5" x14ac:dyDescent="0.25">
      <c r="A2155" s="17">
        <v>273</v>
      </c>
      <c r="B2155" s="31">
        <v>51181</v>
      </c>
      <c r="C2155" s="32">
        <f>INDEX('Input Data'!$B:$B,A2155)/2+IF(A2155&lt;&gt;A2156,100,0)</f>
        <v>0.875</v>
      </c>
      <c r="D2155" s="33">
        <f>INDEX('ZCB Curve - Payment Dates'!$D$2:$D$246,MATCH(B2155,'ZCB Curve - Payment Dates'!$A$2:$A$246,0))</f>
        <v>0.5089691698468306</v>
      </c>
      <c r="E2155" s="32">
        <f t="shared" si="33"/>
        <v>0.44534802361597681</v>
      </c>
    </row>
    <row r="2156" spans="1:5" x14ac:dyDescent="0.25">
      <c r="A2156" s="17">
        <v>273</v>
      </c>
      <c r="B2156" s="31">
        <v>51363</v>
      </c>
      <c r="C2156" s="32">
        <f>INDEX('Input Data'!$B:$B,A2156)/2+IF(A2156&lt;&gt;A2157,100,0)</f>
        <v>0.875</v>
      </c>
      <c r="D2156" s="33">
        <f>INDEX('ZCB Curve - Payment Dates'!$D$2:$D$246,MATCH(B2156,'ZCB Curve - Payment Dates'!$A$2:$A$246,0))</f>
        <v>0.49394036022330806</v>
      </c>
      <c r="E2156" s="32">
        <f t="shared" si="33"/>
        <v>0.43219781519539457</v>
      </c>
    </row>
    <row r="2157" spans="1:5" x14ac:dyDescent="0.25">
      <c r="A2157" s="17">
        <v>273</v>
      </c>
      <c r="B2157" s="31">
        <v>51547</v>
      </c>
      <c r="C2157" s="32">
        <f>INDEX('Input Data'!$B:$B,A2157)/2+IF(A2157&lt;&gt;A2158,100,0)</f>
        <v>0.875</v>
      </c>
      <c r="D2157" s="33">
        <f>INDEX('ZCB Curve - Payment Dates'!$D$2:$D$246,MATCH(B2157,'ZCB Curve - Payment Dates'!$A$2:$A$246,0))</f>
        <v>0.47909718957588998</v>
      </c>
      <c r="E2157" s="32">
        <f t="shared" si="33"/>
        <v>0.41921004087890373</v>
      </c>
    </row>
    <row r="2158" spans="1:5" x14ac:dyDescent="0.25">
      <c r="A2158" s="17">
        <v>273</v>
      </c>
      <c r="B2158" s="31">
        <v>51728</v>
      </c>
      <c r="C2158" s="32">
        <f>INDEX('Input Data'!$B:$B,A2158)/2+IF(A2158&lt;&gt;A2159,100,0)</f>
        <v>100.875</v>
      </c>
      <c r="D2158" s="33">
        <f>INDEX('ZCB Curve - Payment Dates'!$D$2:$D$246,MATCH(B2158,'ZCB Curve - Payment Dates'!$A$2:$A$246,0))</f>
        <v>0.46485329459616059</v>
      </c>
      <c r="E2158" s="32">
        <f t="shared" si="33"/>
        <v>46.892076092387697</v>
      </c>
    </row>
    <row r="2159" spans="1:5" x14ac:dyDescent="0.25">
      <c r="A2159" s="17">
        <v>274</v>
      </c>
      <c r="B2159" s="31">
        <v>46433</v>
      </c>
      <c r="C2159" s="32">
        <f>INDEX('Input Data'!$B:$B,A2159)/2+IF(A2159&lt;&gt;A2160,100,0)</f>
        <v>1.875</v>
      </c>
      <c r="D2159" s="33">
        <f>INDEX('ZCB Curve - Payment Dates'!$D$2:$D$246,MATCH(B2159,'ZCB Curve - Payment Dates'!$A$2:$A$246,0))</f>
        <v>0.98242671792446301</v>
      </c>
      <c r="E2159" s="32">
        <f t="shared" si="33"/>
        <v>1.8420500961083681</v>
      </c>
    </row>
    <row r="2160" spans="1:5" x14ac:dyDescent="0.25">
      <c r="A2160" s="17">
        <v>274</v>
      </c>
      <c r="B2160" s="31">
        <v>46614</v>
      </c>
      <c r="C2160" s="32">
        <f>INDEX('Input Data'!$B:$B,A2160)/2+IF(A2160&lt;&gt;A2161,100,0)</f>
        <v>1.875</v>
      </c>
      <c r="D2160" s="33">
        <f>INDEX('ZCB Curve - Payment Dates'!$D$2:$D$246,MATCH(B2160,'ZCB Curve - Payment Dates'!$A$2:$A$246,0))</f>
        <v>0.96187948164765535</v>
      </c>
      <c r="E2160" s="32">
        <f t="shared" si="33"/>
        <v>1.8035240280893539</v>
      </c>
    </row>
    <row r="2161" spans="1:5" x14ac:dyDescent="0.25">
      <c r="A2161" s="17">
        <v>274</v>
      </c>
      <c r="B2161" s="31">
        <v>46798</v>
      </c>
      <c r="C2161" s="32">
        <f>INDEX('Input Data'!$B:$B,A2161)/2+IF(A2161&lt;&gt;A2162,100,0)</f>
        <v>1.875</v>
      </c>
      <c r="D2161" s="33">
        <f>INDEX('ZCB Curve - Payment Dates'!$D$2:$D$246,MATCH(B2161,'ZCB Curve - Payment Dates'!$A$2:$A$246,0))</f>
        <v>0.94049096132648802</v>
      </c>
      <c r="E2161" s="32">
        <f t="shared" si="33"/>
        <v>1.7634205524871651</v>
      </c>
    </row>
    <row r="2162" spans="1:5" x14ac:dyDescent="0.25">
      <c r="A2162" s="17">
        <v>274</v>
      </c>
      <c r="B2162" s="31">
        <v>46980</v>
      </c>
      <c r="C2162" s="32">
        <f>INDEX('Input Data'!$B:$B,A2162)/2+IF(A2162&lt;&gt;A2163,100,0)</f>
        <v>1.875</v>
      </c>
      <c r="D2162" s="33">
        <f>INDEX('ZCB Curve - Payment Dates'!$D$2:$D$246,MATCH(B2162,'ZCB Curve - Payment Dates'!$A$2:$A$246,0))</f>
        <v>0.91931844130238327</v>
      </c>
      <c r="E2162" s="32">
        <f t="shared" si="33"/>
        <v>1.7237220774419686</v>
      </c>
    </row>
    <row r="2163" spans="1:5" x14ac:dyDescent="0.25">
      <c r="A2163" s="17">
        <v>274</v>
      </c>
      <c r="B2163" s="31">
        <v>47164</v>
      </c>
      <c r="C2163" s="32">
        <f>INDEX('Input Data'!$B:$B,A2163)/2+IF(A2163&lt;&gt;A2164,100,0)</f>
        <v>1.875</v>
      </c>
      <c r="D2163" s="33">
        <f>INDEX('ZCB Curve - Payment Dates'!$D$2:$D$246,MATCH(B2163,'ZCB Curve - Payment Dates'!$A$2:$A$246,0))</f>
        <v>0.89817430058086534</v>
      </c>
      <c r="E2163" s="32">
        <f t="shared" si="33"/>
        <v>1.6840768135891224</v>
      </c>
    </row>
    <row r="2164" spans="1:5" x14ac:dyDescent="0.25">
      <c r="A2164" s="17">
        <v>274</v>
      </c>
      <c r="B2164" s="31">
        <v>47345</v>
      </c>
      <c r="C2164" s="32">
        <f>INDEX('Input Data'!$B:$B,A2164)/2+IF(A2164&lt;&gt;A2165,100,0)</f>
        <v>1.875</v>
      </c>
      <c r="D2164" s="33">
        <f>INDEX('ZCB Curve - Payment Dates'!$D$2:$D$246,MATCH(B2164,'ZCB Curve - Payment Dates'!$A$2:$A$246,0))</f>
        <v>0.87778421628860481</v>
      </c>
      <c r="E2164" s="32">
        <f t="shared" si="33"/>
        <v>1.645845405541134</v>
      </c>
    </row>
    <row r="2165" spans="1:5" x14ac:dyDescent="0.25">
      <c r="A2165" s="17">
        <v>274</v>
      </c>
      <c r="B2165" s="31">
        <v>47529</v>
      </c>
      <c r="C2165" s="32">
        <f>INDEX('Input Data'!$B:$B,A2165)/2+IF(A2165&lt;&gt;A2166,100,0)</f>
        <v>1.875</v>
      </c>
      <c r="D2165" s="33">
        <f>INDEX('ZCB Curve - Payment Dates'!$D$2:$D$246,MATCH(B2165,'ZCB Curve - Payment Dates'!$A$2:$A$246,0))</f>
        <v>0.85751015570959666</v>
      </c>
      <c r="E2165" s="32">
        <f t="shared" si="33"/>
        <v>1.6078315419554938</v>
      </c>
    </row>
    <row r="2166" spans="1:5" x14ac:dyDescent="0.25">
      <c r="A2166" s="17">
        <v>274</v>
      </c>
      <c r="B2166" s="31">
        <v>47710</v>
      </c>
      <c r="C2166" s="32">
        <f>INDEX('Input Data'!$B:$B,A2166)/2+IF(A2166&lt;&gt;A2167,100,0)</f>
        <v>1.875</v>
      </c>
      <c r="D2166" s="33">
        <f>INDEX('ZCB Curve - Payment Dates'!$D$2:$D$246,MATCH(B2166,'ZCB Curve - Payment Dates'!$A$2:$A$246,0))</f>
        <v>0.83802423748211174</v>
      </c>
      <c r="E2166" s="32">
        <f t="shared" si="33"/>
        <v>1.5712954452789596</v>
      </c>
    </row>
    <row r="2167" spans="1:5" x14ac:dyDescent="0.25">
      <c r="A2167" s="17">
        <v>274</v>
      </c>
      <c r="B2167" s="31">
        <v>47894</v>
      </c>
      <c r="C2167" s="32">
        <f>INDEX('Input Data'!$B:$B,A2167)/2+IF(A2167&lt;&gt;A2168,100,0)</f>
        <v>1.875</v>
      </c>
      <c r="D2167" s="33">
        <f>INDEX('ZCB Curve - Payment Dates'!$D$2:$D$246,MATCH(B2167,'ZCB Curve - Payment Dates'!$A$2:$A$246,0))</f>
        <v>0.8186305474741673</v>
      </c>
      <c r="E2167" s="32">
        <f t="shared" si="33"/>
        <v>1.5349322765140636</v>
      </c>
    </row>
    <row r="2168" spans="1:5" x14ac:dyDescent="0.25">
      <c r="A2168" s="17">
        <v>274</v>
      </c>
      <c r="B2168" s="31">
        <v>48075</v>
      </c>
      <c r="C2168" s="32">
        <f>INDEX('Input Data'!$B:$B,A2168)/2+IF(A2168&lt;&gt;A2169,100,0)</f>
        <v>1.875</v>
      </c>
      <c r="D2168" s="33">
        <f>INDEX('ZCB Curve - Payment Dates'!$D$2:$D$246,MATCH(B2168,'ZCB Curve - Payment Dates'!$A$2:$A$246,0))</f>
        <v>0.7999252334775927</v>
      </c>
      <c r="E2168" s="32">
        <f t="shared" si="33"/>
        <v>1.4998598127704863</v>
      </c>
    </row>
    <row r="2169" spans="1:5" x14ac:dyDescent="0.25">
      <c r="A2169" s="17">
        <v>274</v>
      </c>
      <c r="B2169" s="31">
        <v>48259</v>
      </c>
      <c r="C2169" s="32">
        <f>INDEX('Input Data'!$B:$B,A2169)/2+IF(A2169&lt;&gt;A2170,100,0)</f>
        <v>1.875</v>
      </c>
      <c r="D2169" s="33">
        <f>INDEX('ZCB Curve - Payment Dates'!$D$2:$D$246,MATCH(B2169,'ZCB Curve - Payment Dates'!$A$2:$A$246,0))</f>
        <v>0.78121887027612602</v>
      </c>
      <c r="E2169" s="32">
        <f t="shared" si="33"/>
        <v>1.4647853817677363</v>
      </c>
    </row>
    <row r="2170" spans="1:5" x14ac:dyDescent="0.25">
      <c r="A2170" s="17">
        <v>274</v>
      </c>
      <c r="B2170" s="31">
        <v>48441</v>
      </c>
      <c r="C2170" s="32">
        <f>INDEX('Input Data'!$B:$B,A2170)/2+IF(A2170&lt;&gt;A2171,100,0)</f>
        <v>1.875</v>
      </c>
      <c r="D2170" s="33">
        <f>INDEX('ZCB Curve - Payment Dates'!$D$2:$D$246,MATCH(B2170,'ZCB Curve - Payment Dates'!$A$2:$A$246,0))</f>
        <v>0.76298123459017864</v>
      </c>
      <c r="E2170" s="32">
        <f t="shared" si="33"/>
        <v>1.430589814856585</v>
      </c>
    </row>
    <row r="2171" spans="1:5" x14ac:dyDescent="0.25">
      <c r="A2171" s="17">
        <v>274</v>
      </c>
      <c r="B2171" s="31">
        <v>48625</v>
      </c>
      <c r="C2171" s="32">
        <f>INDEX('Input Data'!$B:$B,A2171)/2+IF(A2171&lt;&gt;A2172,100,0)</f>
        <v>1.875</v>
      </c>
      <c r="D2171" s="33">
        <f>INDEX('ZCB Curve - Payment Dates'!$D$2:$D$246,MATCH(B2171,'ZCB Curve - Payment Dates'!$A$2:$A$246,0))</f>
        <v>0.74476011611938586</v>
      </c>
      <c r="E2171" s="32">
        <f t="shared" si="33"/>
        <v>1.3964252177238485</v>
      </c>
    </row>
    <row r="2172" spans="1:5" x14ac:dyDescent="0.25">
      <c r="A2172" s="17">
        <v>274</v>
      </c>
      <c r="B2172" s="31">
        <v>48806</v>
      </c>
      <c r="C2172" s="32">
        <f>INDEX('Input Data'!$B:$B,A2172)/2+IF(A2172&lt;&gt;A2173,100,0)</f>
        <v>1.875</v>
      </c>
      <c r="D2172" s="33">
        <f>INDEX('ZCB Curve - Payment Dates'!$D$2:$D$246,MATCH(B2172,'ZCB Curve - Payment Dates'!$A$2:$A$246,0))</f>
        <v>0.72701302496114584</v>
      </c>
      <c r="E2172" s="32">
        <f t="shared" si="33"/>
        <v>1.3631494218021485</v>
      </c>
    </row>
    <row r="2173" spans="1:5" x14ac:dyDescent="0.25">
      <c r="A2173" s="17">
        <v>274</v>
      </c>
      <c r="B2173" s="31">
        <v>48990</v>
      </c>
      <c r="C2173" s="32">
        <f>INDEX('Input Data'!$B:$B,A2173)/2+IF(A2173&lt;&gt;A2174,100,0)</f>
        <v>1.875</v>
      </c>
      <c r="D2173" s="33">
        <f>INDEX('ZCB Curve - Payment Dates'!$D$2:$D$246,MATCH(B2173,'ZCB Curve - Payment Dates'!$A$2:$A$246,0))</f>
        <v>0.70912647031380449</v>
      </c>
      <c r="E2173" s="32">
        <f t="shared" si="33"/>
        <v>1.3296121318383833</v>
      </c>
    </row>
    <row r="2174" spans="1:5" x14ac:dyDescent="0.25">
      <c r="A2174" s="17">
        <v>274</v>
      </c>
      <c r="B2174" s="31">
        <v>49171</v>
      </c>
      <c r="C2174" s="32">
        <f>INDEX('Input Data'!$B:$B,A2174)/2+IF(A2174&lt;&gt;A2175,100,0)</f>
        <v>1.875</v>
      </c>
      <c r="D2174" s="33">
        <f>INDEX('ZCB Curve - Payment Dates'!$D$2:$D$246,MATCH(B2174,'ZCB Curve - Payment Dates'!$A$2:$A$246,0))</f>
        <v>0.6916661505723215</v>
      </c>
      <c r="E2174" s="32">
        <f t="shared" si="33"/>
        <v>1.2968740323231027</v>
      </c>
    </row>
    <row r="2175" spans="1:5" x14ac:dyDescent="0.25">
      <c r="A2175" s="17">
        <v>274</v>
      </c>
      <c r="B2175" s="31">
        <v>49355</v>
      </c>
      <c r="C2175" s="32">
        <f>INDEX('Input Data'!$B:$B,A2175)/2+IF(A2175&lt;&gt;A2176,100,0)</f>
        <v>1.875</v>
      </c>
      <c r="D2175" s="33">
        <f>INDEX('ZCB Curve - Payment Dates'!$D$2:$D$246,MATCH(B2175,'ZCB Curve - Payment Dates'!$A$2:$A$246,0))</f>
        <v>0.674047377898778</v>
      </c>
      <c r="E2175" s="32">
        <f t="shared" si="33"/>
        <v>1.2638388335602087</v>
      </c>
    </row>
    <row r="2176" spans="1:5" x14ac:dyDescent="0.25">
      <c r="A2176" s="17">
        <v>274</v>
      </c>
      <c r="B2176" s="31">
        <v>49536</v>
      </c>
      <c r="C2176" s="32">
        <f>INDEX('Input Data'!$B:$B,A2176)/2+IF(A2176&lt;&gt;A2177,100,0)</f>
        <v>1.875</v>
      </c>
      <c r="D2176" s="33">
        <f>INDEX('ZCB Curve - Payment Dates'!$D$2:$D$246,MATCH(B2176,'ZCB Curve - Payment Dates'!$A$2:$A$246,0))</f>
        <v>0.65684432300638129</v>
      </c>
      <c r="E2176" s="32">
        <f t="shared" si="33"/>
        <v>1.2315831056369648</v>
      </c>
    </row>
    <row r="2177" spans="1:5" x14ac:dyDescent="0.25">
      <c r="A2177" s="17">
        <v>274</v>
      </c>
      <c r="B2177" s="31">
        <v>49720</v>
      </c>
      <c r="C2177" s="32">
        <f>INDEX('Input Data'!$B:$B,A2177)/2+IF(A2177&lt;&gt;A2178,100,0)</f>
        <v>1.875</v>
      </c>
      <c r="D2177" s="33">
        <f>INDEX('ZCB Curve - Payment Dates'!$D$2:$D$246,MATCH(B2177,'ZCB Curve - Payment Dates'!$A$2:$A$246,0))</f>
        <v>0.63949604524993764</v>
      </c>
      <c r="E2177" s="32">
        <f t="shared" si="33"/>
        <v>1.199055084843633</v>
      </c>
    </row>
    <row r="2178" spans="1:5" x14ac:dyDescent="0.25">
      <c r="A2178" s="17">
        <v>274</v>
      </c>
      <c r="B2178" s="31">
        <v>49902</v>
      </c>
      <c r="C2178" s="32">
        <f>INDEX('Input Data'!$B:$B,A2178)/2+IF(A2178&lt;&gt;A2179,100,0)</f>
        <v>1.875</v>
      </c>
      <c r="D2178" s="33">
        <f>INDEX('ZCB Curve - Payment Dates'!$D$2:$D$246,MATCH(B2178,'ZCB Curve - Payment Dates'!$A$2:$A$246,0))</f>
        <v>0.62248862376822711</v>
      </c>
      <c r="E2178" s="32">
        <f t="shared" ref="E2178:E2241" si="34">C2178*D2178</f>
        <v>1.1671661695654258</v>
      </c>
    </row>
    <row r="2179" spans="1:5" x14ac:dyDescent="0.25">
      <c r="A2179" s="17">
        <v>274</v>
      </c>
      <c r="B2179" s="31">
        <v>50086</v>
      </c>
      <c r="C2179" s="32">
        <f>INDEX('Input Data'!$B:$B,A2179)/2+IF(A2179&lt;&gt;A2180,100,0)</f>
        <v>1.875</v>
      </c>
      <c r="D2179" s="33">
        <f>INDEX('ZCB Curve - Payment Dates'!$D$2:$D$246,MATCH(B2179,'ZCB Curve - Payment Dates'!$A$2:$A$246,0))</f>
        <v>0.60546490876014969</v>
      </c>
      <c r="E2179" s="32">
        <f t="shared" si="34"/>
        <v>1.1352467039252807</v>
      </c>
    </row>
    <row r="2180" spans="1:5" x14ac:dyDescent="0.25">
      <c r="A2180" s="17">
        <v>274</v>
      </c>
      <c r="B2180" s="31">
        <v>50267</v>
      </c>
      <c r="C2180" s="32">
        <f>INDEX('Input Data'!$B:$B,A2180)/2+IF(A2180&lt;&gt;A2181,100,0)</f>
        <v>1.875</v>
      </c>
      <c r="D2180" s="33">
        <f>INDEX('ZCB Curve - Payment Dates'!$D$2:$D$246,MATCH(B2180,'ZCB Curve - Payment Dates'!$A$2:$A$246,0))</f>
        <v>0.58890683803346977</v>
      </c>
      <c r="E2180" s="32">
        <f t="shared" si="34"/>
        <v>1.1042003213127558</v>
      </c>
    </row>
    <row r="2181" spans="1:5" x14ac:dyDescent="0.25">
      <c r="A2181" s="17">
        <v>274</v>
      </c>
      <c r="B2181" s="31">
        <v>50451</v>
      </c>
      <c r="C2181" s="32">
        <f>INDEX('Input Data'!$B:$B,A2181)/2+IF(A2181&lt;&gt;A2182,100,0)</f>
        <v>1.875</v>
      </c>
      <c r="D2181" s="33">
        <f>INDEX('ZCB Curve - Payment Dates'!$D$2:$D$246,MATCH(B2181,'ZCB Curve - Payment Dates'!$A$2:$A$246,0))</f>
        <v>0.57228983695479263</v>
      </c>
      <c r="E2181" s="32">
        <f t="shared" si="34"/>
        <v>1.0730434442902361</v>
      </c>
    </row>
    <row r="2182" spans="1:5" x14ac:dyDescent="0.25">
      <c r="A2182" s="17">
        <v>274</v>
      </c>
      <c r="B2182" s="31">
        <v>50632</v>
      </c>
      <c r="C2182" s="32">
        <f>INDEX('Input Data'!$B:$B,A2182)/2+IF(A2182&lt;&gt;A2183,100,0)</f>
        <v>1.875</v>
      </c>
      <c r="D2182" s="33">
        <f>INDEX('ZCB Curve - Payment Dates'!$D$2:$D$246,MATCH(B2182,'ZCB Curve - Payment Dates'!$A$2:$A$246,0))</f>
        <v>0.55617795699202288</v>
      </c>
      <c r="E2182" s="32">
        <f t="shared" si="34"/>
        <v>1.0428336693600428</v>
      </c>
    </row>
    <row r="2183" spans="1:5" x14ac:dyDescent="0.25">
      <c r="A2183" s="17">
        <v>274</v>
      </c>
      <c r="B2183" s="31">
        <v>50816</v>
      </c>
      <c r="C2183" s="32">
        <f>INDEX('Input Data'!$B:$B,A2183)/2+IF(A2183&lt;&gt;A2184,100,0)</f>
        <v>1.875</v>
      </c>
      <c r="D2183" s="33">
        <f>INDEX('ZCB Curve - Payment Dates'!$D$2:$D$246,MATCH(B2183,'ZCB Curve - Payment Dates'!$A$2:$A$246,0))</f>
        <v>0.54006240951211237</v>
      </c>
      <c r="E2183" s="32">
        <f t="shared" si="34"/>
        <v>1.0126170178352107</v>
      </c>
    </row>
    <row r="2184" spans="1:5" x14ac:dyDescent="0.25">
      <c r="A2184" s="17">
        <v>274</v>
      </c>
      <c r="B2184" s="31">
        <v>50997</v>
      </c>
      <c r="C2184" s="32">
        <f>INDEX('Input Data'!$B:$B,A2184)/2+IF(A2184&lt;&gt;A2185,100,0)</f>
        <v>1.875</v>
      </c>
      <c r="D2184" s="33">
        <f>INDEX('ZCB Curve - Payment Dates'!$D$2:$D$246,MATCH(B2184,'ZCB Curve - Payment Dates'!$A$2:$A$246,0))</f>
        <v>0.52449040173194583</v>
      </c>
      <c r="E2184" s="32">
        <f t="shared" si="34"/>
        <v>0.98341950324739846</v>
      </c>
    </row>
    <row r="2185" spans="1:5" x14ac:dyDescent="0.25">
      <c r="A2185" s="17">
        <v>274</v>
      </c>
      <c r="B2185" s="31">
        <v>51181</v>
      </c>
      <c r="C2185" s="32">
        <f>INDEX('Input Data'!$B:$B,A2185)/2+IF(A2185&lt;&gt;A2186,100,0)</f>
        <v>1.875</v>
      </c>
      <c r="D2185" s="33">
        <f>INDEX('ZCB Curve - Payment Dates'!$D$2:$D$246,MATCH(B2185,'ZCB Curve - Payment Dates'!$A$2:$A$246,0))</f>
        <v>0.5089691698468306</v>
      </c>
      <c r="E2185" s="32">
        <f t="shared" si="34"/>
        <v>0.95431719346280741</v>
      </c>
    </row>
    <row r="2186" spans="1:5" x14ac:dyDescent="0.25">
      <c r="A2186" s="17">
        <v>274</v>
      </c>
      <c r="B2186" s="31">
        <v>51363</v>
      </c>
      <c r="C2186" s="32">
        <f>INDEX('Input Data'!$B:$B,A2186)/2+IF(A2186&lt;&gt;A2187,100,0)</f>
        <v>1.875</v>
      </c>
      <c r="D2186" s="33">
        <f>INDEX('ZCB Curve - Payment Dates'!$D$2:$D$246,MATCH(B2186,'ZCB Curve - Payment Dates'!$A$2:$A$246,0))</f>
        <v>0.49394036022330806</v>
      </c>
      <c r="E2186" s="32">
        <f t="shared" si="34"/>
        <v>0.92613817541870258</v>
      </c>
    </row>
    <row r="2187" spans="1:5" x14ac:dyDescent="0.25">
      <c r="A2187" s="17">
        <v>274</v>
      </c>
      <c r="B2187" s="31">
        <v>51547</v>
      </c>
      <c r="C2187" s="32">
        <f>INDEX('Input Data'!$B:$B,A2187)/2+IF(A2187&lt;&gt;A2188,100,0)</f>
        <v>1.875</v>
      </c>
      <c r="D2187" s="33">
        <f>INDEX('ZCB Curve - Payment Dates'!$D$2:$D$246,MATCH(B2187,'ZCB Curve - Payment Dates'!$A$2:$A$246,0))</f>
        <v>0.47909718957588998</v>
      </c>
      <c r="E2187" s="32">
        <f t="shared" si="34"/>
        <v>0.89830723045479366</v>
      </c>
    </row>
    <row r="2188" spans="1:5" x14ac:dyDescent="0.25">
      <c r="A2188" s="17">
        <v>274</v>
      </c>
      <c r="B2188" s="31">
        <v>51728</v>
      </c>
      <c r="C2188" s="32">
        <f>INDEX('Input Data'!$B:$B,A2188)/2+IF(A2188&lt;&gt;A2189,100,0)</f>
        <v>101.875</v>
      </c>
      <c r="D2188" s="33">
        <f>INDEX('ZCB Curve - Payment Dates'!$D$2:$D$246,MATCH(B2188,'ZCB Curve - Payment Dates'!$A$2:$A$246,0))</f>
        <v>0.46485329459616059</v>
      </c>
      <c r="E2188" s="32">
        <f t="shared" si="34"/>
        <v>47.356929386983857</v>
      </c>
    </row>
    <row r="2189" spans="1:5" x14ac:dyDescent="0.25">
      <c r="A2189" s="17">
        <v>275</v>
      </c>
      <c r="B2189" s="31">
        <v>46341</v>
      </c>
      <c r="C2189" s="32">
        <f>INDEX('Input Data'!$B:$B,A2189)/2+IF(A2189&lt;&gt;A2190,100,0)</f>
        <v>1.5625</v>
      </c>
      <c r="D2189" s="33">
        <f>INDEX('ZCB Curve - Payment Dates'!$D$2:$D$246,MATCH(B2189,'ZCB Curve - Payment Dates'!$A$2:$A$246,0))</f>
        <v>0.99245367292309439</v>
      </c>
      <c r="E2189" s="32">
        <f t="shared" si="34"/>
        <v>1.550708863942335</v>
      </c>
    </row>
    <row r="2190" spans="1:5" x14ac:dyDescent="0.25">
      <c r="A2190" s="17">
        <v>275</v>
      </c>
      <c r="B2190" s="31">
        <v>46522</v>
      </c>
      <c r="C2190" s="32">
        <f>INDEX('Input Data'!$B:$B,A2190)/2+IF(A2190&lt;&gt;A2191,100,0)</f>
        <v>1.5625</v>
      </c>
      <c r="D2190" s="33">
        <f>INDEX('ZCB Curve - Payment Dates'!$D$2:$D$246,MATCH(B2190,'ZCB Curve - Payment Dates'!$A$2:$A$246,0))</f>
        <v>0.97242179559611874</v>
      </c>
      <c r="E2190" s="32">
        <f t="shared" si="34"/>
        <v>1.5194090556189355</v>
      </c>
    </row>
    <row r="2191" spans="1:5" x14ac:dyDescent="0.25">
      <c r="A2191" s="17">
        <v>275</v>
      </c>
      <c r="B2191" s="31">
        <v>46706</v>
      </c>
      <c r="C2191" s="32">
        <f>INDEX('Input Data'!$B:$B,A2191)/2+IF(A2191&lt;&gt;A2192,100,0)</f>
        <v>1.5625</v>
      </c>
      <c r="D2191" s="33">
        <f>INDEX('ZCB Curve - Payment Dates'!$D$2:$D$246,MATCH(B2191,'ZCB Curve - Payment Dates'!$A$2:$A$246,0))</f>
        <v>0.95121018311627348</v>
      </c>
      <c r="E2191" s="32">
        <f t="shared" si="34"/>
        <v>1.4862659111191774</v>
      </c>
    </row>
    <row r="2192" spans="1:5" x14ac:dyDescent="0.25">
      <c r="A2192" s="17">
        <v>275</v>
      </c>
      <c r="B2192" s="31">
        <v>46888</v>
      </c>
      <c r="C2192" s="32">
        <f>INDEX('Input Data'!$B:$B,A2192)/2+IF(A2192&lt;&gt;A2193,100,0)</f>
        <v>1.5625</v>
      </c>
      <c r="D2192" s="33">
        <f>INDEX('ZCB Curve - Payment Dates'!$D$2:$D$246,MATCH(B2192,'ZCB Curve - Payment Dates'!$A$2:$A$246,0))</f>
        <v>0.93000025435083566</v>
      </c>
      <c r="E2192" s="32">
        <f t="shared" si="34"/>
        <v>1.4531253974231808</v>
      </c>
    </row>
    <row r="2193" spans="1:5" x14ac:dyDescent="0.25">
      <c r="A2193" s="17">
        <v>275</v>
      </c>
      <c r="B2193" s="31">
        <v>47072</v>
      </c>
      <c r="C2193" s="32">
        <f>INDEX('Input Data'!$B:$B,A2193)/2+IF(A2193&lt;&gt;A2194,100,0)</f>
        <v>1.5625</v>
      </c>
      <c r="D2193" s="33">
        <f>INDEX('ZCB Curve - Payment Dates'!$D$2:$D$246,MATCH(B2193,'ZCB Curve - Payment Dates'!$A$2:$A$246,0))</f>
        <v>0.90870125167038918</v>
      </c>
      <c r="E2193" s="32">
        <f t="shared" si="34"/>
        <v>1.4198457057349831</v>
      </c>
    </row>
    <row r="2194" spans="1:5" x14ac:dyDescent="0.25">
      <c r="A2194" s="17">
        <v>275</v>
      </c>
      <c r="B2194" s="31">
        <v>47253</v>
      </c>
      <c r="C2194" s="32">
        <f>INDEX('Input Data'!$B:$B,A2194)/2+IF(A2194&lt;&gt;A2195,100,0)</f>
        <v>1.5625</v>
      </c>
      <c r="D2194" s="33">
        <f>INDEX('ZCB Curve - Payment Dates'!$D$2:$D$246,MATCH(B2194,'ZCB Curve - Payment Dates'!$A$2:$A$246,0))</f>
        <v>0.88809325063638844</v>
      </c>
      <c r="E2194" s="32">
        <f t="shared" si="34"/>
        <v>1.3876457041193568</v>
      </c>
    </row>
    <row r="2195" spans="1:5" x14ac:dyDescent="0.25">
      <c r="A2195" s="17">
        <v>275</v>
      </c>
      <c r="B2195" s="31">
        <v>47437</v>
      </c>
      <c r="C2195" s="32">
        <f>INDEX('Input Data'!$B:$B,A2195)/2+IF(A2195&lt;&gt;A2196,100,0)</f>
        <v>1.5625</v>
      </c>
      <c r="D2195" s="33">
        <f>INDEX('ZCB Curve - Payment Dates'!$D$2:$D$246,MATCH(B2195,'ZCB Curve - Payment Dates'!$A$2:$A$246,0))</f>
        <v>0.86758824089536279</v>
      </c>
      <c r="E2195" s="32">
        <f t="shared" si="34"/>
        <v>1.3556066263990043</v>
      </c>
    </row>
    <row r="2196" spans="1:5" x14ac:dyDescent="0.25">
      <c r="A2196" s="17">
        <v>275</v>
      </c>
      <c r="B2196" s="31">
        <v>47618</v>
      </c>
      <c r="C2196" s="32">
        <f>INDEX('Input Data'!$B:$B,A2196)/2+IF(A2196&lt;&gt;A2197,100,0)</f>
        <v>1.5625</v>
      </c>
      <c r="D2196" s="33">
        <f>INDEX('ZCB Curve - Payment Dates'!$D$2:$D$246,MATCH(B2196,'ZCB Curve - Payment Dates'!$A$2:$A$246,0))</f>
        <v>0.84787416911783064</v>
      </c>
      <c r="E2196" s="32">
        <f t="shared" si="34"/>
        <v>1.3248033892466105</v>
      </c>
    </row>
    <row r="2197" spans="1:5" x14ac:dyDescent="0.25">
      <c r="A2197" s="17">
        <v>275</v>
      </c>
      <c r="B2197" s="31">
        <v>47802</v>
      </c>
      <c r="C2197" s="32">
        <f>INDEX('Input Data'!$B:$B,A2197)/2+IF(A2197&lt;&gt;A2198,100,0)</f>
        <v>1.5625</v>
      </c>
      <c r="D2197" s="33">
        <f>INDEX('ZCB Curve - Payment Dates'!$D$2:$D$246,MATCH(B2197,'ZCB Curve - Payment Dates'!$A$2:$A$246,0))</f>
        <v>0.82827715028796722</v>
      </c>
      <c r="E2197" s="32">
        <f t="shared" si="34"/>
        <v>1.2941830473249487</v>
      </c>
    </row>
    <row r="2198" spans="1:5" x14ac:dyDescent="0.25">
      <c r="A2198" s="17">
        <v>275</v>
      </c>
      <c r="B2198" s="31">
        <v>47983</v>
      </c>
      <c r="C2198" s="32">
        <f>INDEX('Input Data'!$B:$B,A2198)/2+IF(A2198&lt;&gt;A2199,100,0)</f>
        <v>1.5625</v>
      </c>
      <c r="D2198" s="33">
        <f>INDEX('ZCB Curve - Payment Dates'!$D$2:$D$246,MATCH(B2198,'ZCB Curve - Payment Dates'!$A$2:$A$246,0))</f>
        <v>0.80939067484273564</v>
      </c>
      <c r="E2198" s="32">
        <f t="shared" si="34"/>
        <v>1.2646729294417745</v>
      </c>
    </row>
    <row r="2199" spans="1:5" x14ac:dyDescent="0.25">
      <c r="A2199" s="17">
        <v>275</v>
      </c>
      <c r="B2199" s="31">
        <v>48167</v>
      </c>
      <c r="C2199" s="32">
        <f>INDEX('Input Data'!$B:$B,A2199)/2+IF(A2199&lt;&gt;A2200,100,0)</f>
        <v>1.5625</v>
      </c>
      <c r="D2199" s="33">
        <f>INDEX('ZCB Curve - Payment Dates'!$D$2:$D$246,MATCH(B2199,'ZCB Curve - Payment Dates'!$A$2:$A$246,0))</f>
        <v>0.79053567842581962</v>
      </c>
      <c r="E2199" s="32">
        <f t="shared" si="34"/>
        <v>1.2352119975403431</v>
      </c>
    </row>
    <row r="2200" spans="1:5" x14ac:dyDescent="0.25">
      <c r="A2200" s="17">
        <v>275</v>
      </c>
      <c r="B2200" s="31">
        <v>48349</v>
      </c>
      <c r="C2200" s="32">
        <f>INDEX('Input Data'!$B:$B,A2200)/2+IF(A2200&lt;&gt;A2201,100,0)</f>
        <v>1.5625</v>
      </c>
      <c r="D2200" s="33">
        <f>INDEX('ZCB Curve - Payment Dates'!$D$2:$D$246,MATCH(B2200,'ZCB Curve - Payment Dates'!$A$2:$A$246,0))</f>
        <v>0.77217305702007488</v>
      </c>
      <c r="E2200" s="32">
        <f t="shared" si="34"/>
        <v>1.2065204015938671</v>
      </c>
    </row>
    <row r="2201" spans="1:5" x14ac:dyDescent="0.25">
      <c r="A2201" s="17">
        <v>275</v>
      </c>
      <c r="B2201" s="31">
        <v>48533</v>
      </c>
      <c r="C2201" s="32">
        <f>INDEX('Input Data'!$B:$B,A2201)/2+IF(A2201&lt;&gt;A2202,100,0)</f>
        <v>1.5625</v>
      </c>
      <c r="D2201" s="33">
        <f>INDEX('ZCB Curve - Payment Dates'!$D$2:$D$246,MATCH(B2201,'ZCB Curve - Payment Dates'!$A$2:$A$246,0))</f>
        <v>0.75384766072076514</v>
      </c>
      <c r="E2201" s="32">
        <f t="shared" si="34"/>
        <v>1.1778869698761956</v>
      </c>
    </row>
    <row r="2202" spans="1:5" x14ac:dyDescent="0.25">
      <c r="A2202" s="17">
        <v>275</v>
      </c>
      <c r="B2202" s="31">
        <v>48714</v>
      </c>
      <c r="C2202" s="32">
        <f>INDEX('Input Data'!$B:$B,A2202)/2+IF(A2202&lt;&gt;A2203,100,0)</f>
        <v>1.5625</v>
      </c>
      <c r="D2202" s="33">
        <f>INDEX('ZCB Curve - Payment Dates'!$D$2:$D$246,MATCH(B2202,'ZCB Curve - Payment Dates'!$A$2:$A$246,0))</f>
        <v>0.73601491848746747</v>
      </c>
      <c r="E2202" s="32">
        <f t="shared" si="34"/>
        <v>1.1500233101366679</v>
      </c>
    </row>
    <row r="2203" spans="1:5" x14ac:dyDescent="0.25">
      <c r="A2203" s="17">
        <v>275</v>
      </c>
      <c r="B2203" s="31">
        <v>48898</v>
      </c>
      <c r="C2203" s="32">
        <f>INDEX('Input Data'!$B:$B,A2203)/2+IF(A2203&lt;&gt;A2204,100,0)</f>
        <v>1.5625</v>
      </c>
      <c r="D2203" s="33">
        <f>INDEX('ZCB Curve - Payment Dates'!$D$2:$D$246,MATCH(B2203,'ZCB Curve - Payment Dates'!$A$2:$A$246,0))</f>
        <v>0.71805338140354003</v>
      </c>
      <c r="E2203" s="32">
        <f t="shared" si="34"/>
        <v>1.1219584084430312</v>
      </c>
    </row>
    <row r="2204" spans="1:5" x14ac:dyDescent="0.25">
      <c r="A2204" s="17">
        <v>275</v>
      </c>
      <c r="B2204" s="31">
        <v>49079</v>
      </c>
      <c r="C2204" s="32">
        <f>INDEX('Input Data'!$B:$B,A2204)/2+IF(A2204&lt;&gt;A2205,100,0)</f>
        <v>1.5625</v>
      </c>
      <c r="D2204" s="33">
        <f>INDEX('ZCB Curve - Payment Dates'!$D$2:$D$246,MATCH(B2204,'ZCB Curve - Payment Dates'!$A$2:$A$246,0))</f>
        <v>0.70052630492471468</v>
      </c>
      <c r="E2204" s="32">
        <f t="shared" si="34"/>
        <v>1.0945723514448666</v>
      </c>
    </row>
    <row r="2205" spans="1:5" x14ac:dyDescent="0.25">
      <c r="A2205" s="17">
        <v>275</v>
      </c>
      <c r="B2205" s="31">
        <v>49263</v>
      </c>
      <c r="C2205" s="32">
        <f>INDEX('Input Data'!$B:$B,A2205)/2+IF(A2205&lt;&gt;A2206,100,0)</f>
        <v>1.5625</v>
      </c>
      <c r="D2205" s="33">
        <f>INDEX('ZCB Curve - Payment Dates'!$D$2:$D$246,MATCH(B2205,'ZCB Curve - Payment Dates'!$A$2:$A$246,0))</f>
        <v>0.68284221202539863</v>
      </c>
      <c r="E2205" s="32">
        <f t="shared" si="34"/>
        <v>1.0669409562896854</v>
      </c>
    </row>
    <row r="2206" spans="1:5" x14ac:dyDescent="0.25">
      <c r="A2206" s="17">
        <v>275</v>
      </c>
      <c r="B2206" s="31">
        <v>49444</v>
      </c>
      <c r="C2206" s="32">
        <f>INDEX('Input Data'!$B:$B,A2206)/2+IF(A2206&lt;&gt;A2207,100,0)</f>
        <v>1.5625</v>
      </c>
      <c r="D2206" s="33">
        <f>INDEX('ZCB Curve - Payment Dates'!$D$2:$D$246,MATCH(B2206,'ZCB Curve - Payment Dates'!$A$2:$A$246,0))</f>
        <v>0.66557347415228496</v>
      </c>
      <c r="E2206" s="32">
        <f t="shared" si="34"/>
        <v>1.0399585533629452</v>
      </c>
    </row>
    <row r="2207" spans="1:5" x14ac:dyDescent="0.25">
      <c r="A2207" s="17">
        <v>275</v>
      </c>
      <c r="B2207" s="31">
        <v>49628</v>
      </c>
      <c r="C2207" s="32">
        <f>INDEX('Input Data'!$B:$B,A2207)/2+IF(A2207&lt;&gt;A2208,100,0)</f>
        <v>1.5625</v>
      </c>
      <c r="D2207" s="33">
        <f>INDEX('ZCB Curve - Payment Dates'!$D$2:$D$246,MATCH(B2207,'ZCB Curve - Payment Dates'!$A$2:$A$246,0))</f>
        <v>0.64815361918127823</v>
      </c>
      <c r="E2207" s="32">
        <f t="shared" si="34"/>
        <v>1.0127400299707472</v>
      </c>
    </row>
    <row r="2208" spans="1:5" x14ac:dyDescent="0.25">
      <c r="A2208" s="17">
        <v>275</v>
      </c>
      <c r="B2208" s="31">
        <v>49810</v>
      </c>
      <c r="C2208" s="32">
        <f>INDEX('Input Data'!$B:$B,A2208)/2+IF(A2208&lt;&gt;A2209,100,0)</f>
        <v>1.5625</v>
      </c>
      <c r="D2208" s="33">
        <f>INDEX('ZCB Curve - Payment Dates'!$D$2:$D$246,MATCH(B2208,'ZCB Curve - Payment Dates'!$A$2:$A$246,0))</f>
        <v>0.63106457078577471</v>
      </c>
      <c r="E2208" s="32">
        <f t="shared" si="34"/>
        <v>0.98603839185277298</v>
      </c>
    </row>
    <row r="2209" spans="1:5" x14ac:dyDescent="0.25">
      <c r="A2209" s="17">
        <v>275</v>
      </c>
      <c r="B2209" s="31">
        <v>49994</v>
      </c>
      <c r="C2209" s="32">
        <f>INDEX('Input Data'!$B:$B,A2209)/2+IF(A2209&lt;&gt;A2210,100,0)</f>
        <v>1.5625</v>
      </c>
      <c r="D2209" s="33">
        <f>INDEX('ZCB Curve - Payment Dates'!$D$2:$D$246,MATCH(B2209,'ZCB Curve - Payment Dates'!$A$2:$A$246,0))</f>
        <v>0.61395227923184648</v>
      </c>
      <c r="E2209" s="32">
        <f t="shared" si="34"/>
        <v>0.95930043629976014</v>
      </c>
    </row>
    <row r="2210" spans="1:5" x14ac:dyDescent="0.25">
      <c r="A2210" s="17">
        <v>275</v>
      </c>
      <c r="B2210" s="31">
        <v>50175</v>
      </c>
      <c r="C2210" s="32">
        <f>INDEX('Input Data'!$B:$B,A2210)/2+IF(A2210&lt;&gt;A2211,100,0)</f>
        <v>1.5625</v>
      </c>
      <c r="D2210" s="33">
        <f>INDEX('ZCB Curve - Payment Dates'!$D$2:$D$246,MATCH(B2210,'ZCB Curve - Payment Dates'!$A$2:$A$246,0))</f>
        <v>0.5972963482314616</v>
      </c>
      <c r="E2210" s="32">
        <f t="shared" si="34"/>
        <v>0.93327554411165881</v>
      </c>
    </row>
    <row r="2211" spans="1:5" x14ac:dyDescent="0.25">
      <c r="A2211" s="17">
        <v>275</v>
      </c>
      <c r="B2211" s="31">
        <v>50359</v>
      </c>
      <c r="C2211" s="32">
        <f>INDEX('Input Data'!$B:$B,A2211)/2+IF(A2211&lt;&gt;A2212,100,0)</f>
        <v>1.5625</v>
      </c>
      <c r="D2211" s="33">
        <f>INDEX('ZCB Curve - Payment Dates'!$D$2:$D$246,MATCH(B2211,'ZCB Curve - Payment Dates'!$A$2:$A$246,0))</f>
        <v>0.58056812006155756</v>
      </c>
      <c r="E2211" s="32">
        <f t="shared" si="34"/>
        <v>0.90713768759618363</v>
      </c>
    </row>
    <row r="2212" spans="1:5" x14ac:dyDescent="0.25">
      <c r="A2212" s="17">
        <v>275</v>
      </c>
      <c r="B2212" s="31">
        <v>50540</v>
      </c>
      <c r="C2212" s="32">
        <f>INDEX('Input Data'!$B:$B,A2212)/2+IF(A2212&lt;&gt;A2213,100,0)</f>
        <v>1.5625</v>
      </c>
      <c r="D2212" s="33">
        <f>INDEX('ZCB Curve - Payment Dates'!$D$2:$D$246,MATCH(B2212,'ZCB Curve - Payment Dates'!$A$2:$A$246,0))</f>
        <v>0.56433491315969797</v>
      </c>
      <c r="E2212" s="32">
        <f t="shared" si="34"/>
        <v>0.88177330181202807</v>
      </c>
    </row>
    <row r="2213" spans="1:5" x14ac:dyDescent="0.25">
      <c r="A2213" s="17">
        <v>275</v>
      </c>
      <c r="B2213" s="31">
        <v>50724</v>
      </c>
      <c r="C2213" s="32">
        <f>INDEX('Input Data'!$B:$B,A2213)/2+IF(A2213&lt;&gt;A2214,100,0)</f>
        <v>1.5625</v>
      </c>
      <c r="D2213" s="33">
        <f>INDEX('ZCB Curve - Payment Dates'!$D$2:$D$246,MATCH(B2213,'ZCB Curve - Payment Dates'!$A$2:$A$246,0))</f>
        <v>0.54808398139057424</v>
      </c>
      <c r="E2213" s="32">
        <f t="shared" si="34"/>
        <v>0.85638122092277225</v>
      </c>
    </row>
    <row r="2214" spans="1:5" x14ac:dyDescent="0.25">
      <c r="A2214" s="17">
        <v>275</v>
      </c>
      <c r="B2214" s="31">
        <v>50905</v>
      </c>
      <c r="C2214" s="32">
        <f>INDEX('Input Data'!$B:$B,A2214)/2+IF(A2214&lt;&gt;A2215,100,0)</f>
        <v>1.5625</v>
      </c>
      <c r="D2214" s="33">
        <f>INDEX('ZCB Curve - Payment Dates'!$D$2:$D$246,MATCH(B2214,'ZCB Curve - Payment Dates'!$A$2:$A$246,0))</f>
        <v>0.5323673246083096</v>
      </c>
      <c r="E2214" s="32">
        <f t="shared" si="34"/>
        <v>0.83182394470048371</v>
      </c>
    </row>
    <row r="2215" spans="1:5" x14ac:dyDescent="0.25">
      <c r="A2215" s="17">
        <v>275</v>
      </c>
      <c r="B2215" s="31">
        <v>51089</v>
      </c>
      <c r="C2215" s="32">
        <f>INDEX('Input Data'!$B:$B,A2215)/2+IF(A2215&lt;&gt;A2216,100,0)</f>
        <v>1.5625</v>
      </c>
      <c r="D2215" s="33">
        <f>INDEX('ZCB Curve - Payment Dates'!$D$2:$D$246,MATCH(B2215,'ZCB Curve - Payment Dates'!$A$2:$A$246,0))</f>
        <v>0.51668806431098135</v>
      </c>
      <c r="E2215" s="32">
        <f t="shared" si="34"/>
        <v>0.80732510048590833</v>
      </c>
    </row>
    <row r="2216" spans="1:5" x14ac:dyDescent="0.25">
      <c r="A2216" s="17">
        <v>275</v>
      </c>
      <c r="B2216" s="31">
        <v>51271</v>
      </c>
      <c r="C2216" s="32">
        <f>INDEX('Input Data'!$B:$B,A2216)/2+IF(A2216&lt;&gt;A2217,100,0)</f>
        <v>1.5625</v>
      </c>
      <c r="D2216" s="33">
        <f>INDEX('ZCB Curve - Payment Dates'!$D$2:$D$246,MATCH(B2216,'ZCB Curve - Payment Dates'!$A$2:$A$246,0))</f>
        <v>0.50149590020417278</v>
      </c>
      <c r="E2216" s="32">
        <f t="shared" si="34"/>
        <v>0.78358734406901998</v>
      </c>
    </row>
    <row r="2217" spans="1:5" x14ac:dyDescent="0.25">
      <c r="A2217" s="17">
        <v>275</v>
      </c>
      <c r="B2217" s="31">
        <v>51455</v>
      </c>
      <c r="C2217" s="32">
        <f>INDEX('Input Data'!$B:$B,A2217)/2+IF(A2217&lt;&gt;A2218,100,0)</f>
        <v>1.5625</v>
      </c>
      <c r="D2217" s="33">
        <f>INDEX('ZCB Curve - Payment Dates'!$D$2:$D$246,MATCH(B2217,'ZCB Curve - Payment Dates'!$A$2:$A$246,0))</f>
        <v>0.48647538074270091</v>
      </c>
      <c r="E2217" s="32">
        <f t="shared" si="34"/>
        <v>0.76011778241047012</v>
      </c>
    </row>
    <row r="2218" spans="1:5" x14ac:dyDescent="0.25">
      <c r="A2218" s="17">
        <v>275</v>
      </c>
      <c r="B2218" s="31">
        <v>51636</v>
      </c>
      <c r="C2218" s="32">
        <f>INDEX('Input Data'!$B:$B,A2218)/2+IF(A2218&lt;&gt;A2219,100,0)</f>
        <v>1.5625</v>
      </c>
      <c r="D2218" s="33">
        <f>INDEX('ZCB Curve - Payment Dates'!$D$2:$D$246,MATCH(B2218,'ZCB Curve - Payment Dates'!$A$2:$A$246,0))</f>
        <v>0.47204918703719451</v>
      </c>
      <c r="E2218" s="32">
        <f t="shared" si="34"/>
        <v>0.73757685474561641</v>
      </c>
    </row>
    <row r="2219" spans="1:5" x14ac:dyDescent="0.25">
      <c r="A2219" s="17">
        <v>275</v>
      </c>
      <c r="B2219" s="31">
        <v>51820</v>
      </c>
      <c r="C2219" s="32">
        <f>INDEX('Input Data'!$B:$B,A2219)/2+IF(A2219&lt;&gt;A2220,100,0)</f>
        <v>101.5625</v>
      </c>
      <c r="D2219" s="33">
        <f>INDEX('ZCB Curve - Payment Dates'!$D$2:$D$246,MATCH(B2219,'ZCB Curve - Payment Dates'!$A$2:$A$246,0))</f>
        <v>0.45775548669345245</v>
      </c>
      <c r="E2219" s="32">
        <f t="shared" si="34"/>
        <v>46.490791617303763</v>
      </c>
    </row>
    <row r="2220" spans="1:5" x14ac:dyDescent="0.25">
      <c r="A2220" s="17">
        <v>276</v>
      </c>
      <c r="B2220" s="31">
        <v>46356</v>
      </c>
      <c r="C2220" s="32">
        <f>INDEX('Input Data'!$B:$B,A2220)/2+IF(A2220&lt;&gt;A2221,100,0)</f>
        <v>1</v>
      </c>
      <c r="D2220" s="33">
        <f>INDEX('ZCB Curve - Payment Dates'!$D$2:$D$246,MATCH(B2220,'ZCB Curve - Payment Dates'!$A$2:$A$246,0))</f>
        <v>0.99084497326382592</v>
      </c>
      <c r="E2220" s="32">
        <f t="shared" si="34"/>
        <v>0.99084497326382592</v>
      </c>
    </row>
    <row r="2221" spans="1:5" x14ac:dyDescent="0.25">
      <c r="A2221" s="17">
        <v>276</v>
      </c>
      <c r="B2221" s="31">
        <v>46538</v>
      </c>
      <c r="C2221" s="32">
        <f>INDEX('Input Data'!$B:$B,A2221)/2+IF(A2221&lt;&gt;A2222,100,0)</f>
        <v>1</v>
      </c>
      <c r="D2221" s="33">
        <f>INDEX('ZCB Curve - Payment Dates'!$D$2:$D$246,MATCH(B2221,'ZCB Curve - Payment Dates'!$A$2:$A$246,0))</f>
        <v>0.97060179184855555</v>
      </c>
      <c r="E2221" s="32">
        <f t="shared" si="34"/>
        <v>0.97060179184855555</v>
      </c>
    </row>
    <row r="2222" spans="1:5" x14ac:dyDescent="0.25">
      <c r="A2222" s="17">
        <v>276</v>
      </c>
      <c r="B2222" s="31">
        <v>46721</v>
      </c>
      <c r="C2222" s="32">
        <f>INDEX('Input Data'!$B:$B,A2222)/2+IF(A2222&lt;&gt;A2223,100,0)</f>
        <v>1</v>
      </c>
      <c r="D2222" s="33">
        <f>INDEX('ZCB Curve - Payment Dates'!$D$2:$D$246,MATCH(B2222,'ZCB Curve - Payment Dates'!$A$2:$A$246,0))</f>
        <v>0.94946404326393219</v>
      </c>
      <c r="E2222" s="32">
        <f t="shared" si="34"/>
        <v>0.94946404326393219</v>
      </c>
    </row>
    <row r="2223" spans="1:5" x14ac:dyDescent="0.25">
      <c r="A2223" s="17">
        <v>276</v>
      </c>
      <c r="B2223" s="31">
        <v>46904</v>
      </c>
      <c r="C2223" s="32">
        <f>INDEX('Input Data'!$B:$B,A2223)/2+IF(A2223&lt;&gt;A2224,100,0)</f>
        <v>1</v>
      </c>
      <c r="D2223" s="33">
        <f>INDEX('ZCB Curve - Payment Dates'!$D$2:$D$246,MATCH(B2223,'ZCB Curve - Payment Dates'!$A$2:$A$246,0))</f>
        <v>0.92813990099508414</v>
      </c>
      <c r="E2223" s="32">
        <f t="shared" si="34"/>
        <v>0.92813990099508414</v>
      </c>
    </row>
    <row r="2224" spans="1:5" x14ac:dyDescent="0.25">
      <c r="A2224" s="17">
        <v>276</v>
      </c>
      <c r="B2224" s="31">
        <v>47087</v>
      </c>
      <c r="C2224" s="32">
        <f>INDEX('Input Data'!$B:$B,A2224)/2+IF(A2224&lt;&gt;A2225,100,0)</f>
        <v>1</v>
      </c>
      <c r="D2224" s="33">
        <f>INDEX('ZCB Curve - Payment Dates'!$D$2:$D$246,MATCH(B2224,'ZCB Curve - Payment Dates'!$A$2:$A$246,0))</f>
        <v>0.90697842456009181</v>
      </c>
      <c r="E2224" s="32">
        <f t="shared" si="34"/>
        <v>0.90697842456009181</v>
      </c>
    </row>
    <row r="2225" spans="1:5" x14ac:dyDescent="0.25">
      <c r="A2225" s="17">
        <v>276</v>
      </c>
      <c r="B2225" s="31">
        <v>47269</v>
      </c>
      <c r="C2225" s="32">
        <f>INDEX('Input Data'!$B:$B,A2225)/2+IF(A2225&lt;&gt;A2226,100,0)</f>
        <v>1</v>
      </c>
      <c r="D2225" s="33">
        <f>INDEX('ZCB Curve - Payment Dates'!$D$2:$D$246,MATCH(B2225,'ZCB Curve - Payment Dates'!$A$2:$A$246,0))</f>
        <v>0.88629316931415014</v>
      </c>
      <c r="E2225" s="32">
        <f t="shared" si="34"/>
        <v>0.88629316931415014</v>
      </c>
    </row>
    <row r="2226" spans="1:5" x14ac:dyDescent="0.25">
      <c r="A2226" s="17">
        <v>276</v>
      </c>
      <c r="B2226" s="31">
        <v>47452</v>
      </c>
      <c r="C2226" s="32">
        <f>INDEX('Input Data'!$B:$B,A2226)/2+IF(A2226&lt;&gt;A2227,100,0)</f>
        <v>1</v>
      </c>
      <c r="D2226" s="33">
        <f>INDEX('ZCB Curve - Payment Dates'!$D$2:$D$246,MATCH(B2226,'ZCB Curve - Payment Dates'!$A$2:$A$246,0))</f>
        <v>0.86593718552386212</v>
      </c>
      <c r="E2226" s="32">
        <f t="shared" si="34"/>
        <v>0.86593718552386212</v>
      </c>
    </row>
    <row r="2227" spans="1:5" x14ac:dyDescent="0.25">
      <c r="A2227" s="17">
        <v>276</v>
      </c>
      <c r="B2227" s="31">
        <v>47634</v>
      </c>
      <c r="C2227" s="32">
        <f>INDEX('Input Data'!$B:$B,A2227)/2+IF(A2227&lt;&gt;A2228,100,0)</f>
        <v>1</v>
      </c>
      <c r="D2227" s="33">
        <f>INDEX('ZCB Curve - Payment Dates'!$D$2:$D$246,MATCH(B2227,'ZCB Curve - Payment Dates'!$A$2:$A$246,0))</f>
        <v>0.84615424839536502</v>
      </c>
      <c r="E2227" s="32">
        <f t="shared" si="34"/>
        <v>0.84615424839536502</v>
      </c>
    </row>
    <row r="2228" spans="1:5" x14ac:dyDescent="0.25">
      <c r="A2228" s="17">
        <v>276</v>
      </c>
      <c r="B2228" s="31">
        <v>47817</v>
      </c>
      <c r="C2228" s="32">
        <f>INDEX('Input Data'!$B:$B,A2228)/2+IF(A2228&lt;&gt;A2229,100,0)</f>
        <v>1</v>
      </c>
      <c r="D2228" s="33">
        <f>INDEX('ZCB Curve - Payment Dates'!$D$2:$D$246,MATCH(B2228,'ZCB Curve - Payment Dates'!$A$2:$A$246,0))</f>
        <v>0.82669778003432226</v>
      </c>
      <c r="E2228" s="32">
        <f t="shared" si="34"/>
        <v>0.82669778003432226</v>
      </c>
    </row>
    <row r="2229" spans="1:5" x14ac:dyDescent="0.25">
      <c r="A2229" s="17">
        <v>276</v>
      </c>
      <c r="B2229" s="31">
        <v>47999</v>
      </c>
      <c r="C2229" s="32">
        <f>INDEX('Input Data'!$B:$B,A2229)/2+IF(A2229&lt;&gt;A2230,100,0)</f>
        <v>1</v>
      </c>
      <c r="D2229" s="33">
        <f>INDEX('ZCB Curve - Payment Dates'!$D$2:$D$246,MATCH(B2229,'ZCB Curve - Payment Dates'!$A$2:$A$246,0))</f>
        <v>0.80773946698731602</v>
      </c>
      <c r="E2229" s="32">
        <f t="shared" si="34"/>
        <v>0.80773946698731602</v>
      </c>
    </row>
    <row r="2230" spans="1:5" x14ac:dyDescent="0.25">
      <c r="A2230" s="17">
        <v>276</v>
      </c>
      <c r="B2230" s="31">
        <v>48182</v>
      </c>
      <c r="C2230" s="32">
        <f>INDEX('Input Data'!$B:$B,A2230)/2+IF(A2230&lt;&gt;A2231,100,0)</f>
        <v>1</v>
      </c>
      <c r="D2230" s="33">
        <f>INDEX('ZCB Curve - Payment Dates'!$D$2:$D$246,MATCH(B2230,'ZCB Curve - Payment Dates'!$A$2:$A$246,0))</f>
        <v>0.78901196947977614</v>
      </c>
      <c r="E2230" s="32">
        <f t="shared" si="34"/>
        <v>0.78901196947977614</v>
      </c>
    </row>
    <row r="2231" spans="1:5" x14ac:dyDescent="0.25">
      <c r="A2231" s="17">
        <v>276</v>
      </c>
      <c r="B2231" s="31">
        <v>48365</v>
      </c>
      <c r="C2231" s="32">
        <f>INDEX('Input Data'!$B:$B,A2231)/2+IF(A2231&lt;&gt;A2232,100,0)</f>
        <v>1</v>
      </c>
      <c r="D2231" s="33">
        <f>INDEX('ZCB Curve - Payment Dates'!$D$2:$D$246,MATCH(B2231,'ZCB Curve - Payment Dates'!$A$2:$A$246,0))</f>
        <v>0.77056825328760936</v>
      </c>
      <c r="E2231" s="32">
        <f t="shared" si="34"/>
        <v>0.77056825328760936</v>
      </c>
    </row>
    <row r="2232" spans="1:5" x14ac:dyDescent="0.25">
      <c r="A2232" s="17">
        <v>276</v>
      </c>
      <c r="B2232" s="31">
        <v>48548</v>
      </c>
      <c r="C2232" s="32">
        <f>INDEX('Input Data'!$B:$B,A2232)/2+IF(A2232&lt;&gt;A2233,100,0)</f>
        <v>1</v>
      </c>
      <c r="D2232" s="33">
        <f>INDEX('ZCB Curve - Payment Dates'!$D$2:$D$246,MATCH(B2232,'ZCB Curve - Payment Dates'!$A$2:$A$246,0))</f>
        <v>0.75236284756075855</v>
      </c>
      <c r="E2232" s="32">
        <f t="shared" si="34"/>
        <v>0.75236284756075855</v>
      </c>
    </row>
    <row r="2233" spans="1:5" x14ac:dyDescent="0.25">
      <c r="A2233" s="17">
        <v>276</v>
      </c>
      <c r="B2233" s="31">
        <v>48730</v>
      </c>
      <c r="C2233" s="32">
        <f>INDEX('Input Data'!$B:$B,A2233)/2+IF(A2233&lt;&gt;A2234,100,0)</f>
        <v>1</v>
      </c>
      <c r="D2233" s="33">
        <f>INDEX('ZCB Curve - Payment Dates'!$D$2:$D$246,MATCH(B2233,'ZCB Curve - Payment Dates'!$A$2:$A$246,0))</f>
        <v>0.73444444542158749</v>
      </c>
      <c r="E2233" s="32">
        <f t="shared" si="34"/>
        <v>0.73444444542158749</v>
      </c>
    </row>
    <row r="2234" spans="1:5" x14ac:dyDescent="0.25">
      <c r="A2234" s="17">
        <v>276</v>
      </c>
      <c r="B2234" s="31">
        <v>48913</v>
      </c>
      <c r="C2234" s="32">
        <f>INDEX('Input Data'!$B:$B,A2234)/2+IF(A2234&lt;&gt;A2235,100,0)</f>
        <v>1</v>
      </c>
      <c r="D2234" s="33">
        <f>INDEX('ZCB Curve - Payment Dates'!$D$2:$D$246,MATCH(B2234,'ZCB Curve - Payment Dates'!$A$2:$A$246,0))</f>
        <v>0.71659560057078919</v>
      </c>
      <c r="E2234" s="32">
        <f t="shared" si="34"/>
        <v>0.71659560057078919</v>
      </c>
    </row>
    <row r="2235" spans="1:5" x14ac:dyDescent="0.25">
      <c r="A2235" s="17">
        <v>276</v>
      </c>
      <c r="B2235" s="31">
        <v>49095</v>
      </c>
      <c r="C2235" s="32">
        <f>INDEX('Input Data'!$B:$B,A2235)/2+IF(A2235&lt;&gt;A2236,100,0)</f>
        <v>1</v>
      </c>
      <c r="D2235" s="33">
        <f>INDEX('ZCB Curve - Payment Dates'!$D$2:$D$246,MATCH(B2235,'ZCB Curve - Payment Dates'!$A$2:$A$246,0))</f>
        <v>0.69898104837931163</v>
      </c>
      <c r="E2235" s="32">
        <f t="shared" si="34"/>
        <v>0.69898104837931163</v>
      </c>
    </row>
    <row r="2236" spans="1:5" x14ac:dyDescent="0.25">
      <c r="A2236" s="17">
        <v>276</v>
      </c>
      <c r="B2236" s="31">
        <v>49278</v>
      </c>
      <c r="C2236" s="32">
        <f>INDEX('Input Data'!$B:$B,A2236)/2+IF(A2236&lt;&gt;A2237,100,0)</f>
        <v>1</v>
      </c>
      <c r="D2236" s="33">
        <f>INDEX('ZCB Curve - Payment Dates'!$D$2:$D$246,MATCH(B2236,'ZCB Curve - Payment Dates'!$A$2:$A$246,0))</f>
        <v>0.68140615608213295</v>
      </c>
      <c r="E2236" s="32">
        <f t="shared" si="34"/>
        <v>0.68140615608213295</v>
      </c>
    </row>
    <row r="2237" spans="1:5" x14ac:dyDescent="0.25">
      <c r="A2237" s="17">
        <v>276</v>
      </c>
      <c r="B2237" s="31">
        <v>49460</v>
      </c>
      <c r="C2237" s="32">
        <f>INDEX('Input Data'!$B:$B,A2237)/2+IF(A2237&lt;&gt;A2238,100,0)</f>
        <v>1</v>
      </c>
      <c r="D2237" s="33">
        <f>INDEX('ZCB Curve - Payment Dates'!$D$2:$D$246,MATCH(B2237,'ZCB Curve - Payment Dates'!$A$2:$A$246,0))</f>
        <v>0.66405094495559369</v>
      </c>
      <c r="E2237" s="32">
        <f t="shared" si="34"/>
        <v>0.66405094495559369</v>
      </c>
    </row>
    <row r="2238" spans="1:5" x14ac:dyDescent="0.25">
      <c r="A2238" s="17">
        <v>276</v>
      </c>
      <c r="B2238" s="31">
        <v>49643</v>
      </c>
      <c r="C2238" s="32">
        <f>INDEX('Input Data'!$B:$B,A2238)/2+IF(A2238&lt;&gt;A2239,100,0)</f>
        <v>1</v>
      </c>
      <c r="D2238" s="33">
        <f>INDEX('ZCB Curve - Payment Dates'!$D$2:$D$246,MATCH(B2238,'ZCB Curve - Payment Dates'!$A$2:$A$246,0))</f>
        <v>0.64673962753346015</v>
      </c>
      <c r="E2238" s="32">
        <f t="shared" si="34"/>
        <v>0.64673962753346015</v>
      </c>
    </row>
    <row r="2239" spans="1:5" x14ac:dyDescent="0.25">
      <c r="A2239" s="17">
        <v>276</v>
      </c>
      <c r="B2239" s="31">
        <v>49826</v>
      </c>
      <c r="C2239" s="32">
        <f>INDEX('Input Data'!$B:$B,A2239)/2+IF(A2239&lt;&gt;A2240,100,0)</f>
        <v>1</v>
      </c>
      <c r="D2239" s="33">
        <f>INDEX('ZCB Curve - Payment Dates'!$D$2:$D$246,MATCH(B2239,'ZCB Curve - Payment Dates'!$A$2:$A$246,0))</f>
        <v>0.62957101137996574</v>
      </c>
      <c r="E2239" s="32">
        <f t="shared" si="34"/>
        <v>0.62957101137996574</v>
      </c>
    </row>
    <row r="2240" spans="1:5" x14ac:dyDescent="0.25">
      <c r="A2240" s="17">
        <v>276</v>
      </c>
      <c r="B2240" s="31">
        <v>50009</v>
      </c>
      <c r="C2240" s="32">
        <f>INDEX('Input Data'!$B:$B,A2240)/2+IF(A2240&lt;&gt;A2241,100,0)</f>
        <v>1</v>
      </c>
      <c r="D2240" s="33">
        <f>INDEX('ZCB Curve - Payment Dates'!$D$2:$D$246,MATCH(B2240,'ZCB Curve - Payment Dates'!$A$2:$A$246,0))</f>
        <v>0.61256484763254526</v>
      </c>
      <c r="E2240" s="32">
        <f t="shared" si="34"/>
        <v>0.61256484763254526</v>
      </c>
    </row>
    <row r="2241" spans="1:5" x14ac:dyDescent="0.25">
      <c r="A2241" s="17">
        <v>276</v>
      </c>
      <c r="B2241" s="31">
        <v>50191</v>
      </c>
      <c r="C2241" s="32">
        <f>INDEX('Input Data'!$B:$B,A2241)/2+IF(A2241&lt;&gt;A2242,100,0)</f>
        <v>1</v>
      </c>
      <c r="D2241" s="33">
        <f>INDEX('ZCB Curve - Payment Dates'!$D$2:$D$246,MATCH(B2241,'ZCB Curve - Payment Dates'!$A$2:$A$246,0))</f>
        <v>0.59583441854293451</v>
      </c>
      <c r="E2241" s="32">
        <f t="shared" si="34"/>
        <v>0.59583441854293451</v>
      </c>
    </row>
    <row r="2242" spans="1:5" x14ac:dyDescent="0.25">
      <c r="A2242" s="17">
        <v>276</v>
      </c>
      <c r="B2242" s="31">
        <v>50374</v>
      </c>
      <c r="C2242" s="32">
        <f>INDEX('Input Data'!$B:$B,A2242)/2+IF(A2242&lt;&gt;A2243,100,0)</f>
        <v>1</v>
      </c>
      <c r="D2242" s="33">
        <f>INDEX('ZCB Curve - Payment Dates'!$D$2:$D$246,MATCH(B2242,'ZCB Curve - Payment Dates'!$A$2:$A$246,0))</f>
        <v>0.57921399280741503</v>
      </c>
      <c r="E2242" s="32">
        <f t="shared" ref="E2242:E2305" si="35">C2242*D2242</f>
        <v>0.57921399280741503</v>
      </c>
    </row>
    <row r="2243" spans="1:5" x14ac:dyDescent="0.25">
      <c r="A2243" s="17">
        <v>276</v>
      </c>
      <c r="B2243" s="31">
        <v>50556</v>
      </c>
      <c r="C2243" s="32">
        <f>INDEX('Input Data'!$B:$B,A2243)/2+IF(A2243&lt;&gt;A2244,100,0)</f>
        <v>1</v>
      </c>
      <c r="D2243" s="33">
        <f>INDEX('ZCB Curve - Payment Dates'!$D$2:$D$246,MATCH(B2243,'ZCB Curve - Payment Dates'!$A$2:$A$246,0))</f>
        <v>0.562912537523654</v>
      </c>
      <c r="E2243" s="32">
        <f t="shared" si="35"/>
        <v>0.562912537523654</v>
      </c>
    </row>
    <row r="2244" spans="1:5" x14ac:dyDescent="0.25">
      <c r="A2244" s="17">
        <v>276</v>
      </c>
      <c r="B2244" s="31">
        <v>50739</v>
      </c>
      <c r="C2244" s="32">
        <f>INDEX('Input Data'!$B:$B,A2244)/2+IF(A2244&lt;&gt;A2245,100,0)</f>
        <v>1</v>
      </c>
      <c r="D2244" s="33">
        <f>INDEX('ZCB Curve - Payment Dates'!$D$2:$D$246,MATCH(B2244,'ZCB Curve - Payment Dates'!$A$2:$A$246,0))</f>
        <v>0.54677090122973593</v>
      </c>
      <c r="E2244" s="32">
        <f t="shared" si="35"/>
        <v>0.54677090122973593</v>
      </c>
    </row>
    <row r="2245" spans="1:5" x14ac:dyDescent="0.25">
      <c r="A2245" s="17">
        <v>276</v>
      </c>
      <c r="B2245" s="31">
        <v>50921</v>
      </c>
      <c r="C2245" s="32">
        <f>INDEX('Input Data'!$B:$B,A2245)/2+IF(A2245&lt;&gt;A2246,100,0)</f>
        <v>1</v>
      </c>
      <c r="D2245" s="33">
        <f>INDEX('ZCB Curve - Payment Dates'!$D$2:$D$246,MATCH(B2245,'ZCB Curve - Payment Dates'!$A$2:$A$246,0))</f>
        <v>0.53099278399840188</v>
      </c>
      <c r="E2245" s="32">
        <f t="shared" si="35"/>
        <v>0.53099278399840188</v>
      </c>
    </row>
    <row r="2246" spans="1:5" x14ac:dyDescent="0.25">
      <c r="A2246" s="17">
        <v>276</v>
      </c>
      <c r="B2246" s="31">
        <v>51104</v>
      </c>
      <c r="C2246" s="32">
        <f>INDEX('Input Data'!$B:$B,A2246)/2+IF(A2246&lt;&gt;A2247,100,0)</f>
        <v>1</v>
      </c>
      <c r="D2246" s="33">
        <f>INDEX('ZCB Curve - Payment Dates'!$D$2:$D$246,MATCH(B2246,'ZCB Curve - Payment Dates'!$A$2:$A$246,0))</f>
        <v>0.51542359794811354</v>
      </c>
      <c r="E2246" s="32">
        <f t="shared" si="35"/>
        <v>0.51542359794811354</v>
      </c>
    </row>
    <row r="2247" spans="1:5" x14ac:dyDescent="0.25">
      <c r="A2247" s="17">
        <v>276</v>
      </c>
      <c r="B2247" s="31">
        <v>51287</v>
      </c>
      <c r="C2247" s="32">
        <f>INDEX('Input Data'!$B:$B,A2247)/2+IF(A2247&lt;&gt;A2248,100,0)</f>
        <v>1</v>
      </c>
      <c r="D2247" s="33">
        <f>INDEX('ZCB Curve - Payment Dates'!$D$2:$D$246,MATCH(B2247,'ZCB Curve - Payment Dates'!$A$2:$A$246,0))</f>
        <v>0.50017700594205916</v>
      </c>
      <c r="E2247" s="32">
        <f t="shared" si="35"/>
        <v>0.50017700594205916</v>
      </c>
    </row>
    <row r="2248" spans="1:5" x14ac:dyDescent="0.25">
      <c r="A2248" s="17">
        <v>276</v>
      </c>
      <c r="B2248" s="31">
        <v>51470</v>
      </c>
      <c r="C2248" s="32">
        <f>INDEX('Input Data'!$B:$B,A2248)/2+IF(A2248&lt;&gt;A2249,100,0)</f>
        <v>1</v>
      </c>
      <c r="D2248" s="33">
        <f>INDEX('ZCB Curve - Payment Dates'!$D$2:$D$246,MATCH(B2248,'ZCB Curve - Payment Dates'!$A$2:$A$246,0))</f>
        <v>0.48526633083793297</v>
      </c>
      <c r="E2248" s="32">
        <f t="shared" si="35"/>
        <v>0.48526633083793297</v>
      </c>
    </row>
    <row r="2249" spans="1:5" x14ac:dyDescent="0.25">
      <c r="A2249" s="17">
        <v>276</v>
      </c>
      <c r="B2249" s="31">
        <v>51652</v>
      </c>
      <c r="C2249" s="32">
        <f>INDEX('Input Data'!$B:$B,A2249)/2+IF(A2249&lt;&gt;A2250,100,0)</f>
        <v>1</v>
      </c>
      <c r="D2249" s="33">
        <f>INDEX('ZCB Curve - Payment Dates'!$D$2:$D$246,MATCH(B2249,'ZCB Curve - Payment Dates'!$A$2:$A$246,0))</f>
        <v>0.47079220191384086</v>
      </c>
      <c r="E2249" s="32">
        <f t="shared" si="35"/>
        <v>0.47079220191384086</v>
      </c>
    </row>
    <row r="2250" spans="1:5" x14ac:dyDescent="0.25">
      <c r="A2250" s="17">
        <v>276</v>
      </c>
      <c r="B2250" s="31">
        <v>51835</v>
      </c>
      <c r="C2250" s="32">
        <f>INDEX('Input Data'!$B:$B,A2250)/2+IF(A2250&lt;&gt;A2251,100,0)</f>
        <v>101</v>
      </c>
      <c r="D2250" s="33">
        <f>INDEX('ZCB Curve - Payment Dates'!$D$2:$D$246,MATCH(B2250,'ZCB Curve - Payment Dates'!$A$2:$A$246,0))</f>
        <v>0.45660700731668574</v>
      </c>
      <c r="E2250" s="32">
        <f t="shared" si="35"/>
        <v>46.117307738985261</v>
      </c>
    </row>
    <row r="2251" spans="1:5" x14ac:dyDescent="0.25">
      <c r="A2251" s="17">
        <v>277</v>
      </c>
      <c r="B2251" s="31">
        <v>46433</v>
      </c>
      <c r="C2251" s="32">
        <f>INDEX('Input Data'!$B:$B,A2251)/2+IF(A2251&lt;&gt;A2252,100,0)</f>
        <v>1.1875</v>
      </c>
      <c r="D2251" s="33">
        <f>INDEX('ZCB Curve - Payment Dates'!$D$2:$D$246,MATCH(B2251,'ZCB Curve - Payment Dates'!$A$2:$A$246,0))</f>
        <v>0.98242671792446301</v>
      </c>
      <c r="E2251" s="32">
        <f t="shared" si="35"/>
        <v>1.1666317275352998</v>
      </c>
    </row>
    <row r="2252" spans="1:5" x14ac:dyDescent="0.25">
      <c r="A2252" s="17">
        <v>277</v>
      </c>
      <c r="B2252" s="31">
        <v>46614</v>
      </c>
      <c r="C2252" s="32">
        <f>INDEX('Input Data'!$B:$B,A2252)/2+IF(A2252&lt;&gt;A2253,100,0)</f>
        <v>1.1875</v>
      </c>
      <c r="D2252" s="33">
        <f>INDEX('ZCB Curve - Payment Dates'!$D$2:$D$246,MATCH(B2252,'ZCB Curve - Payment Dates'!$A$2:$A$246,0))</f>
        <v>0.96187948164765535</v>
      </c>
      <c r="E2252" s="32">
        <f t="shared" si="35"/>
        <v>1.1422318844565906</v>
      </c>
    </row>
    <row r="2253" spans="1:5" x14ac:dyDescent="0.25">
      <c r="A2253" s="17">
        <v>277</v>
      </c>
      <c r="B2253" s="31">
        <v>46798</v>
      </c>
      <c r="C2253" s="32">
        <f>INDEX('Input Data'!$B:$B,A2253)/2+IF(A2253&lt;&gt;A2254,100,0)</f>
        <v>1.1875</v>
      </c>
      <c r="D2253" s="33">
        <f>INDEX('ZCB Curve - Payment Dates'!$D$2:$D$246,MATCH(B2253,'ZCB Curve - Payment Dates'!$A$2:$A$246,0))</f>
        <v>0.94049096132648802</v>
      </c>
      <c r="E2253" s="32">
        <f t="shared" si="35"/>
        <v>1.1168330165752045</v>
      </c>
    </row>
    <row r="2254" spans="1:5" x14ac:dyDescent="0.25">
      <c r="A2254" s="17">
        <v>277</v>
      </c>
      <c r="B2254" s="31">
        <v>46980</v>
      </c>
      <c r="C2254" s="32">
        <f>INDEX('Input Data'!$B:$B,A2254)/2+IF(A2254&lt;&gt;A2255,100,0)</f>
        <v>1.1875</v>
      </c>
      <c r="D2254" s="33">
        <f>INDEX('ZCB Curve - Payment Dates'!$D$2:$D$246,MATCH(B2254,'ZCB Curve - Payment Dates'!$A$2:$A$246,0))</f>
        <v>0.91931844130238327</v>
      </c>
      <c r="E2254" s="32">
        <f t="shared" si="35"/>
        <v>1.0916906490465801</v>
      </c>
    </row>
    <row r="2255" spans="1:5" x14ac:dyDescent="0.25">
      <c r="A2255" s="17">
        <v>277</v>
      </c>
      <c r="B2255" s="31">
        <v>47164</v>
      </c>
      <c r="C2255" s="32">
        <f>INDEX('Input Data'!$B:$B,A2255)/2+IF(A2255&lt;&gt;A2256,100,0)</f>
        <v>1.1875</v>
      </c>
      <c r="D2255" s="33">
        <f>INDEX('ZCB Curve - Payment Dates'!$D$2:$D$246,MATCH(B2255,'ZCB Curve - Payment Dates'!$A$2:$A$246,0))</f>
        <v>0.89817430058086534</v>
      </c>
      <c r="E2255" s="32">
        <f t="shared" si="35"/>
        <v>1.0665819819397775</v>
      </c>
    </row>
    <row r="2256" spans="1:5" x14ac:dyDescent="0.25">
      <c r="A2256" s="17">
        <v>277</v>
      </c>
      <c r="B2256" s="31">
        <v>47345</v>
      </c>
      <c r="C2256" s="32">
        <f>INDEX('Input Data'!$B:$B,A2256)/2+IF(A2256&lt;&gt;A2257,100,0)</f>
        <v>1.1875</v>
      </c>
      <c r="D2256" s="33">
        <f>INDEX('ZCB Curve - Payment Dates'!$D$2:$D$246,MATCH(B2256,'ZCB Curve - Payment Dates'!$A$2:$A$246,0))</f>
        <v>0.87778421628860481</v>
      </c>
      <c r="E2256" s="32">
        <f t="shared" si="35"/>
        <v>1.0423687568427182</v>
      </c>
    </row>
    <row r="2257" spans="1:5" x14ac:dyDescent="0.25">
      <c r="A2257" s="17">
        <v>277</v>
      </c>
      <c r="B2257" s="31">
        <v>47529</v>
      </c>
      <c r="C2257" s="32">
        <f>INDEX('Input Data'!$B:$B,A2257)/2+IF(A2257&lt;&gt;A2258,100,0)</f>
        <v>1.1875</v>
      </c>
      <c r="D2257" s="33">
        <f>INDEX('ZCB Curve - Payment Dates'!$D$2:$D$246,MATCH(B2257,'ZCB Curve - Payment Dates'!$A$2:$A$246,0))</f>
        <v>0.85751015570959666</v>
      </c>
      <c r="E2257" s="32">
        <f t="shared" si="35"/>
        <v>1.0182933099051461</v>
      </c>
    </row>
    <row r="2258" spans="1:5" x14ac:dyDescent="0.25">
      <c r="A2258" s="17">
        <v>277</v>
      </c>
      <c r="B2258" s="31">
        <v>47710</v>
      </c>
      <c r="C2258" s="32">
        <f>INDEX('Input Data'!$B:$B,A2258)/2+IF(A2258&lt;&gt;A2259,100,0)</f>
        <v>1.1875</v>
      </c>
      <c r="D2258" s="33">
        <f>INDEX('ZCB Curve - Payment Dates'!$D$2:$D$246,MATCH(B2258,'ZCB Curve - Payment Dates'!$A$2:$A$246,0))</f>
        <v>0.83802423748211174</v>
      </c>
      <c r="E2258" s="32">
        <f t="shared" si="35"/>
        <v>0.9951537820100077</v>
      </c>
    </row>
    <row r="2259" spans="1:5" x14ac:dyDescent="0.25">
      <c r="A2259" s="17">
        <v>277</v>
      </c>
      <c r="B2259" s="31">
        <v>47894</v>
      </c>
      <c r="C2259" s="32">
        <f>INDEX('Input Data'!$B:$B,A2259)/2+IF(A2259&lt;&gt;A2260,100,0)</f>
        <v>1.1875</v>
      </c>
      <c r="D2259" s="33">
        <f>INDEX('ZCB Curve - Payment Dates'!$D$2:$D$246,MATCH(B2259,'ZCB Curve - Payment Dates'!$A$2:$A$246,0))</f>
        <v>0.8186305474741673</v>
      </c>
      <c r="E2259" s="32">
        <f t="shared" si="35"/>
        <v>0.97212377512557369</v>
      </c>
    </row>
    <row r="2260" spans="1:5" x14ac:dyDescent="0.25">
      <c r="A2260" s="17">
        <v>277</v>
      </c>
      <c r="B2260" s="31">
        <v>48075</v>
      </c>
      <c r="C2260" s="32">
        <f>INDEX('Input Data'!$B:$B,A2260)/2+IF(A2260&lt;&gt;A2261,100,0)</f>
        <v>1.1875</v>
      </c>
      <c r="D2260" s="33">
        <f>INDEX('ZCB Curve - Payment Dates'!$D$2:$D$246,MATCH(B2260,'ZCB Curve - Payment Dates'!$A$2:$A$246,0))</f>
        <v>0.7999252334775927</v>
      </c>
      <c r="E2260" s="32">
        <f t="shared" si="35"/>
        <v>0.94991121475464135</v>
      </c>
    </row>
    <row r="2261" spans="1:5" x14ac:dyDescent="0.25">
      <c r="A2261" s="17">
        <v>277</v>
      </c>
      <c r="B2261" s="31">
        <v>48259</v>
      </c>
      <c r="C2261" s="32">
        <f>INDEX('Input Data'!$B:$B,A2261)/2+IF(A2261&lt;&gt;A2262,100,0)</f>
        <v>1.1875</v>
      </c>
      <c r="D2261" s="33">
        <f>INDEX('ZCB Curve - Payment Dates'!$D$2:$D$246,MATCH(B2261,'ZCB Curve - Payment Dates'!$A$2:$A$246,0))</f>
        <v>0.78121887027612602</v>
      </c>
      <c r="E2261" s="32">
        <f t="shared" si="35"/>
        <v>0.92769740845289961</v>
      </c>
    </row>
    <row r="2262" spans="1:5" x14ac:dyDescent="0.25">
      <c r="A2262" s="17">
        <v>277</v>
      </c>
      <c r="B2262" s="31">
        <v>48441</v>
      </c>
      <c r="C2262" s="32">
        <f>INDEX('Input Data'!$B:$B,A2262)/2+IF(A2262&lt;&gt;A2263,100,0)</f>
        <v>1.1875</v>
      </c>
      <c r="D2262" s="33">
        <f>INDEX('ZCB Curve - Payment Dates'!$D$2:$D$246,MATCH(B2262,'ZCB Curve - Payment Dates'!$A$2:$A$246,0))</f>
        <v>0.76298123459017864</v>
      </c>
      <c r="E2262" s="32">
        <f t="shared" si="35"/>
        <v>0.90604021607583718</v>
      </c>
    </row>
    <row r="2263" spans="1:5" x14ac:dyDescent="0.25">
      <c r="A2263" s="17">
        <v>277</v>
      </c>
      <c r="B2263" s="31">
        <v>48625</v>
      </c>
      <c r="C2263" s="32">
        <f>INDEX('Input Data'!$B:$B,A2263)/2+IF(A2263&lt;&gt;A2264,100,0)</f>
        <v>1.1875</v>
      </c>
      <c r="D2263" s="33">
        <f>INDEX('ZCB Curve - Payment Dates'!$D$2:$D$246,MATCH(B2263,'ZCB Curve - Payment Dates'!$A$2:$A$246,0))</f>
        <v>0.74476011611938586</v>
      </c>
      <c r="E2263" s="32">
        <f t="shared" si="35"/>
        <v>0.88440263789177076</v>
      </c>
    </row>
    <row r="2264" spans="1:5" x14ac:dyDescent="0.25">
      <c r="A2264" s="17">
        <v>277</v>
      </c>
      <c r="B2264" s="31">
        <v>48806</v>
      </c>
      <c r="C2264" s="32">
        <f>INDEX('Input Data'!$B:$B,A2264)/2+IF(A2264&lt;&gt;A2265,100,0)</f>
        <v>1.1875</v>
      </c>
      <c r="D2264" s="33">
        <f>INDEX('ZCB Curve - Payment Dates'!$D$2:$D$246,MATCH(B2264,'ZCB Curve - Payment Dates'!$A$2:$A$246,0))</f>
        <v>0.72701302496114584</v>
      </c>
      <c r="E2264" s="32">
        <f t="shared" si="35"/>
        <v>0.86332796714136073</v>
      </c>
    </row>
    <row r="2265" spans="1:5" x14ac:dyDescent="0.25">
      <c r="A2265" s="17">
        <v>277</v>
      </c>
      <c r="B2265" s="31">
        <v>48990</v>
      </c>
      <c r="C2265" s="32">
        <f>INDEX('Input Data'!$B:$B,A2265)/2+IF(A2265&lt;&gt;A2266,100,0)</f>
        <v>1.1875</v>
      </c>
      <c r="D2265" s="33">
        <f>INDEX('ZCB Curve - Payment Dates'!$D$2:$D$246,MATCH(B2265,'ZCB Curve - Payment Dates'!$A$2:$A$246,0))</f>
        <v>0.70912647031380449</v>
      </c>
      <c r="E2265" s="32">
        <f t="shared" si="35"/>
        <v>0.84208768349764285</v>
      </c>
    </row>
    <row r="2266" spans="1:5" x14ac:dyDescent="0.25">
      <c r="A2266" s="17">
        <v>277</v>
      </c>
      <c r="B2266" s="31">
        <v>49171</v>
      </c>
      <c r="C2266" s="32">
        <f>INDEX('Input Data'!$B:$B,A2266)/2+IF(A2266&lt;&gt;A2267,100,0)</f>
        <v>1.1875</v>
      </c>
      <c r="D2266" s="33">
        <f>INDEX('ZCB Curve - Payment Dates'!$D$2:$D$246,MATCH(B2266,'ZCB Curve - Payment Dates'!$A$2:$A$246,0))</f>
        <v>0.6916661505723215</v>
      </c>
      <c r="E2266" s="32">
        <f t="shared" si="35"/>
        <v>0.82135355380463182</v>
      </c>
    </row>
    <row r="2267" spans="1:5" x14ac:dyDescent="0.25">
      <c r="A2267" s="17">
        <v>277</v>
      </c>
      <c r="B2267" s="31">
        <v>49355</v>
      </c>
      <c r="C2267" s="32">
        <f>INDEX('Input Data'!$B:$B,A2267)/2+IF(A2267&lt;&gt;A2268,100,0)</f>
        <v>1.1875</v>
      </c>
      <c r="D2267" s="33">
        <f>INDEX('ZCB Curve - Payment Dates'!$D$2:$D$246,MATCH(B2267,'ZCB Curve - Payment Dates'!$A$2:$A$246,0))</f>
        <v>0.674047377898778</v>
      </c>
      <c r="E2267" s="32">
        <f t="shared" si="35"/>
        <v>0.80043126125479891</v>
      </c>
    </row>
    <row r="2268" spans="1:5" x14ac:dyDescent="0.25">
      <c r="A2268" s="17">
        <v>277</v>
      </c>
      <c r="B2268" s="31">
        <v>49536</v>
      </c>
      <c r="C2268" s="32">
        <f>INDEX('Input Data'!$B:$B,A2268)/2+IF(A2268&lt;&gt;A2269,100,0)</f>
        <v>1.1875</v>
      </c>
      <c r="D2268" s="33">
        <f>INDEX('ZCB Curve - Payment Dates'!$D$2:$D$246,MATCH(B2268,'ZCB Curve - Payment Dates'!$A$2:$A$246,0))</f>
        <v>0.65684432300638129</v>
      </c>
      <c r="E2268" s="32">
        <f t="shared" si="35"/>
        <v>0.78000263357007782</v>
      </c>
    </row>
    <row r="2269" spans="1:5" x14ac:dyDescent="0.25">
      <c r="A2269" s="17">
        <v>277</v>
      </c>
      <c r="B2269" s="31">
        <v>49720</v>
      </c>
      <c r="C2269" s="32">
        <f>INDEX('Input Data'!$B:$B,A2269)/2+IF(A2269&lt;&gt;A2270,100,0)</f>
        <v>1.1875</v>
      </c>
      <c r="D2269" s="33">
        <f>INDEX('ZCB Curve - Payment Dates'!$D$2:$D$246,MATCH(B2269,'ZCB Curve - Payment Dates'!$A$2:$A$246,0))</f>
        <v>0.63949604524993764</v>
      </c>
      <c r="E2269" s="32">
        <f t="shared" si="35"/>
        <v>0.75940155373430096</v>
      </c>
    </row>
    <row r="2270" spans="1:5" x14ac:dyDescent="0.25">
      <c r="A2270" s="17">
        <v>277</v>
      </c>
      <c r="B2270" s="31">
        <v>49902</v>
      </c>
      <c r="C2270" s="32">
        <f>INDEX('Input Data'!$B:$B,A2270)/2+IF(A2270&lt;&gt;A2271,100,0)</f>
        <v>1.1875</v>
      </c>
      <c r="D2270" s="33">
        <f>INDEX('ZCB Curve - Payment Dates'!$D$2:$D$246,MATCH(B2270,'ZCB Curve - Payment Dates'!$A$2:$A$246,0))</f>
        <v>0.62248862376822711</v>
      </c>
      <c r="E2270" s="32">
        <f t="shared" si="35"/>
        <v>0.73920524072476967</v>
      </c>
    </row>
    <row r="2271" spans="1:5" x14ac:dyDescent="0.25">
      <c r="A2271" s="17">
        <v>277</v>
      </c>
      <c r="B2271" s="31">
        <v>50086</v>
      </c>
      <c r="C2271" s="32">
        <f>INDEX('Input Data'!$B:$B,A2271)/2+IF(A2271&lt;&gt;A2272,100,0)</f>
        <v>1.1875</v>
      </c>
      <c r="D2271" s="33">
        <f>INDEX('ZCB Curve - Payment Dates'!$D$2:$D$246,MATCH(B2271,'ZCB Curve - Payment Dates'!$A$2:$A$246,0))</f>
        <v>0.60546490876014969</v>
      </c>
      <c r="E2271" s="32">
        <f t="shared" si="35"/>
        <v>0.7189895791526778</v>
      </c>
    </row>
    <row r="2272" spans="1:5" x14ac:dyDescent="0.25">
      <c r="A2272" s="17">
        <v>277</v>
      </c>
      <c r="B2272" s="31">
        <v>50267</v>
      </c>
      <c r="C2272" s="32">
        <f>INDEX('Input Data'!$B:$B,A2272)/2+IF(A2272&lt;&gt;A2273,100,0)</f>
        <v>1.1875</v>
      </c>
      <c r="D2272" s="33">
        <f>INDEX('ZCB Curve - Payment Dates'!$D$2:$D$246,MATCH(B2272,'ZCB Curve - Payment Dates'!$A$2:$A$246,0))</f>
        <v>0.58890683803346977</v>
      </c>
      <c r="E2272" s="32">
        <f t="shared" si="35"/>
        <v>0.69932687016474537</v>
      </c>
    </row>
    <row r="2273" spans="1:5" x14ac:dyDescent="0.25">
      <c r="A2273" s="17">
        <v>277</v>
      </c>
      <c r="B2273" s="31">
        <v>50451</v>
      </c>
      <c r="C2273" s="32">
        <f>INDEX('Input Data'!$B:$B,A2273)/2+IF(A2273&lt;&gt;A2274,100,0)</f>
        <v>1.1875</v>
      </c>
      <c r="D2273" s="33">
        <f>INDEX('ZCB Curve - Payment Dates'!$D$2:$D$246,MATCH(B2273,'ZCB Curve - Payment Dates'!$A$2:$A$246,0))</f>
        <v>0.57228983695479263</v>
      </c>
      <c r="E2273" s="32">
        <f t="shared" si="35"/>
        <v>0.67959418138381622</v>
      </c>
    </row>
    <row r="2274" spans="1:5" x14ac:dyDescent="0.25">
      <c r="A2274" s="17">
        <v>277</v>
      </c>
      <c r="B2274" s="31">
        <v>50632</v>
      </c>
      <c r="C2274" s="32">
        <f>INDEX('Input Data'!$B:$B,A2274)/2+IF(A2274&lt;&gt;A2275,100,0)</f>
        <v>1.1875</v>
      </c>
      <c r="D2274" s="33">
        <f>INDEX('ZCB Curve - Payment Dates'!$D$2:$D$246,MATCH(B2274,'ZCB Curve - Payment Dates'!$A$2:$A$246,0))</f>
        <v>0.55617795699202288</v>
      </c>
      <c r="E2274" s="32">
        <f t="shared" si="35"/>
        <v>0.66046132392802714</v>
      </c>
    </row>
    <row r="2275" spans="1:5" x14ac:dyDescent="0.25">
      <c r="A2275" s="17">
        <v>277</v>
      </c>
      <c r="B2275" s="31">
        <v>50816</v>
      </c>
      <c r="C2275" s="32">
        <f>INDEX('Input Data'!$B:$B,A2275)/2+IF(A2275&lt;&gt;A2276,100,0)</f>
        <v>1.1875</v>
      </c>
      <c r="D2275" s="33">
        <f>INDEX('ZCB Curve - Payment Dates'!$D$2:$D$246,MATCH(B2275,'ZCB Curve - Payment Dates'!$A$2:$A$246,0))</f>
        <v>0.54006240951211237</v>
      </c>
      <c r="E2275" s="32">
        <f t="shared" si="35"/>
        <v>0.64132411129563349</v>
      </c>
    </row>
    <row r="2276" spans="1:5" x14ac:dyDescent="0.25">
      <c r="A2276" s="17">
        <v>277</v>
      </c>
      <c r="B2276" s="31">
        <v>50997</v>
      </c>
      <c r="C2276" s="32">
        <f>INDEX('Input Data'!$B:$B,A2276)/2+IF(A2276&lt;&gt;A2277,100,0)</f>
        <v>1.1875</v>
      </c>
      <c r="D2276" s="33">
        <f>INDEX('ZCB Curve - Payment Dates'!$D$2:$D$246,MATCH(B2276,'ZCB Curve - Payment Dates'!$A$2:$A$246,0))</f>
        <v>0.52449040173194583</v>
      </c>
      <c r="E2276" s="32">
        <f t="shared" si="35"/>
        <v>0.62283235205668563</v>
      </c>
    </row>
    <row r="2277" spans="1:5" x14ac:dyDescent="0.25">
      <c r="A2277" s="17">
        <v>277</v>
      </c>
      <c r="B2277" s="31">
        <v>51181</v>
      </c>
      <c r="C2277" s="32">
        <f>INDEX('Input Data'!$B:$B,A2277)/2+IF(A2277&lt;&gt;A2278,100,0)</f>
        <v>1.1875</v>
      </c>
      <c r="D2277" s="33">
        <f>INDEX('ZCB Curve - Payment Dates'!$D$2:$D$246,MATCH(B2277,'ZCB Curve - Payment Dates'!$A$2:$A$246,0))</f>
        <v>0.5089691698468306</v>
      </c>
      <c r="E2277" s="32">
        <f t="shared" si="35"/>
        <v>0.6044008891931113</v>
      </c>
    </row>
    <row r="2278" spans="1:5" x14ac:dyDescent="0.25">
      <c r="A2278" s="17">
        <v>277</v>
      </c>
      <c r="B2278" s="31">
        <v>51363</v>
      </c>
      <c r="C2278" s="32">
        <f>INDEX('Input Data'!$B:$B,A2278)/2+IF(A2278&lt;&gt;A2279,100,0)</f>
        <v>1.1875</v>
      </c>
      <c r="D2278" s="33">
        <f>INDEX('ZCB Curve - Payment Dates'!$D$2:$D$246,MATCH(B2278,'ZCB Curve - Payment Dates'!$A$2:$A$246,0))</f>
        <v>0.49394036022330806</v>
      </c>
      <c r="E2278" s="32">
        <f t="shared" si="35"/>
        <v>0.58655417776517838</v>
      </c>
    </row>
    <row r="2279" spans="1:5" x14ac:dyDescent="0.25">
      <c r="A2279" s="17">
        <v>277</v>
      </c>
      <c r="B2279" s="31">
        <v>51547</v>
      </c>
      <c r="C2279" s="32">
        <f>INDEX('Input Data'!$B:$B,A2279)/2+IF(A2279&lt;&gt;A2280,100,0)</f>
        <v>1.1875</v>
      </c>
      <c r="D2279" s="33">
        <f>INDEX('ZCB Curve - Payment Dates'!$D$2:$D$246,MATCH(B2279,'ZCB Curve - Payment Dates'!$A$2:$A$246,0))</f>
        <v>0.47909718957588998</v>
      </c>
      <c r="E2279" s="32">
        <f t="shared" si="35"/>
        <v>0.56892791262136932</v>
      </c>
    </row>
    <row r="2280" spans="1:5" x14ac:dyDescent="0.25">
      <c r="A2280" s="17">
        <v>277</v>
      </c>
      <c r="B2280" s="31">
        <v>51728</v>
      </c>
      <c r="C2280" s="32">
        <f>INDEX('Input Data'!$B:$B,A2280)/2+IF(A2280&lt;&gt;A2281,100,0)</f>
        <v>1.1875</v>
      </c>
      <c r="D2280" s="33">
        <f>INDEX('ZCB Curve - Payment Dates'!$D$2:$D$246,MATCH(B2280,'ZCB Curve - Payment Dates'!$A$2:$A$246,0))</f>
        <v>0.46485329459616059</v>
      </c>
      <c r="E2280" s="32">
        <f t="shared" si="35"/>
        <v>0.55201328733294075</v>
      </c>
    </row>
    <row r="2281" spans="1:5" x14ac:dyDescent="0.25">
      <c r="A2281" s="17">
        <v>277</v>
      </c>
      <c r="B2281" s="31">
        <v>51912</v>
      </c>
      <c r="C2281" s="32">
        <f>INDEX('Input Data'!$B:$B,A2281)/2+IF(A2281&lt;&gt;A2282,100,0)</f>
        <v>101.1875</v>
      </c>
      <c r="D2281" s="33">
        <f>INDEX('ZCB Curve - Payment Dates'!$D$2:$D$246,MATCH(B2281,'ZCB Curve - Payment Dates'!$A$2:$A$246,0))</f>
        <v>0.45075168915212815</v>
      </c>
      <c r="E2281" s="32">
        <f t="shared" si="35"/>
        <v>45.610436546080969</v>
      </c>
    </row>
    <row r="2282" spans="1:5" x14ac:dyDescent="0.25">
      <c r="A2282" s="17">
        <v>278</v>
      </c>
      <c r="B2282" s="31">
        <v>46433</v>
      </c>
      <c r="C2282" s="32">
        <f>INDEX('Input Data'!$B:$B,A2282)/2+IF(A2282&lt;&gt;A2283,100,0)</f>
        <v>1.5625</v>
      </c>
      <c r="D2282" s="33">
        <f>INDEX('ZCB Curve - Payment Dates'!$D$2:$D$246,MATCH(B2282,'ZCB Curve - Payment Dates'!$A$2:$A$246,0))</f>
        <v>0.98242671792446301</v>
      </c>
      <c r="E2282" s="32">
        <f t="shared" si="35"/>
        <v>1.5350417467569735</v>
      </c>
    </row>
    <row r="2283" spans="1:5" x14ac:dyDescent="0.25">
      <c r="A2283" s="17">
        <v>278</v>
      </c>
      <c r="B2283" s="31">
        <v>46614</v>
      </c>
      <c r="C2283" s="32">
        <f>INDEX('Input Data'!$B:$B,A2283)/2+IF(A2283&lt;&gt;A2284,100,0)</f>
        <v>1.5625</v>
      </c>
      <c r="D2283" s="33">
        <f>INDEX('ZCB Curve - Payment Dates'!$D$2:$D$246,MATCH(B2283,'ZCB Curve - Payment Dates'!$A$2:$A$246,0))</f>
        <v>0.96187948164765535</v>
      </c>
      <c r="E2283" s="32">
        <f t="shared" si="35"/>
        <v>1.5029366900744614</v>
      </c>
    </row>
    <row r="2284" spans="1:5" x14ac:dyDescent="0.25">
      <c r="A2284" s="17">
        <v>278</v>
      </c>
      <c r="B2284" s="31">
        <v>46798</v>
      </c>
      <c r="C2284" s="32">
        <f>INDEX('Input Data'!$B:$B,A2284)/2+IF(A2284&lt;&gt;A2285,100,0)</f>
        <v>1.5625</v>
      </c>
      <c r="D2284" s="33">
        <f>INDEX('ZCB Curve - Payment Dates'!$D$2:$D$246,MATCH(B2284,'ZCB Curve - Payment Dates'!$A$2:$A$246,0))</f>
        <v>0.94049096132648802</v>
      </c>
      <c r="E2284" s="32">
        <f t="shared" si="35"/>
        <v>1.4695171270726375</v>
      </c>
    </row>
    <row r="2285" spans="1:5" x14ac:dyDescent="0.25">
      <c r="A2285" s="17">
        <v>278</v>
      </c>
      <c r="B2285" s="31">
        <v>46980</v>
      </c>
      <c r="C2285" s="32">
        <f>INDEX('Input Data'!$B:$B,A2285)/2+IF(A2285&lt;&gt;A2286,100,0)</f>
        <v>1.5625</v>
      </c>
      <c r="D2285" s="33">
        <f>INDEX('ZCB Curve - Payment Dates'!$D$2:$D$246,MATCH(B2285,'ZCB Curve - Payment Dates'!$A$2:$A$246,0))</f>
        <v>0.91931844130238327</v>
      </c>
      <c r="E2285" s="32">
        <f t="shared" si="35"/>
        <v>1.4364350645349739</v>
      </c>
    </row>
    <row r="2286" spans="1:5" x14ac:dyDescent="0.25">
      <c r="A2286" s="17">
        <v>278</v>
      </c>
      <c r="B2286" s="31">
        <v>47164</v>
      </c>
      <c r="C2286" s="32">
        <f>INDEX('Input Data'!$B:$B,A2286)/2+IF(A2286&lt;&gt;A2287,100,0)</f>
        <v>1.5625</v>
      </c>
      <c r="D2286" s="33">
        <f>INDEX('ZCB Curve - Payment Dates'!$D$2:$D$246,MATCH(B2286,'ZCB Curve - Payment Dates'!$A$2:$A$246,0))</f>
        <v>0.89817430058086534</v>
      </c>
      <c r="E2286" s="32">
        <f t="shared" si="35"/>
        <v>1.403397344657602</v>
      </c>
    </row>
    <row r="2287" spans="1:5" x14ac:dyDescent="0.25">
      <c r="A2287" s="17">
        <v>278</v>
      </c>
      <c r="B2287" s="31">
        <v>47345</v>
      </c>
      <c r="C2287" s="32">
        <f>INDEX('Input Data'!$B:$B,A2287)/2+IF(A2287&lt;&gt;A2288,100,0)</f>
        <v>1.5625</v>
      </c>
      <c r="D2287" s="33">
        <f>INDEX('ZCB Curve - Payment Dates'!$D$2:$D$246,MATCH(B2287,'ZCB Curve - Payment Dates'!$A$2:$A$246,0))</f>
        <v>0.87778421628860481</v>
      </c>
      <c r="E2287" s="32">
        <f t="shared" si="35"/>
        <v>1.3715378379509451</v>
      </c>
    </row>
    <row r="2288" spans="1:5" x14ac:dyDescent="0.25">
      <c r="A2288" s="17">
        <v>278</v>
      </c>
      <c r="B2288" s="31">
        <v>47529</v>
      </c>
      <c r="C2288" s="32">
        <f>INDEX('Input Data'!$B:$B,A2288)/2+IF(A2288&lt;&gt;A2289,100,0)</f>
        <v>1.5625</v>
      </c>
      <c r="D2288" s="33">
        <f>INDEX('ZCB Curve - Payment Dates'!$D$2:$D$246,MATCH(B2288,'ZCB Curve - Payment Dates'!$A$2:$A$246,0))</f>
        <v>0.85751015570959666</v>
      </c>
      <c r="E2288" s="32">
        <f t="shared" si="35"/>
        <v>1.3398596182962448</v>
      </c>
    </row>
    <row r="2289" spans="1:5" x14ac:dyDescent="0.25">
      <c r="A2289" s="17">
        <v>278</v>
      </c>
      <c r="B2289" s="31">
        <v>47710</v>
      </c>
      <c r="C2289" s="32">
        <f>INDEX('Input Data'!$B:$B,A2289)/2+IF(A2289&lt;&gt;A2290,100,0)</f>
        <v>1.5625</v>
      </c>
      <c r="D2289" s="33">
        <f>INDEX('ZCB Curve - Payment Dates'!$D$2:$D$246,MATCH(B2289,'ZCB Curve - Payment Dates'!$A$2:$A$246,0))</f>
        <v>0.83802423748211174</v>
      </c>
      <c r="E2289" s="32">
        <f t="shared" si="35"/>
        <v>1.3094128710657995</v>
      </c>
    </row>
    <row r="2290" spans="1:5" x14ac:dyDescent="0.25">
      <c r="A2290" s="17">
        <v>278</v>
      </c>
      <c r="B2290" s="31">
        <v>47894</v>
      </c>
      <c r="C2290" s="32">
        <f>INDEX('Input Data'!$B:$B,A2290)/2+IF(A2290&lt;&gt;A2291,100,0)</f>
        <v>1.5625</v>
      </c>
      <c r="D2290" s="33">
        <f>INDEX('ZCB Curve - Payment Dates'!$D$2:$D$246,MATCH(B2290,'ZCB Curve - Payment Dates'!$A$2:$A$246,0))</f>
        <v>0.8186305474741673</v>
      </c>
      <c r="E2290" s="32">
        <f t="shared" si="35"/>
        <v>1.2791102304283863</v>
      </c>
    </row>
    <row r="2291" spans="1:5" x14ac:dyDescent="0.25">
      <c r="A2291" s="17">
        <v>278</v>
      </c>
      <c r="B2291" s="31">
        <v>48075</v>
      </c>
      <c r="C2291" s="32">
        <f>INDEX('Input Data'!$B:$B,A2291)/2+IF(A2291&lt;&gt;A2292,100,0)</f>
        <v>1.5625</v>
      </c>
      <c r="D2291" s="33">
        <f>INDEX('ZCB Curve - Payment Dates'!$D$2:$D$246,MATCH(B2291,'ZCB Curve - Payment Dates'!$A$2:$A$246,0))</f>
        <v>0.7999252334775927</v>
      </c>
      <c r="E2291" s="32">
        <f t="shared" si="35"/>
        <v>1.2498831773087387</v>
      </c>
    </row>
    <row r="2292" spans="1:5" x14ac:dyDescent="0.25">
      <c r="A2292" s="17">
        <v>278</v>
      </c>
      <c r="B2292" s="31">
        <v>48259</v>
      </c>
      <c r="C2292" s="32">
        <f>INDEX('Input Data'!$B:$B,A2292)/2+IF(A2292&lt;&gt;A2293,100,0)</f>
        <v>1.5625</v>
      </c>
      <c r="D2292" s="33">
        <f>INDEX('ZCB Curve - Payment Dates'!$D$2:$D$246,MATCH(B2292,'ZCB Curve - Payment Dates'!$A$2:$A$246,0))</f>
        <v>0.78121887027612602</v>
      </c>
      <c r="E2292" s="32">
        <f t="shared" si="35"/>
        <v>1.2206544848064469</v>
      </c>
    </row>
    <row r="2293" spans="1:5" x14ac:dyDescent="0.25">
      <c r="A2293" s="17">
        <v>278</v>
      </c>
      <c r="B2293" s="31">
        <v>48441</v>
      </c>
      <c r="C2293" s="32">
        <f>INDEX('Input Data'!$B:$B,A2293)/2+IF(A2293&lt;&gt;A2294,100,0)</f>
        <v>1.5625</v>
      </c>
      <c r="D2293" s="33">
        <f>INDEX('ZCB Curve - Payment Dates'!$D$2:$D$246,MATCH(B2293,'ZCB Curve - Payment Dates'!$A$2:$A$246,0))</f>
        <v>0.76298123459017864</v>
      </c>
      <c r="E2293" s="32">
        <f t="shared" si="35"/>
        <v>1.192158179047154</v>
      </c>
    </row>
    <row r="2294" spans="1:5" x14ac:dyDescent="0.25">
      <c r="A2294" s="17">
        <v>278</v>
      </c>
      <c r="B2294" s="31">
        <v>48625</v>
      </c>
      <c r="C2294" s="32">
        <f>INDEX('Input Data'!$B:$B,A2294)/2+IF(A2294&lt;&gt;A2295,100,0)</f>
        <v>1.5625</v>
      </c>
      <c r="D2294" s="33">
        <f>INDEX('ZCB Curve - Payment Dates'!$D$2:$D$246,MATCH(B2294,'ZCB Curve - Payment Dates'!$A$2:$A$246,0))</f>
        <v>0.74476011611938586</v>
      </c>
      <c r="E2294" s="32">
        <f t="shared" si="35"/>
        <v>1.1636876814365404</v>
      </c>
    </row>
    <row r="2295" spans="1:5" x14ac:dyDescent="0.25">
      <c r="A2295" s="17">
        <v>278</v>
      </c>
      <c r="B2295" s="31">
        <v>48806</v>
      </c>
      <c r="C2295" s="32">
        <f>INDEX('Input Data'!$B:$B,A2295)/2+IF(A2295&lt;&gt;A2296,100,0)</f>
        <v>1.5625</v>
      </c>
      <c r="D2295" s="33">
        <f>INDEX('ZCB Curve - Payment Dates'!$D$2:$D$246,MATCH(B2295,'ZCB Curve - Payment Dates'!$A$2:$A$246,0))</f>
        <v>0.72701302496114584</v>
      </c>
      <c r="E2295" s="32">
        <f t="shared" si="35"/>
        <v>1.1359578515017903</v>
      </c>
    </row>
    <row r="2296" spans="1:5" x14ac:dyDescent="0.25">
      <c r="A2296" s="17">
        <v>278</v>
      </c>
      <c r="B2296" s="31">
        <v>48990</v>
      </c>
      <c r="C2296" s="32">
        <f>INDEX('Input Data'!$B:$B,A2296)/2+IF(A2296&lt;&gt;A2297,100,0)</f>
        <v>1.5625</v>
      </c>
      <c r="D2296" s="33">
        <f>INDEX('ZCB Curve - Payment Dates'!$D$2:$D$246,MATCH(B2296,'ZCB Curve - Payment Dates'!$A$2:$A$246,0))</f>
        <v>0.70912647031380449</v>
      </c>
      <c r="E2296" s="32">
        <f t="shared" si="35"/>
        <v>1.1080101098653194</v>
      </c>
    </row>
    <row r="2297" spans="1:5" x14ac:dyDescent="0.25">
      <c r="A2297" s="17">
        <v>278</v>
      </c>
      <c r="B2297" s="31">
        <v>49171</v>
      </c>
      <c r="C2297" s="32">
        <f>INDEX('Input Data'!$B:$B,A2297)/2+IF(A2297&lt;&gt;A2298,100,0)</f>
        <v>1.5625</v>
      </c>
      <c r="D2297" s="33">
        <f>INDEX('ZCB Curve - Payment Dates'!$D$2:$D$246,MATCH(B2297,'ZCB Curve - Payment Dates'!$A$2:$A$246,0))</f>
        <v>0.6916661505723215</v>
      </c>
      <c r="E2297" s="32">
        <f t="shared" si="35"/>
        <v>1.0807283602692523</v>
      </c>
    </row>
    <row r="2298" spans="1:5" x14ac:dyDescent="0.25">
      <c r="A2298" s="17">
        <v>278</v>
      </c>
      <c r="B2298" s="31">
        <v>49355</v>
      </c>
      <c r="C2298" s="32">
        <f>INDEX('Input Data'!$B:$B,A2298)/2+IF(A2298&lt;&gt;A2299,100,0)</f>
        <v>1.5625</v>
      </c>
      <c r="D2298" s="33">
        <f>INDEX('ZCB Curve - Payment Dates'!$D$2:$D$246,MATCH(B2298,'ZCB Curve - Payment Dates'!$A$2:$A$246,0))</f>
        <v>0.674047377898778</v>
      </c>
      <c r="E2298" s="32">
        <f t="shared" si="35"/>
        <v>1.0531990279668406</v>
      </c>
    </row>
    <row r="2299" spans="1:5" x14ac:dyDescent="0.25">
      <c r="A2299" s="17">
        <v>278</v>
      </c>
      <c r="B2299" s="31">
        <v>49536</v>
      </c>
      <c r="C2299" s="32">
        <f>INDEX('Input Data'!$B:$B,A2299)/2+IF(A2299&lt;&gt;A2300,100,0)</f>
        <v>1.5625</v>
      </c>
      <c r="D2299" s="33">
        <f>INDEX('ZCB Curve - Payment Dates'!$D$2:$D$246,MATCH(B2299,'ZCB Curve - Payment Dates'!$A$2:$A$246,0))</f>
        <v>0.65684432300638129</v>
      </c>
      <c r="E2299" s="32">
        <f t="shared" si="35"/>
        <v>1.0263192546974709</v>
      </c>
    </row>
    <row r="2300" spans="1:5" x14ac:dyDescent="0.25">
      <c r="A2300" s="17">
        <v>278</v>
      </c>
      <c r="B2300" s="31">
        <v>49720</v>
      </c>
      <c r="C2300" s="32">
        <f>INDEX('Input Data'!$B:$B,A2300)/2+IF(A2300&lt;&gt;A2301,100,0)</f>
        <v>1.5625</v>
      </c>
      <c r="D2300" s="33">
        <f>INDEX('ZCB Curve - Payment Dates'!$D$2:$D$246,MATCH(B2300,'ZCB Curve - Payment Dates'!$A$2:$A$246,0))</f>
        <v>0.63949604524993764</v>
      </c>
      <c r="E2300" s="32">
        <f t="shared" si="35"/>
        <v>0.9992125707030276</v>
      </c>
    </row>
    <row r="2301" spans="1:5" x14ac:dyDescent="0.25">
      <c r="A2301" s="17">
        <v>278</v>
      </c>
      <c r="B2301" s="31">
        <v>49902</v>
      </c>
      <c r="C2301" s="32">
        <f>INDEX('Input Data'!$B:$B,A2301)/2+IF(A2301&lt;&gt;A2302,100,0)</f>
        <v>1.5625</v>
      </c>
      <c r="D2301" s="33">
        <f>INDEX('ZCB Curve - Payment Dates'!$D$2:$D$246,MATCH(B2301,'ZCB Curve - Payment Dates'!$A$2:$A$246,0))</f>
        <v>0.62248862376822711</v>
      </c>
      <c r="E2301" s="32">
        <f t="shared" si="35"/>
        <v>0.97263847463785491</v>
      </c>
    </row>
    <row r="2302" spans="1:5" x14ac:dyDescent="0.25">
      <c r="A2302" s="17">
        <v>278</v>
      </c>
      <c r="B2302" s="31">
        <v>50086</v>
      </c>
      <c r="C2302" s="32">
        <f>INDEX('Input Data'!$B:$B,A2302)/2+IF(A2302&lt;&gt;A2303,100,0)</f>
        <v>1.5625</v>
      </c>
      <c r="D2302" s="33">
        <f>INDEX('ZCB Curve - Payment Dates'!$D$2:$D$246,MATCH(B2302,'ZCB Curve - Payment Dates'!$A$2:$A$246,0))</f>
        <v>0.60546490876014969</v>
      </c>
      <c r="E2302" s="32">
        <f t="shared" si="35"/>
        <v>0.94603891993773392</v>
      </c>
    </row>
    <row r="2303" spans="1:5" x14ac:dyDescent="0.25">
      <c r="A2303" s="17">
        <v>278</v>
      </c>
      <c r="B2303" s="31">
        <v>50267</v>
      </c>
      <c r="C2303" s="32">
        <f>INDEX('Input Data'!$B:$B,A2303)/2+IF(A2303&lt;&gt;A2304,100,0)</f>
        <v>1.5625</v>
      </c>
      <c r="D2303" s="33">
        <f>INDEX('ZCB Curve - Payment Dates'!$D$2:$D$246,MATCH(B2303,'ZCB Curve - Payment Dates'!$A$2:$A$246,0))</f>
        <v>0.58890683803346977</v>
      </c>
      <c r="E2303" s="32">
        <f t="shared" si="35"/>
        <v>0.92016693442729647</v>
      </c>
    </row>
    <row r="2304" spans="1:5" x14ac:dyDescent="0.25">
      <c r="A2304" s="17">
        <v>278</v>
      </c>
      <c r="B2304" s="31">
        <v>50451</v>
      </c>
      <c r="C2304" s="32">
        <f>INDEX('Input Data'!$B:$B,A2304)/2+IF(A2304&lt;&gt;A2305,100,0)</f>
        <v>1.5625</v>
      </c>
      <c r="D2304" s="33">
        <f>INDEX('ZCB Curve - Payment Dates'!$D$2:$D$246,MATCH(B2304,'ZCB Curve - Payment Dates'!$A$2:$A$246,0))</f>
        <v>0.57228983695479263</v>
      </c>
      <c r="E2304" s="32">
        <f t="shared" si="35"/>
        <v>0.89420287024186351</v>
      </c>
    </row>
    <row r="2305" spans="1:5" x14ac:dyDescent="0.25">
      <c r="A2305" s="17">
        <v>278</v>
      </c>
      <c r="B2305" s="31">
        <v>50632</v>
      </c>
      <c r="C2305" s="32">
        <f>INDEX('Input Data'!$B:$B,A2305)/2+IF(A2305&lt;&gt;A2306,100,0)</f>
        <v>1.5625</v>
      </c>
      <c r="D2305" s="33">
        <f>INDEX('ZCB Curve - Payment Dates'!$D$2:$D$246,MATCH(B2305,'ZCB Curve - Payment Dates'!$A$2:$A$246,0))</f>
        <v>0.55617795699202288</v>
      </c>
      <c r="E2305" s="32">
        <f t="shared" si="35"/>
        <v>0.86902805780003578</v>
      </c>
    </row>
    <row r="2306" spans="1:5" x14ac:dyDescent="0.25">
      <c r="A2306" s="17">
        <v>278</v>
      </c>
      <c r="B2306" s="31">
        <v>50816</v>
      </c>
      <c r="C2306" s="32">
        <f>INDEX('Input Data'!$B:$B,A2306)/2+IF(A2306&lt;&gt;A2307,100,0)</f>
        <v>1.5625</v>
      </c>
      <c r="D2306" s="33">
        <f>INDEX('ZCB Curve - Payment Dates'!$D$2:$D$246,MATCH(B2306,'ZCB Curve - Payment Dates'!$A$2:$A$246,0))</f>
        <v>0.54006240951211237</v>
      </c>
      <c r="E2306" s="32">
        <f t="shared" ref="E2306:E2369" si="36">C2306*D2306</f>
        <v>0.84384751486267562</v>
      </c>
    </row>
    <row r="2307" spans="1:5" x14ac:dyDescent="0.25">
      <c r="A2307" s="17">
        <v>278</v>
      </c>
      <c r="B2307" s="31">
        <v>50997</v>
      </c>
      <c r="C2307" s="32">
        <f>INDEX('Input Data'!$B:$B,A2307)/2+IF(A2307&lt;&gt;A2308,100,0)</f>
        <v>1.5625</v>
      </c>
      <c r="D2307" s="33">
        <f>INDEX('ZCB Curve - Payment Dates'!$D$2:$D$246,MATCH(B2307,'ZCB Curve - Payment Dates'!$A$2:$A$246,0))</f>
        <v>0.52449040173194583</v>
      </c>
      <c r="E2307" s="32">
        <f t="shared" si="36"/>
        <v>0.81951625270616535</v>
      </c>
    </row>
    <row r="2308" spans="1:5" x14ac:dyDescent="0.25">
      <c r="A2308" s="17">
        <v>278</v>
      </c>
      <c r="B2308" s="31">
        <v>51181</v>
      </c>
      <c r="C2308" s="32">
        <f>INDEX('Input Data'!$B:$B,A2308)/2+IF(A2308&lt;&gt;A2309,100,0)</f>
        <v>1.5625</v>
      </c>
      <c r="D2308" s="33">
        <f>INDEX('ZCB Curve - Payment Dates'!$D$2:$D$246,MATCH(B2308,'ZCB Curve - Payment Dates'!$A$2:$A$246,0))</f>
        <v>0.5089691698468306</v>
      </c>
      <c r="E2308" s="32">
        <f t="shared" si="36"/>
        <v>0.79526432788567281</v>
      </c>
    </row>
    <row r="2309" spans="1:5" x14ac:dyDescent="0.25">
      <c r="A2309" s="17">
        <v>278</v>
      </c>
      <c r="B2309" s="31">
        <v>51363</v>
      </c>
      <c r="C2309" s="32">
        <f>INDEX('Input Data'!$B:$B,A2309)/2+IF(A2309&lt;&gt;A2310,100,0)</f>
        <v>1.5625</v>
      </c>
      <c r="D2309" s="33">
        <f>INDEX('ZCB Curve - Payment Dates'!$D$2:$D$246,MATCH(B2309,'ZCB Curve - Payment Dates'!$A$2:$A$246,0))</f>
        <v>0.49394036022330806</v>
      </c>
      <c r="E2309" s="32">
        <f t="shared" si="36"/>
        <v>0.77178181284891889</v>
      </c>
    </row>
    <row r="2310" spans="1:5" x14ac:dyDescent="0.25">
      <c r="A2310" s="17">
        <v>278</v>
      </c>
      <c r="B2310" s="31">
        <v>51547</v>
      </c>
      <c r="C2310" s="32">
        <f>INDEX('Input Data'!$B:$B,A2310)/2+IF(A2310&lt;&gt;A2311,100,0)</f>
        <v>1.5625</v>
      </c>
      <c r="D2310" s="33">
        <f>INDEX('ZCB Curve - Payment Dates'!$D$2:$D$246,MATCH(B2310,'ZCB Curve - Payment Dates'!$A$2:$A$246,0))</f>
        <v>0.47909718957588998</v>
      </c>
      <c r="E2310" s="32">
        <f t="shared" si="36"/>
        <v>0.74858935871232812</v>
      </c>
    </row>
    <row r="2311" spans="1:5" x14ac:dyDescent="0.25">
      <c r="A2311" s="17">
        <v>278</v>
      </c>
      <c r="B2311" s="31">
        <v>51728</v>
      </c>
      <c r="C2311" s="32">
        <f>INDEX('Input Data'!$B:$B,A2311)/2+IF(A2311&lt;&gt;A2312,100,0)</f>
        <v>1.5625</v>
      </c>
      <c r="D2311" s="33">
        <f>INDEX('ZCB Curve - Payment Dates'!$D$2:$D$246,MATCH(B2311,'ZCB Curve - Payment Dates'!$A$2:$A$246,0))</f>
        <v>0.46485329459616059</v>
      </c>
      <c r="E2311" s="32">
        <f t="shared" si="36"/>
        <v>0.72633327280650095</v>
      </c>
    </row>
    <row r="2312" spans="1:5" x14ac:dyDescent="0.25">
      <c r="A2312" s="17">
        <v>278</v>
      </c>
      <c r="B2312" s="31">
        <v>51912</v>
      </c>
      <c r="C2312" s="32">
        <f>INDEX('Input Data'!$B:$B,A2312)/2+IF(A2312&lt;&gt;A2313,100,0)</f>
        <v>101.5625</v>
      </c>
      <c r="D2312" s="33">
        <f>INDEX('ZCB Curve - Payment Dates'!$D$2:$D$246,MATCH(B2312,'ZCB Curve - Payment Dates'!$A$2:$A$246,0))</f>
        <v>0.45075168915212815</v>
      </c>
      <c r="E2312" s="32">
        <f t="shared" si="36"/>
        <v>45.779468429513017</v>
      </c>
    </row>
    <row r="2313" spans="1:5" x14ac:dyDescent="0.25">
      <c r="A2313" s="17">
        <v>279</v>
      </c>
      <c r="B2313" s="31">
        <v>46341</v>
      </c>
      <c r="C2313" s="32">
        <f>INDEX('Input Data'!$B:$B,A2313)/2+IF(A2313&lt;&gt;A2314,100,0)</f>
        <v>1.5</v>
      </c>
      <c r="D2313" s="33">
        <f>INDEX('ZCB Curve - Payment Dates'!$D$2:$D$246,MATCH(B2313,'ZCB Curve - Payment Dates'!$A$2:$A$246,0))</f>
        <v>0.99245367292309439</v>
      </c>
      <c r="E2313" s="32">
        <f t="shared" si="36"/>
        <v>1.4886805093846416</v>
      </c>
    </row>
    <row r="2314" spans="1:5" x14ac:dyDescent="0.25">
      <c r="A2314" s="17">
        <v>279</v>
      </c>
      <c r="B2314" s="31">
        <v>46522</v>
      </c>
      <c r="C2314" s="32">
        <f>INDEX('Input Data'!$B:$B,A2314)/2+IF(A2314&lt;&gt;A2315,100,0)</f>
        <v>1.5</v>
      </c>
      <c r="D2314" s="33">
        <f>INDEX('ZCB Curve - Payment Dates'!$D$2:$D$246,MATCH(B2314,'ZCB Curve - Payment Dates'!$A$2:$A$246,0))</f>
        <v>0.97242179559611874</v>
      </c>
      <c r="E2314" s="32">
        <f t="shared" si="36"/>
        <v>1.4586326933941782</v>
      </c>
    </row>
    <row r="2315" spans="1:5" x14ac:dyDescent="0.25">
      <c r="A2315" s="17">
        <v>279</v>
      </c>
      <c r="B2315" s="31">
        <v>46706</v>
      </c>
      <c r="C2315" s="32">
        <f>INDEX('Input Data'!$B:$B,A2315)/2+IF(A2315&lt;&gt;A2316,100,0)</f>
        <v>1.5</v>
      </c>
      <c r="D2315" s="33">
        <f>INDEX('ZCB Curve - Payment Dates'!$D$2:$D$246,MATCH(B2315,'ZCB Curve - Payment Dates'!$A$2:$A$246,0))</f>
        <v>0.95121018311627348</v>
      </c>
      <c r="E2315" s="32">
        <f t="shared" si="36"/>
        <v>1.4268152746744103</v>
      </c>
    </row>
    <row r="2316" spans="1:5" x14ac:dyDescent="0.25">
      <c r="A2316" s="17">
        <v>279</v>
      </c>
      <c r="B2316" s="31">
        <v>46888</v>
      </c>
      <c r="C2316" s="32">
        <f>INDEX('Input Data'!$B:$B,A2316)/2+IF(A2316&lt;&gt;A2317,100,0)</f>
        <v>1.5</v>
      </c>
      <c r="D2316" s="33">
        <f>INDEX('ZCB Curve - Payment Dates'!$D$2:$D$246,MATCH(B2316,'ZCB Curve - Payment Dates'!$A$2:$A$246,0))</f>
        <v>0.93000025435083566</v>
      </c>
      <c r="E2316" s="32">
        <f t="shared" si="36"/>
        <v>1.3950003815262535</v>
      </c>
    </row>
    <row r="2317" spans="1:5" x14ac:dyDescent="0.25">
      <c r="A2317" s="17">
        <v>279</v>
      </c>
      <c r="B2317" s="31">
        <v>47072</v>
      </c>
      <c r="C2317" s="32">
        <f>INDEX('Input Data'!$B:$B,A2317)/2+IF(A2317&lt;&gt;A2318,100,0)</f>
        <v>1.5</v>
      </c>
      <c r="D2317" s="33">
        <f>INDEX('ZCB Curve - Payment Dates'!$D$2:$D$246,MATCH(B2317,'ZCB Curve - Payment Dates'!$A$2:$A$246,0))</f>
        <v>0.90870125167038918</v>
      </c>
      <c r="E2317" s="32">
        <f t="shared" si="36"/>
        <v>1.3630518775055838</v>
      </c>
    </row>
    <row r="2318" spans="1:5" x14ac:dyDescent="0.25">
      <c r="A2318" s="17">
        <v>279</v>
      </c>
      <c r="B2318" s="31">
        <v>47253</v>
      </c>
      <c r="C2318" s="32">
        <f>INDEX('Input Data'!$B:$B,A2318)/2+IF(A2318&lt;&gt;A2319,100,0)</f>
        <v>1.5</v>
      </c>
      <c r="D2318" s="33">
        <f>INDEX('ZCB Curve - Payment Dates'!$D$2:$D$246,MATCH(B2318,'ZCB Curve - Payment Dates'!$A$2:$A$246,0))</f>
        <v>0.88809325063638844</v>
      </c>
      <c r="E2318" s="32">
        <f t="shared" si="36"/>
        <v>1.3321398759545826</v>
      </c>
    </row>
    <row r="2319" spans="1:5" x14ac:dyDescent="0.25">
      <c r="A2319" s="17">
        <v>279</v>
      </c>
      <c r="B2319" s="31">
        <v>47437</v>
      </c>
      <c r="C2319" s="32">
        <f>INDEX('Input Data'!$B:$B,A2319)/2+IF(A2319&lt;&gt;A2320,100,0)</f>
        <v>1.5</v>
      </c>
      <c r="D2319" s="33">
        <f>INDEX('ZCB Curve - Payment Dates'!$D$2:$D$246,MATCH(B2319,'ZCB Curve - Payment Dates'!$A$2:$A$246,0))</f>
        <v>0.86758824089536279</v>
      </c>
      <c r="E2319" s="32">
        <f t="shared" si="36"/>
        <v>1.3013823613430442</v>
      </c>
    </row>
    <row r="2320" spans="1:5" x14ac:dyDescent="0.25">
      <c r="A2320" s="17">
        <v>279</v>
      </c>
      <c r="B2320" s="31">
        <v>47618</v>
      </c>
      <c r="C2320" s="32">
        <f>INDEX('Input Data'!$B:$B,A2320)/2+IF(A2320&lt;&gt;A2321,100,0)</f>
        <v>1.5</v>
      </c>
      <c r="D2320" s="33">
        <f>INDEX('ZCB Curve - Payment Dates'!$D$2:$D$246,MATCH(B2320,'ZCB Curve - Payment Dates'!$A$2:$A$246,0))</f>
        <v>0.84787416911783064</v>
      </c>
      <c r="E2320" s="32">
        <f t="shared" si="36"/>
        <v>1.2718112536767459</v>
      </c>
    </row>
    <row r="2321" spans="1:5" x14ac:dyDescent="0.25">
      <c r="A2321" s="17">
        <v>279</v>
      </c>
      <c r="B2321" s="31">
        <v>47802</v>
      </c>
      <c r="C2321" s="32">
        <f>INDEX('Input Data'!$B:$B,A2321)/2+IF(A2321&lt;&gt;A2322,100,0)</f>
        <v>1.5</v>
      </c>
      <c r="D2321" s="33">
        <f>INDEX('ZCB Curve - Payment Dates'!$D$2:$D$246,MATCH(B2321,'ZCB Curve - Payment Dates'!$A$2:$A$246,0))</f>
        <v>0.82827715028796722</v>
      </c>
      <c r="E2321" s="32">
        <f t="shared" si="36"/>
        <v>1.2424157254319508</v>
      </c>
    </row>
    <row r="2322" spans="1:5" x14ac:dyDescent="0.25">
      <c r="A2322" s="17">
        <v>279</v>
      </c>
      <c r="B2322" s="31">
        <v>47983</v>
      </c>
      <c r="C2322" s="32">
        <f>INDEX('Input Data'!$B:$B,A2322)/2+IF(A2322&lt;&gt;A2323,100,0)</f>
        <v>1.5</v>
      </c>
      <c r="D2322" s="33">
        <f>INDEX('ZCB Curve - Payment Dates'!$D$2:$D$246,MATCH(B2322,'ZCB Curve - Payment Dates'!$A$2:$A$246,0))</f>
        <v>0.80939067484273564</v>
      </c>
      <c r="E2322" s="32">
        <f t="shared" si="36"/>
        <v>1.2140860122641035</v>
      </c>
    </row>
    <row r="2323" spans="1:5" x14ac:dyDescent="0.25">
      <c r="A2323" s="17">
        <v>279</v>
      </c>
      <c r="B2323" s="31">
        <v>48167</v>
      </c>
      <c r="C2323" s="32">
        <f>INDEX('Input Data'!$B:$B,A2323)/2+IF(A2323&lt;&gt;A2324,100,0)</f>
        <v>1.5</v>
      </c>
      <c r="D2323" s="33">
        <f>INDEX('ZCB Curve - Payment Dates'!$D$2:$D$246,MATCH(B2323,'ZCB Curve - Payment Dates'!$A$2:$A$246,0))</f>
        <v>0.79053567842581962</v>
      </c>
      <c r="E2323" s="32">
        <f t="shared" si="36"/>
        <v>1.1858035176387294</v>
      </c>
    </row>
    <row r="2324" spans="1:5" x14ac:dyDescent="0.25">
      <c r="A2324" s="17">
        <v>279</v>
      </c>
      <c r="B2324" s="31">
        <v>48349</v>
      </c>
      <c r="C2324" s="32">
        <f>INDEX('Input Data'!$B:$B,A2324)/2+IF(A2324&lt;&gt;A2325,100,0)</f>
        <v>1.5</v>
      </c>
      <c r="D2324" s="33">
        <f>INDEX('ZCB Curve - Payment Dates'!$D$2:$D$246,MATCH(B2324,'ZCB Curve - Payment Dates'!$A$2:$A$246,0))</f>
        <v>0.77217305702007488</v>
      </c>
      <c r="E2324" s="32">
        <f t="shared" si="36"/>
        <v>1.1582595855301123</v>
      </c>
    </row>
    <row r="2325" spans="1:5" x14ac:dyDescent="0.25">
      <c r="A2325" s="17">
        <v>279</v>
      </c>
      <c r="B2325" s="31">
        <v>48533</v>
      </c>
      <c r="C2325" s="32">
        <f>INDEX('Input Data'!$B:$B,A2325)/2+IF(A2325&lt;&gt;A2326,100,0)</f>
        <v>1.5</v>
      </c>
      <c r="D2325" s="33">
        <f>INDEX('ZCB Curve - Payment Dates'!$D$2:$D$246,MATCH(B2325,'ZCB Curve - Payment Dates'!$A$2:$A$246,0))</f>
        <v>0.75384766072076514</v>
      </c>
      <c r="E2325" s="32">
        <f t="shared" si="36"/>
        <v>1.1307714910811477</v>
      </c>
    </row>
    <row r="2326" spans="1:5" x14ac:dyDescent="0.25">
      <c r="A2326" s="17">
        <v>279</v>
      </c>
      <c r="B2326" s="31">
        <v>48714</v>
      </c>
      <c r="C2326" s="32">
        <f>INDEX('Input Data'!$B:$B,A2326)/2+IF(A2326&lt;&gt;A2327,100,0)</f>
        <v>1.5</v>
      </c>
      <c r="D2326" s="33">
        <f>INDEX('ZCB Curve - Payment Dates'!$D$2:$D$246,MATCH(B2326,'ZCB Curve - Payment Dates'!$A$2:$A$246,0))</f>
        <v>0.73601491848746747</v>
      </c>
      <c r="E2326" s="32">
        <f t="shared" si="36"/>
        <v>1.1040223777312013</v>
      </c>
    </row>
    <row r="2327" spans="1:5" x14ac:dyDescent="0.25">
      <c r="A2327" s="17">
        <v>279</v>
      </c>
      <c r="B2327" s="31">
        <v>48898</v>
      </c>
      <c r="C2327" s="32">
        <f>INDEX('Input Data'!$B:$B,A2327)/2+IF(A2327&lt;&gt;A2328,100,0)</f>
        <v>1.5</v>
      </c>
      <c r="D2327" s="33">
        <f>INDEX('ZCB Curve - Payment Dates'!$D$2:$D$246,MATCH(B2327,'ZCB Curve - Payment Dates'!$A$2:$A$246,0))</f>
        <v>0.71805338140354003</v>
      </c>
      <c r="E2327" s="32">
        <f t="shared" si="36"/>
        <v>1.07708007210531</v>
      </c>
    </row>
    <row r="2328" spans="1:5" x14ac:dyDescent="0.25">
      <c r="A2328" s="17">
        <v>279</v>
      </c>
      <c r="B2328" s="31">
        <v>49079</v>
      </c>
      <c r="C2328" s="32">
        <f>INDEX('Input Data'!$B:$B,A2328)/2+IF(A2328&lt;&gt;A2329,100,0)</f>
        <v>1.5</v>
      </c>
      <c r="D2328" s="33">
        <f>INDEX('ZCB Curve - Payment Dates'!$D$2:$D$246,MATCH(B2328,'ZCB Curve - Payment Dates'!$A$2:$A$246,0))</f>
        <v>0.70052630492471468</v>
      </c>
      <c r="E2328" s="32">
        <f t="shared" si="36"/>
        <v>1.050789457387072</v>
      </c>
    </row>
    <row r="2329" spans="1:5" x14ac:dyDescent="0.25">
      <c r="A2329" s="17">
        <v>279</v>
      </c>
      <c r="B2329" s="31">
        <v>49263</v>
      </c>
      <c r="C2329" s="32">
        <f>INDEX('Input Data'!$B:$B,A2329)/2+IF(A2329&lt;&gt;A2330,100,0)</f>
        <v>1.5</v>
      </c>
      <c r="D2329" s="33">
        <f>INDEX('ZCB Curve - Payment Dates'!$D$2:$D$246,MATCH(B2329,'ZCB Curve - Payment Dates'!$A$2:$A$246,0))</f>
        <v>0.68284221202539863</v>
      </c>
      <c r="E2329" s="32">
        <f t="shared" si="36"/>
        <v>1.024263318038098</v>
      </c>
    </row>
    <row r="2330" spans="1:5" x14ac:dyDescent="0.25">
      <c r="A2330" s="17">
        <v>279</v>
      </c>
      <c r="B2330" s="31">
        <v>49444</v>
      </c>
      <c r="C2330" s="32">
        <f>INDEX('Input Data'!$B:$B,A2330)/2+IF(A2330&lt;&gt;A2331,100,0)</f>
        <v>1.5</v>
      </c>
      <c r="D2330" s="33">
        <f>INDEX('ZCB Curve - Payment Dates'!$D$2:$D$246,MATCH(B2330,'ZCB Curve - Payment Dates'!$A$2:$A$246,0))</f>
        <v>0.66557347415228496</v>
      </c>
      <c r="E2330" s="32">
        <f t="shared" si="36"/>
        <v>0.99836021122842744</v>
      </c>
    </row>
    <row r="2331" spans="1:5" x14ac:dyDescent="0.25">
      <c r="A2331" s="17">
        <v>279</v>
      </c>
      <c r="B2331" s="31">
        <v>49628</v>
      </c>
      <c r="C2331" s="32">
        <f>INDEX('Input Data'!$B:$B,A2331)/2+IF(A2331&lt;&gt;A2332,100,0)</f>
        <v>1.5</v>
      </c>
      <c r="D2331" s="33">
        <f>INDEX('ZCB Curve - Payment Dates'!$D$2:$D$246,MATCH(B2331,'ZCB Curve - Payment Dates'!$A$2:$A$246,0))</f>
        <v>0.64815361918127823</v>
      </c>
      <c r="E2331" s="32">
        <f t="shared" si="36"/>
        <v>0.97223042877191734</v>
      </c>
    </row>
    <row r="2332" spans="1:5" x14ac:dyDescent="0.25">
      <c r="A2332" s="17">
        <v>279</v>
      </c>
      <c r="B2332" s="31">
        <v>49810</v>
      </c>
      <c r="C2332" s="32">
        <f>INDEX('Input Data'!$B:$B,A2332)/2+IF(A2332&lt;&gt;A2333,100,0)</f>
        <v>1.5</v>
      </c>
      <c r="D2332" s="33">
        <f>INDEX('ZCB Curve - Payment Dates'!$D$2:$D$246,MATCH(B2332,'ZCB Curve - Payment Dates'!$A$2:$A$246,0))</f>
        <v>0.63106457078577471</v>
      </c>
      <c r="E2332" s="32">
        <f t="shared" si="36"/>
        <v>0.94659685617866207</v>
      </c>
    </row>
    <row r="2333" spans="1:5" x14ac:dyDescent="0.25">
      <c r="A2333" s="17">
        <v>279</v>
      </c>
      <c r="B2333" s="31">
        <v>49994</v>
      </c>
      <c r="C2333" s="32">
        <f>INDEX('Input Data'!$B:$B,A2333)/2+IF(A2333&lt;&gt;A2334,100,0)</f>
        <v>1.5</v>
      </c>
      <c r="D2333" s="33">
        <f>INDEX('ZCB Curve - Payment Dates'!$D$2:$D$246,MATCH(B2333,'ZCB Curve - Payment Dates'!$A$2:$A$246,0))</f>
        <v>0.61395227923184648</v>
      </c>
      <c r="E2333" s="32">
        <f t="shared" si="36"/>
        <v>0.92092841884776977</v>
      </c>
    </row>
    <row r="2334" spans="1:5" x14ac:dyDescent="0.25">
      <c r="A2334" s="17">
        <v>279</v>
      </c>
      <c r="B2334" s="31">
        <v>50175</v>
      </c>
      <c r="C2334" s="32">
        <f>INDEX('Input Data'!$B:$B,A2334)/2+IF(A2334&lt;&gt;A2335,100,0)</f>
        <v>1.5</v>
      </c>
      <c r="D2334" s="33">
        <f>INDEX('ZCB Curve - Payment Dates'!$D$2:$D$246,MATCH(B2334,'ZCB Curve - Payment Dates'!$A$2:$A$246,0))</f>
        <v>0.5972963482314616</v>
      </c>
      <c r="E2334" s="32">
        <f t="shared" si="36"/>
        <v>0.89594452234719246</v>
      </c>
    </row>
    <row r="2335" spans="1:5" x14ac:dyDescent="0.25">
      <c r="A2335" s="17">
        <v>279</v>
      </c>
      <c r="B2335" s="31">
        <v>50359</v>
      </c>
      <c r="C2335" s="32">
        <f>INDEX('Input Data'!$B:$B,A2335)/2+IF(A2335&lt;&gt;A2336,100,0)</f>
        <v>1.5</v>
      </c>
      <c r="D2335" s="33">
        <f>INDEX('ZCB Curve - Payment Dates'!$D$2:$D$246,MATCH(B2335,'ZCB Curve - Payment Dates'!$A$2:$A$246,0))</f>
        <v>0.58056812006155756</v>
      </c>
      <c r="E2335" s="32">
        <f t="shared" si="36"/>
        <v>0.87085218009233634</v>
      </c>
    </row>
    <row r="2336" spans="1:5" x14ac:dyDescent="0.25">
      <c r="A2336" s="17">
        <v>279</v>
      </c>
      <c r="B2336" s="31">
        <v>50540</v>
      </c>
      <c r="C2336" s="32">
        <f>INDEX('Input Data'!$B:$B,A2336)/2+IF(A2336&lt;&gt;A2337,100,0)</f>
        <v>1.5</v>
      </c>
      <c r="D2336" s="33">
        <f>INDEX('ZCB Curve - Payment Dates'!$D$2:$D$246,MATCH(B2336,'ZCB Curve - Payment Dates'!$A$2:$A$246,0))</f>
        <v>0.56433491315969797</v>
      </c>
      <c r="E2336" s="32">
        <f t="shared" si="36"/>
        <v>0.84650236973954696</v>
      </c>
    </row>
    <row r="2337" spans="1:5" x14ac:dyDescent="0.25">
      <c r="A2337" s="17">
        <v>279</v>
      </c>
      <c r="B2337" s="31">
        <v>50724</v>
      </c>
      <c r="C2337" s="32">
        <f>INDEX('Input Data'!$B:$B,A2337)/2+IF(A2337&lt;&gt;A2338,100,0)</f>
        <v>1.5</v>
      </c>
      <c r="D2337" s="33">
        <f>INDEX('ZCB Curve - Payment Dates'!$D$2:$D$246,MATCH(B2337,'ZCB Curve - Payment Dates'!$A$2:$A$246,0))</f>
        <v>0.54808398139057424</v>
      </c>
      <c r="E2337" s="32">
        <f t="shared" si="36"/>
        <v>0.82212597208586136</v>
      </c>
    </row>
    <row r="2338" spans="1:5" x14ac:dyDescent="0.25">
      <c r="A2338" s="17">
        <v>279</v>
      </c>
      <c r="B2338" s="31">
        <v>50905</v>
      </c>
      <c r="C2338" s="32">
        <f>INDEX('Input Data'!$B:$B,A2338)/2+IF(A2338&lt;&gt;A2339,100,0)</f>
        <v>1.5</v>
      </c>
      <c r="D2338" s="33">
        <f>INDEX('ZCB Curve - Payment Dates'!$D$2:$D$246,MATCH(B2338,'ZCB Curve - Payment Dates'!$A$2:$A$246,0))</f>
        <v>0.5323673246083096</v>
      </c>
      <c r="E2338" s="32">
        <f t="shared" si="36"/>
        <v>0.7985509869124644</v>
      </c>
    </row>
    <row r="2339" spans="1:5" x14ac:dyDescent="0.25">
      <c r="A2339" s="17">
        <v>279</v>
      </c>
      <c r="B2339" s="31">
        <v>51089</v>
      </c>
      <c r="C2339" s="32">
        <f>INDEX('Input Data'!$B:$B,A2339)/2+IF(A2339&lt;&gt;A2340,100,0)</f>
        <v>1.5</v>
      </c>
      <c r="D2339" s="33">
        <f>INDEX('ZCB Curve - Payment Dates'!$D$2:$D$246,MATCH(B2339,'ZCB Curve - Payment Dates'!$A$2:$A$246,0))</f>
        <v>0.51668806431098135</v>
      </c>
      <c r="E2339" s="32">
        <f t="shared" si="36"/>
        <v>0.77503209646647209</v>
      </c>
    </row>
    <row r="2340" spans="1:5" x14ac:dyDescent="0.25">
      <c r="A2340" s="17">
        <v>279</v>
      </c>
      <c r="B2340" s="31">
        <v>51271</v>
      </c>
      <c r="C2340" s="32">
        <f>INDEX('Input Data'!$B:$B,A2340)/2+IF(A2340&lt;&gt;A2341,100,0)</f>
        <v>1.5</v>
      </c>
      <c r="D2340" s="33">
        <f>INDEX('ZCB Curve - Payment Dates'!$D$2:$D$246,MATCH(B2340,'ZCB Curve - Payment Dates'!$A$2:$A$246,0))</f>
        <v>0.50149590020417278</v>
      </c>
      <c r="E2340" s="32">
        <f t="shared" si="36"/>
        <v>0.75224385030625918</v>
      </c>
    </row>
    <row r="2341" spans="1:5" x14ac:dyDescent="0.25">
      <c r="A2341" s="17">
        <v>279</v>
      </c>
      <c r="B2341" s="31">
        <v>51455</v>
      </c>
      <c r="C2341" s="32">
        <f>INDEX('Input Data'!$B:$B,A2341)/2+IF(A2341&lt;&gt;A2342,100,0)</f>
        <v>1.5</v>
      </c>
      <c r="D2341" s="33">
        <f>INDEX('ZCB Curve - Payment Dates'!$D$2:$D$246,MATCH(B2341,'ZCB Curve - Payment Dates'!$A$2:$A$246,0))</f>
        <v>0.48647538074270091</v>
      </c>
      <c r="E2341" s="32">
        <f t="shared" si="36"/>
        <v>0.72971307111405137</v>
      </c>
    </row>
    <row r="2342" spans="1:5" x14ac:dyDescent="0.25">
      <c r="A2342" s="17">
        <v>279</v>
      </c>
      <c r="B2342" s="31">
        <v>51636</v>
      </c>
      <c r="C2342" s="32">
        <f>INDEX('Input Data'!$B:$B,A2342)/2+IF(A2342&lt;&gt;A2343,100,0)</f>
        <v>1.5</v>
      </c>
      <c r="D2342" s="33">
        <f>INDEX('ZCB Curve - Payment Dates'!$D$2:$D$246,MATCH(B2342,'ZCB Curve - Payment Dates'!$A$2:$A$246,0))</f>
        <v>0.47204918703719451</v>
      </c>
      <c r="E2342" s="32">
        <f t="shared" si="36"/>
        <v>0.70807378055579173</v>
      </c>
    </row>
    <row r="2343" spans="1:5" x14ac:dyDescent="0.25">
      <c r="A2343" s="17">
        <v>279</v>
      </c>
      <c r="B2343" s="31">
        <v>51820</v>
      </c>
      <c r="C2343" s="32">
        <f>INDEX('Input Data'!$B:$B,A2343)/2+IF(A2343&lt;&gt;A2344,100,0)</f>
        <v>1.5</v>
      </c>
      <c r="D2343" s="33">
        <f>INDEX('ZCB Curve - Payment Dates'!$D$2:$D$246,MATCH(B2343,'ZCB Curve - Payment Dates'!$A$2:$A$246,0))</f>
        <v>0.45775548669345245</v>
      </c>
      <c r="E2343" s="32">
        <f t="shared" si="36"/>
        <v>0.68663323004017873</v>
      </c>
    </row>
    <row r="2344" spans="1:5" x14ac:dyDescent="0.25">
      <c r="A2344" s="17">
        <v>279</v>
      </c>
      <c r="B2344" s="31">
        <v>52001</v>
      </c>
      <c r="C2344" s="32">
        <f>INDEX('Input Data'!$B:$B,A2344)/2+IF(A2344&lt;&gt;A2345,100,0)</f>
        <v>101.5</v>
      </c>
      <c r="D2344" s="33">
        <f>INDEX('ZCB Curve - Payment Dates'!$D$2:$D$246,MATCH(B2344,'ZCB Curve - Payment Dates'!$A$2:$A$246,0))</f>
        <v>0.44407192118484318</v>
      </c>
      <c r="E2344" s="32">
        <f t="shared" si="36"/>
        <v>45.073300000261582</v>
      </c>
    </row>
    <row r="2345" spans="1:5" x14ac:dyDescent="0.25">
      <c r="A2345" s="17">
        <v>280</v>
      </c>
      <c r="B2345" s="31">
        <v>46341</v>
      </c>
      <c r="C2345" s="32">
        <f>INDEX('Input Data'!$B:$B,A2345)/2+IF(A2345&lt;&gt;A2346,100,0)</f>
        <v>1.625</v>
      </c>
      <c r="D2345" s="33">
        <f>INDEX('ZCB Curve - Payment Dates'!$D$2:$D$246,MATCH(B2345,'ZCB Curve - Payment Dates'!$A$2:$A$246,0))</f>
        <v>0.99245367292309439</v>
      </c>
      <c r="E2345" s="32">
        <f t="shared" si="36"/>
        <v>1.6127372185000284</v>
      </c>
    </row>
    <row r="2346" spans="1:5" x14ac:dyDescent="0.25">
      <c r="A2346" s="17">
        <v>280</v>
      </c>
      <c r="B2346" s="31">
        <v>46522</v>
      </c>
      <c r="C2346" s="32">
        <f>INDEX('Input Data'!$B:$B,A2346)/2+IF(A2346&lt;&gt;A2347,100,0)</f>
        <v>1.625</v>
      </c>
      <c r="D2346" s="33">
        <f>INDEX('ZCB Curve - Payment Dates'!$D$2:$D$246,MATCH(B2346,'ZCB Curve - Payment Dates'!$A$2:$A$246,0))</f>
        <v>0.97242179559611874</v>
      </c>
      <c r="E2346" s="32">
        <f t="shared" si="36"/>
        <v>1.5801854178436929</v>
      </c>
    </row>
    <row r="2347" spans="1:5" x14ac:dyDescent="0.25">
      <c r="A2347" s="17">
        <v>280</v>
      </c>
      <c r="B2347" s="31">
        <v>46706</v>
      </c>
      <c r="C2347" s="32">
        <f>INDEX('Input Data'!$B:$B,A2347)/2+IF(A2347&lt;&gt;A2348,100,0)</f>
        <v>1.625</v>
      </c>
      <c r="D2347" s="33">
        <f>INDEX('ZCB Curve - Payment Dates'!$D$2:$D$246,MATCH(B2347,'ZCB Curve - Payment Dates'!$A$2:$A$246,0))</f>
        <v>0.95121018311627348</v>
      </c>
      <c r="E2347" s="32">
        <f t="shared" si="36"/>
        <v>1.5457165475639445</v>
      </c>
    </row>
    <row r="2348" spans="1:5" x14ac:dyDescent="0.25">
      <c r="A2348" s="17">
        <v>280</v>
      </c>
      <c r="B2348" s="31">
        <v>46888</v>
      </c>
      <c r="C2348" s="32">
        <f>INDEX('Input Data'!$B:$B,A2348)/2+IF(A2348&lt;&gt;A2349,100,0)</f>
        <v>1.625</v>
      </c>
      <c r="D2348" s="33">
        <f>INDEX('ZCB Curve - Payment Dates'!$D$2:$D$246,MATCH(B2348,'ZCB Curve - Payment Dates'!$A$2:$A$246,0))</f>
        <v>0.93000025435083566</v>
      </c>
      <c r="E2348" s="32">
        <f t="shared" si="36"/>
        <v>1.5112504133201079</v>
      </c>
    </row>
    <row r="2349" spans="1:5" x14ac:dyDescent="0.25">
      <c r="A2349" s="17">
        <v>280</v>
      </c>
      <c r="B2349" s="31">
        <v>47072</v>
      </c>
      <c r="C2349" s="32">
        <f>INDEX('Input Data'!$B:$B,A2349)/2+IF(A2349&lt;&gt;A2350,100,0)</f>
        <v>1.625</v>
      </c>
      <c r="D2349" s="33">
        <f>INDEX('ZCB Curve - Payment Dates'!$D$2:$D$246,MATCH(B2349,'ZCB Curve - Payment Dates'!$A$2:$A$246,0))</f>
        <v>0.90870125167038918</v>
      </c>
      <c r="E2349" s="32">
        <f t="shared" si="36"/>
        <v>1.4766395339643825</v>
      </c>
    </row>
    <row r="2350" spans="1:5" x14ac:dyDescent="0.25">
      <c r="A2350" s="17">
        <v>280</v>
      </c>
      <c r="B2350" s="31">
        <v>47253</v>
      </c>
      <c r="C2350" s="32">
        <f>INDEX('Input Data'!$B:$B,A2350)/2+IF(A2350&lt;&gt;A2351,100,0)</f>
        <v>1.625</v>
      </c>
      <c r="D2350" s="33">
        <f>INDEX('ZCB Curve - Payment Dates'!$D$2:$D$246,MATCH(B2350,'ZCB Curve - Payment Dates'!$A$2:$A$246,0))</f>
        <v>0.88809325063638844</v>
      </c>
      <c r="E2350" s="32">
        <f t="shared" si="36"/>
        <v>1.4431515322841313</v>
      </c>
    </row>
    <row r="2351" spans="1:5" x14ac:dyDescent="0.25">
      <c r="A2351" s="17">
        <v>280</v>
      </c>
      <c r="B2351" s="31">
        <v>47437</v>
      </c>
      <c r="C2351" s="32">
        <f>INDEX('Input Data'!$B:$B,A2351)/2+IF(A2351&lt;&gt;A2352,100,0)</f>
        <v>1.625</v>
      </c>
      <c r="D2351" s="33">
        <f>INDEX('ZCB Curve - Payment Dates'!$D$2:$D$246,MATCH(B2351,'ZCB Curve - Payment Dates'!$A$2:$A$246,0))</f>
        <v>0.86758824089536279</v>
      </c>
      <c r="E2351" s="32">
        <f t="shared" si="36"/>
        <v>1.4098308914549644</v>
      </c>
    </row>
    <row r="2352" spans="1:5" x14ac:dyDescent="0.25">
      <c r="A2352" s="17">
        <v>280</v>
      </c>
      <c r="B2352" s="31">
        <v>47618</v>
      </c>
      <c r="C2352" s="32">
        <f>INDEX('Input Data'!$B:$B,A2352)/2+IF(A2352&lt;&gt;A2353,100,0)</f>
        <v>1.625</v>
      </c>
      <c r="D2352" s="33">
        <f>INDEX('ZCB Curve - Payment Dates'!$D$2:$D$246,MATCH(B2352,'ZCB Curve - Payment Dates'!$A$2:$A$246,0))</f>
        <v>0.84787416911783064</v>
      </c>
      <c r="E2352" s="32">
        <f t="shared" si="36"/>
        <v>1.3777955248164748</v>
      </c>
    </row>
    <row r="2353" spans="1:5" x14ac:dyDescent="0.25">
      <c r="A2353" s="17">
        <v>280</v>
      </c>
      <c r="B2353" s="31">
        <v>47802</v>
      </c>
      <c r="C2353" s="32">
        <f>INDEX('Input Data'!$B:$B,A2353)/2+IF(A2353&lt;&gt;A2354,100,0)</f>
        <v>1.625</v>
      </c>
      <c r="D2353" s="33">
        <f>INDEX('ZCB Curve - Payment Dates'!$D$2:$D$246,MATCH(B2353,'ZCB Curve - Payment Dates'!$A$2:$A$246,0))</f>
        <v>0.82827715028796722</v>
      </c>
      <c r="E2353" s="32">
        <f t="shared" si="36"/>
        <v>1.3459503692179466</v>
      </c>
    </row>
    <row r="2354" spans="1:5" x14ac:dyDescent="0.25">
      <c r="A2354" s="17">
        <v>280</v>
      </c>
      <c r="B2354" s="31">
        <v>47983</v>
      </c>
      <c r="C2354" s="32">
        <f>INDEX('Input Data'!$B:$B,A2354)/2+IF(A2354&lt;&gt;A2355,100,0)</f>
        <v>1.625</v>
      </c>
      <c r="D2354" s="33">
        <f>INDEX('ZCB Curve - Payment Dates'!$D$2:$D$246,MATCH(B2354,'ZCB Curve - Payment Dates'!$A$2:$A$246,0))</f>
        <v>0.80939067484273564</v>
      </c>
      <c r="E2354" s="32">
        <f t="shared" si="36"/>
        <v>1.3152598466194454</v>
      </c>
    </row>
    <row r="2355" spans="1:5" x14ac:dyDescent="0.25">
      <c r="A2355" s="17">
        <v>280</v>
      </c>
      <c r="B2355" s="31">
        <v>48167</v>
      </c>
      <c r="C2355" s="32">
        <f>INDEX('Input Data'!$B:$B,A2355)/2+IF(A2355&lt;&gt;A2356,100,0)</f>
        <v>1.625</v>
      </c>
      <c r="D2355" s="33">
        <f>INDEX('ZCB Curve - Payment Dates'!$D$2:$D$246,MATCH(B2355,'ZCB Curve - Payment Dates'!$A$2:$A$246,0))</f>
        <v>0.79053567842581962</v>
      </c>
      <c r="E2355" s="32">
        <f t="shared" si="36"/>
        <v>1.284620477441957</v>
      </c>
    </row>
    <row r="2356" spans="1:5" x14ac:dyDescent="0.25">
      <c r="A2356" s="17">
        <v>280</v>
      </c>
      <c r="B2356" s="31">
        <v>48349</v>
      </c>
      <c r="C2356" s="32">
        <f>INDEX('Input Data'!$B:$B,A2356)/2+IF(A2356&lt;&gt;A2357,100,0)</f>
        <v>1.625</v>
      </c>
      <c r="D2356" s="33">
        <f>INDEX('ZCB Curve - Payment Dates'!$D$2:$D$246,MATCH(B2356,'ZCB Curve - Payment Dates'!$A$2:$A$246,0))</f>
        <v>0.77217305702007488</v>
      </c>
      <c r="E2356" s="32">
        <f t="shared" si="36"/>
        <v>1.2547812176576216</v>
      </c>
    </row>
    <row r="2357" spans="1:5" x14ac:dyDescent="0.25">
      <c r="A2357" s="17">
        <v>280</v>
      </c>
      <c r="B2357" s="31">
        <v>48533</v>
      </c>
      <c r="C2357" s="32">
        <f>INDEX('Input Data'!$B:$B,A2357)/2+IF(A2357&lt;&gt;A2358,100,0)</f>
        <v>1.625</v>
      </c>
      <c r="D2357" s="33">
        <f>INDEX('ZCB Curve - Payment Dates'!$D$2:$D$246,MATCH(B2357,'ZCB Curve - Payment Dates'!$A$2:$A$246,0))</f>
        <v>0.75384766072076514</v>
      </c>
      <c r="E2357" s="32">
        <f t="shared" si="36"/>
        <v>1.2250024486712434</v>
      </c>
    </row>
    <row r="2358" spans="1:5" x14ac:dyDescent="0.25">
      <c r="A2358" s="17">
        <v>280</v>
      </c>
      <c r="B2358" s="31">
        <v>48714</v>
      </c>
      <c r="C2358" s="32">
        <f>INDEX('Input Data'!$B:$B,A2358)/2+IF(A2358&lt;&gt;A2359,100,0)</f>
        <v>1.625</v>
      </c>
      <c r="D2358" s="33">
        <f>INDEX('ZCB Curve - Payment Dates'!$D$2:$D$246,MATCH(B2358,'ZCB Curve - Payment Dates'!$A$2:$A$246,0))</f>
        <v>0.73601491848746747</v>
      </c>
      <c r="E2358" s="32">
        <f t="shared" si="36"/>
        <v>1.1960242425421346</v>
      </c>
    </row>
    <row r="2359" spans="1:5" x14ac:dyDescent="0.25">
      <c r="A2359" s="17">
        <v>280</v>
      </c>
      <c r="B2359" s="31">
        <v>48898</v>
      </c>
      <c r="C2359" s="32">
        <f>INDEX('Input Data'!$B:$B,A2359)/2+IF(A2359&lt;&gt;A2360,100,0)</f>
        <v>1.625</v>
      </c>
      <c r="D2359" s="33">
        <f>INDEX('ZCB Curve - Payment Dates'!$D$2:$D$246,MATCH(B2359,'ZCB Curve - Payment Dates'!$A$2:$A$246,0))</f>
        <v>0.71805338140354003</v>
      </c>
      <c r="E2359" s="32">
        <f t="shared" si="36"/>
        <v>1.1668367447807526</v>
      </c>
    </row>
    <row r="2360" spans="1:5" x14ac:dyDescent="0.25">
      <c r="A2360" s="17">
        <v>280</v>
      </c>
      <c r="B2360" s="31">
        <v>49079</v>
      </c>
      <c r="C2360" s="32">
        <f>INDEX('Input Data'!$B:$B,A2360)/2+IF(A2360&lt;&gt;A2361,100,0)</f>
        <v>1.625</v>
      </c>
      <c r="D2360" s="33">
        <f>INDEX('ZCB Curve - Payment Dates'!$D$2:$D$246,MATCH(B2360,'ZCB Curve - Payment Dates'!$A$2:$A$246,0))</f>
        <v>0.70052630492471468</v>
      </c>
      <c r="E2360" s="32">
        <f t="shared" si="36"/>
        <v>1.1383552455026613</v>
      </c>
    </row>
    <row r="2361" spans="1:5" x14ac:dyDescent="0.25">
      <c r="A2361" s="17">
        <v>280</v>
      </c>
      <c r="B2361" s="31">
        <v>49263</v>
      </c>
      <c r="C2361" s="32">
        <f>INDEX('Input Data'!$B:$B,A2361)/2+IF(A2361&lt;&gt;A2362,100,0)</f>
        <v>1.625</v>
      </c>
      <c r="D2361" s="33">
        <f>INDEX('ZCB Curve - Payment Dates'!$D$2:$D$246,MATCH(B2361,'ZCB Curve - Payment Dates'!$A$2:$A$246,0))</f>
        <v>0.68284221202539863</v>
      </c>
      <c r="E2361" s="32">
        <f t="shared" si="36"/>
        <v>1.1096185945412729</v>
      </c>
    </row>
    <row r="2362" spans="1:5" x14ac:dyDescent="0.25">
      <c r="A2362" s="17">
        <v>280</v>
      </c>
      <c r="B2362" s="31">
        <v>49444</v>
      </c>
      <c r="C2362" s="32">
        <f>INDEX('Input Data'!$B:$B,A2362)/2+IF(A2362&lt;&gt;A2363,100,0)</f>
        <v>1.625</v>
      </c>
      <c r="D2362" s="33">
        <f>INDEX('ZCB Curve - Payment Dates'!$D$2:$D$246,MATCH(B2362,'ZCB Curve - Payment Dates'!$A$2:$A$246,0))</f>
        <v>0.66557347415228496</v>
      </c>
      <c r="E2362" s="32">
        <f t="shared" si="36"/>
        <v>1.081556895497463</v>
      </c>
    </row>
    <row r="2363" spans="1:5" x14ac:dyDescent="0.25">
      <c r="A2363" s="17">
        <v>280</v>
      </c>
      <c r="B2363" s="31">
        <v>49628</v>
      </c>
      <c r="C2363" s="32">
        <f>INDEX('Input Data'!$B:$B,A2363)/2+IF(A2363&lt;&gt;A2364,100,0)</f>
        <v>1.625</v>
      </c>
      <c r="D2363" s="33">
        <f>INDEX('ZCB Curve - Payment Dates'!$D$2:$D$246,MATCH(B2363,'ZCB Curve - Payment Dates'!$A$2:$A$246,0))</f>
        <v>0.64815361918127823</v>
      </c>
      <c r="E2363" s="32">
        <f t="shared" si="36"/>
        <v>1.0532496311695771</v>
      </c>
    </row>
    <row r="2364" spans="1:5" x14ac:dyDescent="0.25">
      <c r="A2364" s="17">
        <v>280</v>
      </c>
      <c r="B2364" s="31">
        <v>49810</v>
      </c>
      <c r="C2364" s="32">
        <f>INDEX('Input Data'!$B:$B,A2364)/2+IF(A2364&lt;&gt;A2365,100,0)</f>
        <v>1.625</v>
      </c>
      <c r="D2364" s="33">
        <f>INDEX('ZCB Curve - Payment Dates'!$D$2:$D$246,MATCH(B2364,'ZCB Curve - Payment Dates'!$A$2:$A$246,0))</f>
        <v>0.63106457078577471</v>
      </c>
      <c r="E2364" s="32">
        <f t="shared" si="36"/>
        <v>1.025479927526884</v>
      </c>
    </row>
    <row r="2365" spans="1:5" x14ac:dyDescent="0.25">
      <c r="A2365" s="17">
        <v>280</v>
      </c>
      <c r="B2365" s="31">
        <v>49994</v>
      </c>
      <c r="C2365" s="32">
        <f>INDEX('Input Data'!$B:$B,A2365)/2+IF(A2365&lt;&gt;A2366,100,0)</f>
        <v>1.625</v>
      </c>
      <c r="D2365" s="33">
        <f>INDEX('ZCB Curve - Payment Dates'!$D$2:$D$246,MATCH(B2365,'ZCB Curve - Payment Dates'!$A$2:$A$246,0))</f>
        <v>0.61395227923184648</v>
      </c>
      <c r="E2365" s="32">
        <f t="shared" si="36"/>
        <v>0.99767245375175051</v>
      </c>
    </row>
    <row r="2366" spans="1:5" x14ac:dyDescent="0.25">
      <c r="A2366" s="17">
        <v>280</v>
      </c>
      <c r="B2366" s="31">
        <v>50175</v>
      </c>
      <c r="C2366" s="32">
        <f>INDEX('Input Data'!$B:$B,A2366)/2+IF(A2366&lt;&gt;A2367,100,0)</f>
        <v>1.625</v>
      </c>
      <c r="D2366" s="33">
        <f>INDEX('ZCB Curve - Payment Dates'!$D$2:$D$246,MATCH(B2366,'ZCB Curve - Payment Dates'!$A$2:$A$246,0))</f>
        <v>0.5972963482314616</v>
      </c>
      <c r="E2366" s="32">
        <f t="shared" si="36"/>
        <v>0.97060656587612515</v>
      </c>
    </row>
    <row r="2367" spans="1:5" x14ac:dyDescent="0.25">
      <c r="A2367" s="17">
        <v>280</v>
      </c>
      <c r="B2367" s="31">
        <v>50359</v>
      </c>
      <c r="C2367" s="32">
        <f>INDEX('Input Data'!$B:$B,A2367)/2+IF(A2367&lt;&gt;A2368,100,0)</f>
        <v>1.625</v>
      </c>
      <c r="D2367" s="33">
        <f>INDEX('ZCB Curve - Payment Dates'!$D$2:$D$246,MATCH(B2367,'ZCB Curve - Payment Dates'!$A$2:$A$246,0))</f>
        <v>0.58056812006155756</v>
      </c>
      <c r="E2367" s="32">
        <f t="shared" si="36"/>
        <v>0.94342319510003103</v>
      </c>
    </row>
    <row r="2368" spans="1:5" x14ac:dyDescent="0.25">
      <c r="A2368" s="17">
        <v>280</v>
      </c>
      <c r="B2368" s="31">
        <v>50540</v>
      </c>
      <c r="C2368" s="32">
        <f>INDEX('Input Data'!$B:$B,A2368)/2+IF(A2368&lt;&gt;A2369,100,0)</f>
        <v>1.625</v>
      </c>
      <c r="D2368" s="33">
        <f>INDEX('ZCB Curve - Payment Dates'!$D$2:$D$246,MATCH(B2368,'ZCB Curve - Payment Dates'!$A$2:$A$246,0))</f>
        <v>0.56433491315969797</v>
      </c>
      <c r="E2368" s="32">
        <f t="shared" si="36"/>
        <v>0.91704423388450917</v>
      </c>
    </row>
    <row r="2369" spans="1:5" x14ac:dyDescent="0.25">
      <c r="A2369" s="17">
        <v>280</v>
      </c>
      <c r="B2369" s="31">
        <v>50724</v>
      </c>
      <c r="C2369" s="32">
        <f>INDEX('Input Data'!$B:$B,A2369)/2+IF(A2369&lt;&gt;A2370,100,0)</f>
        <v>1.625</v>
      </c>
      <c r="D2369" s="33">
        <f>INDEX('ZCB Curve - Payment Dates'!$D$2:$D$246,MATCH(B2369,'ZCB Curve - Payment Dates'!$A$2:$A$246,0))</f>
        <v>0.54808398139057424</v>
      </c>
      <c r="E2369" s="32">
        <f t="shared" si="36"/>
        <v>0.89063646975968314</v>
      </c>
    </row>
    <row r="2370" spans="1:5" x14ac:dyDescent="0.25">
      <c r="A2370" s="17">
        <v>280</v>
      </c>
      <c r="B2370" s="31">
        <v>50905</v>
      </c>
      <c r="C2370" s="32">
        <f>INDEX('Input Data'!$B:$B,A2370)/2+IF(A2370&lt;&gt;A2371,100,0)</f>
        <v>1.625</v>
      </c>
      <c r="D2370" s="33">
        <f>INDEX('ZCB Curve - Payment Dates'!$D$2:$D$246,MATCH(B2370,'ZCB Curve - Payment Dates'!$A$2:$A$246,0))</f>
        <v>0.5323673246083096</v>
      </c>
      <c r="E2370" s="32">
        <f t="shared" ref="E2370:E2433" si="37">C2370*D2370</f>
        <v>0.86509690248850313</v>
      </c>
    </row>
    <row r="2371" spans="1:5" x14ac:dyDescent="0.25">
      <c r="A2371" s="17">
        <v>280</v>
      </c>
      <c r="B2371" s="31">
        <v>51089</v>
      </c>
      <c r="C2371" s="32">
        <f>INDEX('Input Data'!$B:$B,A2371)/2+IF(A2371&lt;&gt;A2372,100,0)</f>
        <v>1.625</v>
      </c>
      <c r="D2371" s="33">
        <f>INDEX('ZCB Curve - Payment Dates'!$D$2:$D$246,MATCH(B2371,'ZCB Curve - Payment Dates'!$A$2:$A$246,0))</f>
        <v>0.51668806431098135</v>
      </c>
      <c r="E2371" s="32">
        <f t="shared" si="37"/>
        <v>0.83961810450534469</v>
      </c>
    </row>
    <row r="2372" spans="1:5" x14ac:dyDescent="0.25">
      <c r="A2372" s="17">
        <v>280</v>
      </c>
      <c r="B2372" s="31">
        <v>51271</v>
      </c>
      <c r="C2372" s="32">
        <f>INDEX('Input Data'!$B:$B,A2372)/2+IF(A2372&lt;&gt;A2373,100,0)</f>
        <v>1.625</v>
      </c>
      <c r="D2372" s="33">
        <f>INDEX('ZCB Curve - Payment Dates'!$D$2:$D$246,MATCH(B2372,'ZCB Curve - Payment Dates'!$A$2:$A$246,0))</f>
        <v>0.50149590020417278</v>
      </c>
      <c r="E2372" s="32">
        <f t="shared" si="37"/>
        <v>0.81493083783178077</v>
      </c>
    </row>
    <row r="2373" spans="1:5" x14ac:dyDescent="0.25">
      <c r="A2373" s="17">
        <v>280</v>
      </c>
      <c r="B2373" s="31">
        <v>51455</v>
      </c>
      <c r="C2373" s="32">
        <f>INDEX('Input Data'!$B:$B,A2373)/2+IF(A2373&lt;&gt;A2374,100,0)</f>
        <v>1.625</v>
      </c>
      <c r="D2373" s="33">
        <f>INDEX('ZCB Curve - Payment Dates'!$D$2:$D$246,MATCH(B2373,'ZCB Curve - Payment Dates'!$A$2:$A$246,0))</f>
        <v>0.48647538074270091</v>
      </c>
      <c r="E2373" s="32">
        <f t="shared" si="37"/>
        <v>0.79052249370688898</v>
      </c>
    </row>
    <row r="2374" spans="1:5" x14ac:dyDescent="0.25">
      <c r="A2374" s="17">
        <v>280</v>
      </c>
      <c r="B2374" s="31">
        <v>51636</v>
      </c>
      <c r="C2374" s="32">
        <f>INDEX('Input Data'!$B:$B,A2374)/2+IF(A2374&lt;&gt;A2375,100,0)</f>
        <v>1.625</v>
      </c>
      <c r="D2374" s="33">
        <f>INDEX('ZCB Curve - Payment Dates'!$D$2:$D$246,MATCH(B2374,'ZCB Curve - Payment Dates'!$A$2:$A$246,0))</f>
        <v>0.47204918703719451</v>
      </c>
      <c r="E2374" s="32">
        <f t="shared" si="37"/>
        <v>0.76707992893544108</v>
      </c>
    </row>
    <row r="2375" spans="1:5" x14ac:dyDescent="0.25">
      <c r="A2375" s="17">
        <v>280</v>
      </c>
      <c r="B2375" s="31">
        <v>51820</v>
      </c>
      <c r="C2375" s="32">
        <f>INDEX('Input Data'!$B:$B,A2375)/2+IF(A2375&lt;&gt;A2376,100,0)</f>
        <v>1.625</v>
      </c>
      <c r="D2375" s="33">
        <f>INDEX('ZCB Curve - Payment Dates'!$D$2:$D$246,MATCH(B2375,'ZCB Curve - Payment Dates'!$A$2:$A$246,0))</f>
        <v>0.45775548669345245</v>
      </c>
      <c r="E2375" s="32">
        <f t="shared" si="37"/>
        <v>0.74385266587686028</v>
      </c>
    </row>
    <row r="2376" spans="1:5" x14ac:dyDescent="0.25">
      <c r="A2376" s="17">
        <v>280</v>
      </c>
      <c r="B2376" s="31">
        <v>52001</v>
      </c>
      <c r="C2376" s="32">
        <f>INDEX('Input Data'!$B:$B,A2376)/2+IF(A2376&lt;&gt;A2377,100,0)</f>
        <v>101.625</v>
      </c>
      <c r="D2376" s="33">
        <f>INDEX('ZCB Curve - Payment Dates'!$D$2:$D$246,MATCH(B2376,'ZCB Curve - Payment Dates'!$A$2:$A$246,0))</f>
        <v>0.44407192118484318</v>
      </c>
      <c r="E2376" s="32">
        <f t="shared" si="37"/>
        <v>45.128808990409688</v>
      </c>
    </row>
    <row r="2377" spans="1:5" x14ac:dyDescent="0.25">
      <c r="A2377" s="17">
        <v>281</v>
      </c>
      <c r="B2377" s="31">
        <v>46433</v>
      </c>
      <c r="C2377" s="32">
        <f>INDEX('Input Data'!$B:$B,A2377)/2+IF(A2377&lt;&gt;A2378,100,0)</f>
        <v>1.375</v>
      </c>
      <c r="D2377" s="33">
        <f>INDEX('ZCB Curve - Payment Dates'!$D$2:$D$246,MATCH(B2377,'ZCB Curve - Payment Dates'!$A$2:$A$246,0))</f>
        <v>0.98242671792446301</v>
      </c>
      <c r="E2377" s="32">
        <f t="shared" si="37"/>
        <v>1.3508367371461367</v>
      </c>
    </row>
    <row r="2378" spans="1:5" x14ac:dyDescent="0.25">
      <c r="A2378" s="17">
        <v>281</v>
      </c>
      <c r="B2378" s="31">
        <v>46614</v>
      </c>
      <c r="C2378" s="32">
        <f>INDEX('Input Data'!$B:$B,A2378)/2+IF(A2378&lt;&gt;A2379,100,0)</f>
        <v>1.375</v>
      </c>
      <c r="D2378" s="33">
        <f>INDEX('ZCB Curve - Payment Dates'!$D$2:$D$246,MATCH(B2378,'ZCB Curve - Payment Dates'!$A$2:$A$246,0))</f>
        <v>0.96187948164765535</v>
      </c>
      <c r="E2378" s="32">
        <f t="shared" si="37"/>
        <v>1.322584287265526</v>
      </c>
    </row>
    <row r="2379" spans="1:5" x14ac:dyDescent="0.25">
      <c r="A2379" s="17">
        <v>281</v>
      </c>
      <c r="B2379" s="31">
        <v>46798</v>
      </c>
      <c r="C2379" s="32">
        <f>INDEX('Input Data'!$B:$B,A2379)/2+IF(A2379&lt;&gt;A2380,100,0)</f>
        <v>1.375</v>
      </c>
      <c r="D2379" s="33">
        <f>INDEX('ZCB Curve - Payment Dates'!$D$2:$D$246,MATCH(B2379,'ZCB Curve - Payment Dates'!$A$2:$A$246,0))</f>
        <v>0.94049096132648802</v>
      </c>
      <c r="E2379" s="32">
        <f t="shared" si="37"/>
        <v>1.293175071823921</v>
      </c>
    </row>
    <row r="2380" spans="1:5" x14ac:dyDescent="0.25">
      <c r="A2380" s="17">
        <v>281</v>
      </c>
      <c r="B2380" s="31">
        <v>46980</v>
      </c>
      <c r="C2380" s="32">
        <f>INDEX('Input Data'!$B:$B,A2380)/2+IF(A2380&lt;&gt;A2381,100,0)</f>
        <v>1.375</v>
      </c>
      <c r="D2380" s="33">
        <f>INDEX('ZCB Curve - Payment Dates'!$D$2:$D$246,MATCH(B2380,'ZCB Curve - Payment Dates'!$A$2:$A$246,0))</f>
        <v>0.91931844130238327</v>
      </c>
      <c r="E2380" s="32">
        <f t="shared" si="37"/>
        <v>1.264062856790777</v>
      </c>
    </row>
    <row r="2381" spans="1:5" x14ac:dyDescent="0.25">
      <c r="A2381" s="17">
        <v>281</v>
      </c>
      <c r="B2381" s="31">
        <v>47164</v>
      </c>
      <c r="C2381" s="32">
        <f>INDEX('Input Data'!$B:$B,A2381)/2+IF(A2381&lt;&gt;A2382,100,0)</f>
        <v>1.375</v>
      </c>
      <c r="D2381" s="33">
        <f>INDEX('ZCB Curve - Payment Dates'!$D$2:$D$246,MATCH(B2381,'ZCB Curve - Payment Dates'!$A$2:$A$246,0))</f>
        <v>0.89817430058086534</v>
      </c>
      <c r="E2381" s="32">
        <f t="shared" si="37"/>
        <v>1.2349896632986899</v>
      </c>
    </row>
    <row r="2382" spans="1:5" x14ac:dyDescent="0.25">
      <c r="A2382" s="17">
        <v>281</v>
      </c>
      <c r="B2382" s="31">
        <v>47345</v>
      </c>
      <c r="C2382" s="32">
        <f>INDEX('Input Data'!$B:$B,A2382)/2+IF(A2382&lt;&gt;A2383,100,0)</f>
        <v>1.375</v>
      </c>
      <c r="D2382" s="33">
        <f>INDEX('ZCB Curve - Payment Dates'!$D$2:$D$246,MATCH(B2382,'ZCB Curve - Payment Dates'!$A$2:$A$246,0))</f>
        <v>0.87778421628860481</v>
      </c>
      <c r="E2382" s="32">
        <f t="shared" si="37"/>
        <v>1.2069532973968315</v>
      </c>
    </row>
    <row r="2383" spans="1:5" x14ac:dyDescent="0.25">
      <c r="A2383" s="17">
        <v>281</v>
      </c>
      <c r="B2383" s="31">
        <v>47529</v>
      </c>
      <c r="C2383" s="32">
        <f>INDEX('Input Data'!$B:$B,A2383)/2+IF(A2383&lt;&gt;A2384,100,0)</f>
        <v>1.375</v>
      </c>
      <c r="D2383" s="33">
        <f>INDEX('ZCB Curve - Payment Dates'!$D$2:$D$246,MATCH(B2383,'ZCB Curve - Payment Dates'!$A$2:$A$246,0))</f>
        <v>0.85751015570959666</v>
      </c>
      <c r="E2383" s="32">
        <f t="shared" si="37"/>
        <v>1.1790764641006954</v>
      </c>
    </row>
    <row r="2384" spans="1:5" x14ac:dyDescent="0.25">
      <c r="A2384" s="17">
        <v>281</v>
      </c>
      <c r="B2384" s="31">
        <v>47710</v>
      </c>
      <c r="C2384" s="32">
        <f>INDEX('Input Data'!$B:$B,A2384)/2+IF(A2384&lt;&gt;A2385,100,0)</f>
        <v>1.375</v>
      </c>
      <c r="D2384" s="33">
        <f>INDEX('ZCB Curve - Payment Dates'!$D$2:$D$246,MATCH(B2384,'ZCB Curve - Payment Dates'!$A$2:$A$246,0))</f>
        <v>0.83802423748211174</v>
      </c>
      <c r="E2384" s="32">
        <f t="shared" si="37"/>
        <v>1.1522833265379036</v>
      </c>
    </row>
    <row r="2385" spans="1:5" x14ac:dyDescent="0.25">
      <c r="A2385" s="17">
        <v>281</v>
      </c>
      <c r="B2385" s="31">
        <v>47894</v>
      </c>
      <c r="C2385" s="32">
        <f>INDEX('Input Data'!$B:$B,A2385)/2+IF(A2385&lt;&gt;A2386,100,0)</f>
        <v>1.375</v>
      </c>
      <c r="D2385" s="33">
        <f>INDEX('ZCB Curve - Payment Dates'!$D$2:$D$246,MATCH(B2385,'ZCB Curve - Payment Dates'!$A$2:$A$246,0))</f>
        <v>0.8186305474741673</v>
      </c>
      <c r="E2385" s="32">
        <f t="shared" si="37"/>
        <v>1.1256170027769801</v>
      </c>
    </row>
    <row r="2386" spans="1:5" x14ac:dyDescent="0.25">
      <c r="A2386" s="17">
        <v>281</v>
      </c>
      <c r="B2386" s="31">
        <v>48075</v>
      </c>
      <c r="C2386" s="32">
        <f>INDEX('Input Data'!$B:$B,A2386)/2+IF(A2386&lt;&gt;A2387,100,0)</f>
        <v>1.375</v>
      </c>
      <c r="D2386" s="33">
        <f>INDEX('ZCB Curve - Payment Dates'!$D$2:$D$246,MATCH(B2386,'ZCB Curve - Payment Dates'!$A$2:$A$246,0))</f>
        <v>0.7999252334775927</v>
      </c>
      <c r="E2386" s="32">
        <f t="shared" si="37"/>
        <v>1.0998971960316899</v>
      </c>
    </row>
    <row r="2387" spans="1:5" x14ac:dyDescent="0.25">
      <c r="A2387" s="17">
        <v>281</v>
      </c>
      <c r="B2387" s="31">
        <v>48259</v>
      </c>
      <c r="C2387" s="32">
        <f>INDEX('Input Data'!$B:$B,A2387)/2+IF(A2387&lt;&gt;A2388,100,0)</f>
        <v>1.375</v>
      </c>
      <c r="D2387" s="33">
        <f>INDEX('ZCB Curve - Payment Dates'!$D$2:$D$246,MATCH(B2387,'ZCB Curve - Payment Dates'!$A$2:$A$246,0))</f>
        <v>0.78121887027612602</v>
      </c>
      <c r="E2387" s="32">
        <f t="shared" si="37"/>
        <v>1.0741759466296732</v>
      </c>
    </row>
    <row r="2388" spans="1:5" x14ac:dyDescent="0.25">
      <c r="A2388" s="17">
        <v>281</v>
      </c>
      <c r="B2388" s="31">
        <v>48441</v>
      </c>
      <c r="C2388" s="32">
        <f>INDEX('Input Data'!$B:$B,A2388)/2+IF(A2388&lt;&gt;A2389,100,0)</f>
        <v>1.375</v>
      </c>
      <c r="D2388" s="33">
        <f>INDEX('ZCB Curve - Payment Dates'!$D$2:$D$246,MATCH(B2388,'ZCB Curve - Payment Dates'!$A$2:$A$246,0))</f>
        <v>0.76298123459017864</v>
      </c>
      <c r="E2388" s="32">
        <f t="shared" si="37"/>
        <v>1.0490991975614956</v>
      </c>
    </row>
    <row r="2389" spans="1:5" x14ac:dyDescent="0.25">
      <c r="A2389" s="17">
        <v>281</v>
      </c>
      <c r="B2389" s="31">
        <v>48625</v>
      </c>
      <c r="C2389" s="32">
        <f>INDEX('Input Data'!$B:$B,A2389)/2+IF(A2389&lt;&gt;A2390,100,0)</f>
        <v>1.375</v>
      </c>
      <c r="D2389" s="33">
        <f>INDEX('ZCB Curve - Payment Dates'!$D$2:$D$246,MATCH(B2389,'ZCB Curve - Payment Dates'!$A$2:$A$246,0))</f>
        <v>0.74476011611938586</v>
      </c>
      <c r="E2389" s="32">
        <f t="shared" si="37"/>
        <v>1.0240451596641555</v>
      </c>
    </row>
    <row r="2390" spans="1:5" x14ac:dyDescent="0.25">
      <c r="A2390" s="17">
        <v>281</v>
      </c>
      <c r="B2390" s="31">
        <v>48806</v>
      </c>
      <c r="C2390" s="32">
        <f>INDEX('Input Data'!$B:$B,A2390)/2+IF(A2390&lt;&gt;A2391,100,0)</f>
        <v>1.375</v>
      </c>
      <c r="D2390" s="33">
        <f>INDEX('ZCB Curve - Payment Dates'!$D$2:$D$246,MATCH(B2390,'ZCB Curve - Payment Dates'!$A$2:$A$246,0))</f>
        <v>0.72701302496114584</v>
      </c>
      <c r="E2390" s="32">
        <f t="shared" si="37"/>
        <v>0.99964290932157551</v>
      </c>
    </row>
    <row r="2391" spans="1:5" x14ac:dyDescent="0.25">
      <c r="A2391" s="17">
        <v>281</v>
      </c>
      <c r="B2391" s="31">
        <v>48990</v>
      </c>
      <c r="C2391" s="32">
        <f>INDEX('Input Data'!$B:$B,A2391)/2+IF(A2391&lt;&gt;A2392,100,0)</f>
        <v>1.375</v>
      </c>
      <c r="D2391" s="33">
        <f>INDEX('ZCB Curve - Payment Dates'!$D$2:$D$246,MATCH(B2391,'ZCB Curve - Payment Dates'!$A$2:$A$246,0))</f>
        <v>0.70912647031380449</v>
      </c>
      <c r="E2391" s="32">
        <f t="shared" si="37"/>
        <v>0.9750488966814812</v>
      </c>
    </row>
    <row r="2392" spans="1:5" x14ac:dyDescent="0.25">
      <c r="A2392" s="17">
        <v>281</v>
      </c>
      <c r="B2392" s="31">
        <v>49171</v>
      </c>
      <c r="C2392" s="32">
        <f>INDEX('Input Data'!$B:$B,A2392)/2+IF(A2392&lt;&gt;A2393,100,0)</f>
        <v>1.375</v>
      </c>
      <c r="D2392" s="33">
        <f>INDEX('ZCB Curve - Payment Dates'!$D$2:$D$246,MATCH(B2392,'ZCB Curve - Payment Dates'!$A$2:$A$246,0))</f>
        <v>0.6916661505723215</v>
      </c>
      <c r="E2392" s="32">
        <f t="shared" si="37"/>
        <v>0.95104095703694203</v>
      </c>
    </row>
    <row r="2393" spans="1:5" x14ac:dyDescent="0.25">
      <c r="A2393" s="17">
        <v>281</v>
      </c>
      <c r="B2393" s="31">
        <v>49355</v>
      </c>
      <c r="C2393" s="32">
        <f>INDEX('Input Data'!$B:$B,A2393)/2+IF(A2393&lt;&gt;A2394,100,0)</f>
        <v>1.375</v>
      </c>
      <c r="D2393" s="33">
        <f>INDEX('ZCB Curve - Payment Dates'!$D$2:$D$246,MATCH(B2393,'ZCB Curve - Payment Dates'!$A$2:$A$246,0))</f>
        <v>0.674047377898778</v>
      </c>
      <c r="E2393" s="32">
        <f t="shared" si="37"/>
        <v>0.92681514461081971</v>
      </c>
    </row>
    <row r="2394" spans="1:5" x14ac:dyDescent="0.25">
      <c r="A2394" s="17">
        <v>281</v>
      </c>
      <c r="B2394" s="31">
        <v>49536</v>
      </c>
      <c r="C2394" s="32">
        <f>INDEX('Input Data'!$B:$B,A2394)/2+IF(A2394&lt;&gt;A2395,100,0)</f>
        <v>1.375</v>
      </c>
      <c r="D2394" s="33">
        <f>INDEX('ZCB Curve - Payment Dates'!$D$2:$D$246,MATCH(B2394,'ZCB Curve - Payment Dates'!$A$2:$A$246,0))</f>
        <v>0.65684432300638129</v>
      </c>
      <c r="E2394" s="32">
        <f t="shared" si="37"/>
        <v>0.90316094413377423</v>
      </c>
    </row>
    <row r="2395" spans="1:5" x14ac:dyDescent="0.25">
      <c r="A2395" s="17">
        <v>281</v>
      </c>
      <c r="B2395" s="31">
        <v>49720</v>
      </c>
      <c r="C2395" s="32">
        <f>INDEX('Input Data'!$B:$B,A2395)/2+IF(A2395&lt;&gt;A2396,100,0)</f>
        <v>1.375</v>
      </c>
      <c r="D2395" s="33">
        <f>INDEX('ZCB Curve - Payment Dates'!$D$2:$D$246,MATCH(B2395,'ZCB Curve - Payment Dates'!$A$2:$A$246,0))</f>
        <v>0.63949604524993764</v>
      </c>
      <c r="E2395" s="32">
        <f t="shared" si="37"/>
        <v>0.87930706221866428</v>
      </c>
    </row>
    <row r="2396" spans="1:5" x14ac:dyDescent="0.25">
      <c r="A2396" s="17">
        <v>281</v>
      </c>
      <c r="B2396" s="31">
        <v>49902</v>
      </c>
      <c r="C2396" s="32">
        <f>INDEX('Input Data'!$B:$B,A2396)/2+IF(A2396&lt;&gt;A2397,100,0)</f>
        <v>1.375</v>
      </c>
      <c r="D2396" s="33">
        <f>INDEX('ZCB Curve - Payment Dates'!$D$2:$D$246,MATCH(B2396,'ZCB Curve - Payment Dates'!$A$2:$A$246,0))</f>
        <v>0.62248862376822711</v>
      </c>
      <c r="E2396" s="32">
        <f t="shared" si="37"/>
        <v>0.85592185768131224</v>
      </c>
    </row>
    <row r="2397" spans="1:5" x14ac:dyDescent="0.25">
      <c r="A2397" s="17">
        <v>281</v>
      </c>
      <c r="B2397" s="31">
        <v>50086</v>
      </c>
      <c r="C2397" s="32">
        <f>INDEX('Input Data'!$B:$B,A2397)/2+IF(A2397&lt;&gt;A2398,100,0)</f>
        <v>1.375</v>
      </c>
      <c r="D2397" s="33">
        <f>INDEX('ZCB Curve - Payment Dates'!$D$2:$D$246,MATCH(B2397,'ZCB Curve - Payment Dates'!$A$2:$A$246,0))</f>
        <v>0.60546490876014969</v>
      </c>
      <c r="E2397" s="32">
        <f t="shared" si="37"/>
        <v>0.83251424954520581</v>
      </c>
    </row>
    <row r="2398" spans="1:5" x14ac:dyDescent="0.25">
      <c r="A2398" s="17">
        <v>281</v>
      </c>
      <c r="B2398" s="31">
        <v>50267</v>
      </c>
      <c r="C2398" s="32">
        <f>INDEX('Input Data'!$B:$B,A2398)/2+IF(A2398&lt;&gt;A2399,100,0)</f>
        <v>1.375</v>
      </c>
      <c r="D2398" s="33">
        <f>INDEX('ZCB Curve - Payment Dates'!$D$2:$D$246,MATCH(B2398,'ZCB Curve - Payment Dates'!$A$2:$A$246,0))</f>
        <v>0.58890683803346977</v>
      </c>
      <c r="E2398" s="32">
        <f t="shared" si="37"/>
        <v>0.80974690229602098</v>
      </c>
    </row>
    <row r="2399" spans="1:5" x14ac:dyDescent="0.25">
      <c r="A2399" s="17">
        <v>281</v>
      </c>
      <c r="B2399" s="31">
        <v>50451</v>
      </c>
      <c r="C2399" s="32">
        <f>INDEX('Input Data'!$B:$B,A2399)/2+IF(A2399&lt;&gt;A2400,100,0)</f>
        <v>1.375</v>
      </c>
      <c r="D2399" s="33">
        <f>INDEX('ZCB Curve - Payment Dates'!$D$2:$D$246,MATCH(B2399,'ZCB Curve - Payment Dates'!$A$2:$A$246,0))</f>
        <v>0.57228983695479263</v>
      </c>
      <c r="E2399" s="32">
        <f t="shared" si="37"/>
        <v>0.78689852581283981</v>
      </c>
    </row>
    <row r="2400" spans="1:5" x14ac:dyDescent="0.25">
      <c r="A2400" s="17">
        <v>281</v>
      </c>
      <c r="B2400" s="31">
        <v>50632</v>
      </c>
      <c r="C2400" s="32">
        <f>INDEX('Input Data'!$B:$B,A2400)/2+IF(A2400&lt;&gt;A2401,100,0)</f>
        <v>1.375</v>
      </c>
      <c r="D2400" s="33">
        <f>INDEX('ZCB Curve - Payment Dates'!$D$2:$D$246,MATCH(B2400,'ZCB Curve - Payment Dates'!$A$2:$A$246,0))</f>
        <v>0.55617795699202288</v>
      </c>
      <c r="E2400" s="32">
        <f t="shared" si="37"/>
        <v>0.76474469086403141</v>
      </c>
    </row>
    <row r="2401" spans="1:5" x14ac:dyDescent="0.25">
      <c r="A2401" s="17">
        <v>281</v>
      </c>
      <c r="B2401" s="31">
        <v>50816</v>
      </c>
      <c r="C2401" s="32">
        <f>INDEX('Input Data'!$B:$B,A2401)/2+IF(A2401&lt;&gt;A2402,100,0)</f>
        <v>1.375</v>
      </c>
      <c r="D2401" s="33">
        <f>INDEX('ZCB Curve - Payment Dates'!$D$2:$D$246,MATCH(B2401,'ZCB Curve - Payment Dates'!$A$2:$A$246,0))</f>
        <v>0.54006240951211237</v>
      </c>
      <c r="E2401" s="32">
        <f t="shared" si="37"/>
        <v>0.7425858130791545</v>
      </c>
    </row>
    <row r="2402" spans="1:5" x14ac:dyDescent="0.25">
      <c r="A2402" s="17">
        <v>281</v>
      </c>
      <c r="B2402" s="31">
        <v>50997</v>
      </c>
      <c r="C2402" s="32">
        <f>INDEX('Input Data'!$B:$B,A2402)/2+IF(A2402&lt;&gt;A2403,100,0)</f>
        <v>1.375</v>
      </c>
      <c r="D2402" s="33">
        <f>INDEX('ZCB Curve - Payment Dates'!$D$2:$D$246,MATCH(B2402,'ZCB Curve - Payment Dates'!$A$2:$A$246,0))</f>
        <v>0.52449040173194583</v>
      </c>
      <c r="E2402" s="32">
        <f t="shared" si="37"/>
        <v>0.72117430238142555</v>
      </c>
    </row>
    <row r="2403" spans="1:5" x14ac:dyDescent="0.25">
      <c r="A2403" s="17">
        <v>281</v>
      </c>
      <c r="B2403" s="31">
        <v>51181</v>
      </c>
      <c r="C2403" s="32">
        <f>INDEX('Input Data'!$B:$B,A2403)/2+IF(A2403&lt;&gt;A2404,100,0)</f>
        <v>1.375</v>
      </c>
      <c r="D2403" s="33">
        <f>INDEX('ZCB Curve - Payment Dates'!$D$2:$D$246,MATCH(B2403,'ZCB Curve - Payment Dates'!$A$2:$A$246,0))</f>
        <v>0.5089691698468306</v>
      </c>
      <c r="E2403" s="32">
        <f t="shared" si="37"/>
        <v>0.69983260853939211</v>
      </c>
    </row>
    <row r="2404" spans="1:5" x14ac:dyDescent="0.25">
      <c r="A2404" s="17">
        <v>281</v>
      </c>
      <c r="B2404" s="31">
        <v>51363</v>
      </c>
      <c r="C2404" s="32">
        <f>INDEX('Input Data'!$B:$B,A2404)/2+IF(A2404&lt;&gt;A2405,100,0)</f>
        <v>1.375</v>
      </c>
      <c r="D2404" s="33">
        <f>INDEX('ZCB Curve - Payment Dates'!$D$2:$D$246,MATCH(B2404,'ZCB Curve - Payment Dates'!$A$2:$A$246,0))</f>
        <v>0.49394036022330806</v>
      </c>
      <c r="E2404" s="32">
        <f t="shared" si="37"/>
        <v>0.67916799530704863</v>
      </c>
    </row>
    <row r="2405" spans="1:5" x14ac:dyDescent="0.25">
      <c r="A2405" s="17">
        <v>281</v>
      </c>
      <c r="B2405" s="31">
        <v>51547</v>
      </c>
      <c r="C2405" s="32">
        <f>INDEX('Input Data'!$B:$B,A2405)/2+IF(A2405&lt;&gt;A2406,100,0)</f>
        <v>1.375</v>
      </c>
      <c r="D2405" s="33">
        <f>INDEX('ZCB Curve - Payment Dates'!$D$2:$D$246,MATCH(B2405,'ZCB Curve - Payment Dates'!$A$2:$A$246,0))</f>
        <v>0.47909718957588998</v>
      </c>
      <c r="E2405" s="32">
        <f t="shared" si="37"/>
        <v>0.65875863566684867</v>
      </c>
    </row>
    <row r="2406" spans="1:5" x14ac:dyDescent="0.25">
      <c r="A2406" s="17">
        <v>281</v>
      </c>
      <c r="B2406" s="31">
        <v>51728</v>
      </c>
      <c r="C2406" s="32">
        <f>INDEX('Input Data'!$B:$B,A2406)/2+IF(A2406&lt;&gt;A2407,100,0)</f>
        <v>1.375</v>
      </c>
      <c r="D2406" s="33">
        <f>INDEX('ZCB Curve - Payment Dates'!$D$2:$D$246,MATCH(B2406,'ZCB Curve - Payment Dates'!$A$2:$A$246,0))</f>
        <v>0.46485329459616059</v>
      </c>
      <c r="E2406" s="32">
        <f t="shared" si="37"/>
        <v>0.63917328006972085</v>
      </c>
    </row>
    <row r="2407" spans="1:5" x14ac:dyDescent="0.25">
      <c r="A2407" s="17">
        <v>281</v>
      </c>
      <c r="B2407" s="31">
        <v>51912</v>
      </c>
      <c r="C2407" s="32">
        <f>INDEX('Input Data'!$B:$B,A2407)/2+IF(A2407&lt;&gt;A2408,100,0)</f>
        <v>1.375</v>
      </c>
      <c r="D2407" s="33">
        <f>INDEX('ZCB Curve - Payment Dates'!$D$2:$D$246,MATCH(B2407,'ZCB Curve - Payment Dates'!$A$2:$A$246,0))</f>
        <v>0.45075168915212815</v>
      </c>
      <c r="E2407" s="32">
        <f t="shared" si="37"/>
        <v>0.61978357258417627</v>
      </c>
    </row>
    <row r="2408" spans="1:5" x14ac:dyDescent="0.25">
      <c r="A2408" s="17">
        <v>281</v>
      </c>
      <c r="B2408" s="31">
        <v>52093</v>
      </c>
      <c r="C2408" s="32">
        <f>INDEX('Input Data'!$B:$B,A2408)/2+IF(A2408&lt;&gt;A2409,100,0)</f>
        <v>101.375</v>
      </c>
      <c r="D2408" s="33">
        <f>INDEX('ZCB Curve - Payment Dates'!$D$2:$D$246,MATCH(B2408,'ZCB Curve - Payment Dates'!$A$2:$A$246,0))</f>
        <v>0.43726259018094221</v>
      </c>
      <c r="E2408" s="32">
        <f t="shared" si="37"/>
        <v>44.327495079593014</v>
      </c>
    </row>
    <row r="2409" spans="1:5" x14ac:dyDescent="0.25">
      <c r="A2409" s="17">
        <v>282</v>
      </c>
      <c r="B2409" s="31">
        <v>46433</v>
      </c>
      <c r="C2409" s="32">
        <f>INDEX('Input Data'!$B:$B,A2409)/2+IF(A2409&lt;&gt;A2410,100,0)</f>
        <v>1.6875</v>
      </c>
      <c r="D2409" s="33">
        <f>INDEX('ZCB Curve - Payment Dates'!$D$2:$D$246,MATCH(B2409,'ZCB Curve - Payment Dates'!$A$2:$A$246,0))</f>
        <v>0.98242671792446301</v>
      </c>
      <c r="E2409" s="32">
        <f t="shared" si="37"/>
        <v>1.6578450864975314</v>
      </c>
    </row>
    <row r="2410" spans="1:5" x14ac:dyDescent="0.25">
      <c r="A2410" s="17">
        <v>282</v>
      </c>
      <c r="B2410" s="31">
        <v>46614</v>
      </c>
      <c r="C2410" s="32">
        <f>INDEX('Input Data'!$B:$B,A2410)/2+IF(A2410&lt;&gt;A2411,100,0)</f>
        <v>1.6875</v>
      </c>
      <c r="D2410" s="33">
        <f>INDEX('ZCB Curve - Payment Dates'!$D$2:$D$246,MATCH(B2410,'ZCB Curve - Payment Dates'!$A$2:$A$246,0))</f>
        <v>0.96187948164765535</v>
      </c>
      <c r="E2410" s="32">
        <f t="shared" si="37"/>
        <v>1.6231716252804185</v>
      </c>
    </row>
    <row r="2411" spans="1:5" x14ac:dyDescent="0.25">
      <c r="A2411" s="17">
        <v>282</v>
      </c>
      <c r="B2411" s="31">
        <v>46798</v>
      </c>
      <c r="C2411" s="32">
        <f>INDEX('Input Data'!$B:$B,A2411)/2+IF(A2411&lt;&gt;A2412,100,0)</f>
        <v>1.6875</v>
      </c>
      <c r="D2411" s="33">
        <f>INDEX('ZCB Curve - Payment Dates'!$D$2:$D$246,MATCH(B2411,'ZCB Curve - Payment Dates'!$A$2:$A$246,0))</f>
        <v>0.94049096132648802</v>
      </c>
      <c r="E2411" s="32">
        <f t="shared" si="37"/>
        <v>1.5870784972384486</v>
      </c>
    </row>
    <row r="2412" spans="1:5" x14ac:dyDescent="0.25">
      <c r="A2412" s="17">
        <v>282</v>
      </c>
      <c r="B2412" s="31">
        <v>46980</v>
      </c>
      <c r="C2412" s="32">
        <f>INDEX('Input Data'!$B:$B,A2412)/2+IF(A2412&lt;&gt;A2413,100,0)</f>
        <v>1.6875</v>
      </c>
      <c r="D2412" s="33">
        <f>INDEX('ZCB Curve - Payment Dates'!$D$2:$D$246,MATCH(B2412,'ZCB Curve - Payment Dates'!$A$2:$A$246,0))</f>
        <v>0.91931844130238327</v>
      </c>
      <c r="E2412" s="32">
        <f t="shared" si="37"/>
        <v>1.5513498696977717</v>
      </c>
    </row>
    <row r="2413" spans="1:5" x14ac:dyDescent="0.25">
      <c r="A2413" s="17">
        <v>282</v>
      </c>
      <c r="B2413" s="31">
        <v>47164</v>
      </c>
      <c r="C2413" s="32">
        <f>INDEX('Input Data'!$B:$B,A2413)/2+IF(A2413&lt;&gt;A2414,100,0)</f>
        <v>1.6875</v>
      </c>
      <c r="D2413" s="33">
        <f>INDEX('ZCB Curve - Payment Dates'!$D$2:$D$246,MATCH(B2413,'ZCB Curve - Payment Dates'!$A$2:$A$246,0))</f>
        <v>0.89817430058086534</v>
      </c>
      <c r="E2413" s="32">
        <f t="shared" si="37"/>
        <v>1.5156691322302103</v>
      </c>
    </row>
    <row r="2414" spans="1:5" x14ac:dyDescent="0.25">
      <c r="A2414" s="17">
        <v>282</v>
      </c>
      <c r="B2414" s="31">
        <v>47345</v>
      </c>
      <c r="C2414" s="32">
        <f>INDEX('Input Data'!$B:$B,A2414)/2+IF(A2414&lt;&gt;A2415,100,0)</f>
        <v>1.6875</v>
      </c>
      <c r="D2414" s="33">
        <f>INDEX('ZCB Curve - Payment Dates'!$D$2:$D$246,MATCH(B2414,'ZCB Curve - Payment Dates'!$A$2:$A$246,0))</f>
        <v>0.87778421628860481</v>
      </c>
      <c r="E2414" s="32">
        <f t="shared" si="37"/>
        <v>1.4812608649870207</v>
      </c>
    </row>
    <row r="2415" spans="1:5" x14ac:dyDescent="0.25">
      <c r="A2415" s="17">
        <v>282</v>
      </c>
      <c r="B2415" s="31">
        <v>47529</v>
      </c>
      <c r="C2415" s="32">
        <f>INDEX('Input Data'!$B:$B,A2415)/2+IF(A2415&lt;&gt;A2416,100,0)</f>
        <v>1.6875</v>
      </c>
      <c r="D2415" s="33">
        <f>INDEX('ZCB Curve - Payment Dates'!$D$2:$D$246,MATCH(B2415,'ZCB Curve - Payment Dates'!$A$2:$A$246,0))</f>
        <v>0.85751015570959666</v>
      </c>
      <c r="E2415" s="32">
        <f t="shared" si="37"/>
        <v>1.4470483877599443</v>
      </c>
    </row>
    <row r="2416" spans="1:5" x14ac:dyDescent="0.25">
      <c r="A2416" s="17">
        <v>282</v>
      </c>
      <c r="B2416" s="31">
        <v>47710</v>
      </c>
      <c r="C2416" s="32">
        <f>INDEX('Input Data'!$B:$B,A2416)/2+IF(A2416&lt;&gt;A2417,100,0)</f>
        <v>1.6875</v>
      </c>
      <c r="D2416" s="33">
        <f>INDEX('ZCB Curve - Payment Dates'!$D$2:$D$246,MATCH(B2416,'ZCB Curve - Payment Dates'!$A$2:$A$246,0))</f>
        <v>0.83802423748211174</v>
      </c>
      <c r="E2416" s="32">
        <f t="shared" si="37"/>
        <v>1.4141659007510636</v>
      </c>
    </row>
    <row r="2417" spans="1:5" x14ac:dyDescent="0.25">
      <c r="A2417" s="17">
        <v>282</v>
      </c>
      <c r="B2417" s="31">
        <v>47894</v>
      </c>
      <c r="C2417" s="32">
        <f>INDEX('Input Data'!$B:$B,A2417)/2+IF(A2417&lt;&gt;A2418,100,0)</f>
        <v>1.6875</v>
      </c>
      <c r="D2417" s="33">
        <f>INDEX('ZCB Curve - Payment Dates'!$D$2:$D$246,MATCH(B2417,'ZCB Curve - Payment Dates'!$A$2:$A$246,0))</f>
        <v>0.8186305474741673</v>
      </c>
      <c r="E2417" s="32">
        <f t="shared" si="37"/>
        <v>1.3814390488626573</v>
      </c>
    </row>
    <row r="2418" spans="1:5" x14ac:dyDescent="0.25">
      <c r="A2418" s="17">
        <v>282</v>
      </c>
      <c r="B2418" s="31">
        <v>48075</v>
      </c>
      <c r="C2418" s="32">
        <f>INDEX('Input Data'!$B:$B,A2418)/2+IF(A2418&lt;&gt;A2419,100,0)</f>
        <v>1.6875</v>
      </c>
      <c r="D2418" s="33">
        <f>INDEX('ZCB Curve - Payment Dates'!$D$2:$D$246,MATCH(B2418,'ZCB Curve - Payment Dates'!$A$2:$A$246,0))</f>
        <v>0.7999252334775927</v>
      </c>
      <c r="E2418" s="32">
        <f t="shared" si="37"/>
        <v>1.3498738314934378</v>
      </c>
    </row>
    <row r="2419" spans="1:5" x14ac:dyDescent="0.25">
      <c r="A2419" s="17">
        <v>282</v>
      </c>
      <c r="B2419" s="31">
        <v>48259</v>
      </c>
      <c r="C2419" s="32">
        <f>INDEX('Input Data'!$B:$B,A2419)/2+IF(A2419&lt;&gt;A2420,100,0)</f>
        <v>1.6875</v>
      </c>
      <c r="D2419" s="33">
        <f>INDEX('ZCB Curve - Payment Dates'!$D$2:$D$246,MATCH(B2419,'ZCB Curve - Payment Dates'!$A$2:$A$246,0))</f>
        <v>0.78121887027612602</v>
      </c>
      <c r="E2419" s="32">
        <f t="shared" si="37"/>
        <v>1.3183068435909626</v>
      </c>
    </row>
    <row r="2420" spans="1:5" x14ac:dyDescent="0.25">
      <c r="A2420" s="17">
        <v>282</v>
      </c>
      <c r="B2420" s="31">
        <v>48441</v>
      </c>
      <c r="C2420" s="32">
        <f>INDEX('Input Data'!$B:$B,A2420)/2+IF(A2420&lt;&gt;A2421,100,0)</f>
        <v>1.6875</v>
      </c>
      <c r="D2420" s="33">
        <f>INDEX('ZCB Curve - Payment Dates'!$D$2:$D$246,MATCH(B2420,'ZCB Curve - Payment Dates'!$A$2:$A$246,0))</f>
        <v>0.76298123459017864</v>
      </c>
      <c r="E2420" s="32">
        <f t="shared" si="37"/>
        <v>1.2875308333709266</v>
      </c>
    </row>
    <row r="2421" spans="1:5" x14ac:dyDescent="0.25">
      <c r="A2421" s="17">
        <v>282</v>
      </c>
      <c r="B2421" s="31">
        <v>48625</v>
      </c>
      <c r="C2421" s="32">
        <f>INDEX('Input Data'!$B:$B,A2421)/2+IF(A2421&lt;&gt;A2422,100,0)</f>
        <v>1.6875</v>
      </c>
      <c r="D2421" s="33">
        <f>INDEX('ZCB Curve - Payment Dates'!$D$2:$D$246,MATCH(B2421,'ZCB Curve - Payment Dates'!$A$2:$A$246,0))</f>
        <v>0.74476011611938586</v>
      </c>
      <c r="E2421" s="32">
        <f t="shared" si="37"/>
        <v>1.2567826959514636</v>
      </c>
    </row>
    <row r="2422" spans="1:5" x14ac:dyDescent="0.25">
      <c r="A2422" s="17">
        <v>282</v>
      </c>
      <c r="B2422" s="31">
        <v>48806</v>
      </c>
      <c r="C2422" s="32">
        <f>INDEX('Input Data'!$B:$B,A2422)/2+IF(A2422&lt;&gt;A2423,100,0)</f>
        <v>1.6875</v>
      </c>
      <c r="D2422" s="33">
        <f>INDEX('ZCB Curve - Payment Dates'!$D$2:$D$246,MATCH(B2422,'ZCB Curve - Payment Dates'!$A$2:$A$246,0))</f>
        <v>0.72701302496114584</v>
      </c>
      <c r="E2422" s="32">
        <f t="shared" si="37"/>
        <v>1.2268344796219337</v>
      </c>
    </row>
    <row r="2423" spans="1:5" x14ac:dyDescent="0.25">
      <c r="A2423" s="17">
        <v>282</v>
      </c>
      <c r="B2423" s="31">
        <v>48990</v>
      </c>
      <c r="C2423" s="32">
        <f>INDEX('Input Data'!$B:$B,A2423)/2+IF(A2423&lt;&gt;A2424,100,0)</f>
        <v>1.6875</v>
      </c>
      <c r="D2423" s="33">
        <f>INDEX('ZCB Curve - Payment Dates'!$D$2:$D$246,MATCH(B2423,'ZCB Curve - Payment Dates'!$A$2:$A$246,0))</f>
        <v>0.70912647031380449</v>
      </c>
      <c r="E2423" s="32">
        <f t="shared" si="37"/>
        <v>1.1966509186545451</v>
      </c>
    </row>
    <row r="2424" spans="1:5" x14ac:dyDescent="0.25">
      <c r="A2424" s="17">
        <v>282</v>
      </c>
      <c r="B2424" s="31">
        <v>49171</v>
      </c>
      <c r="C2424" s="32">
        <f>INDEX('Input Data'!$B:$B,A2424)/2+IF(A2424&lt;&gt;A2425,100,0)</f>
        <v>1.6875</v>
      </c>
      <c r="D2424" s="33">
        <f>INDEX('ZCB Curve - Payment Dates'!$D$2:$D$246,MATCH(B2424,'ZCB Curve - Payment Dates'!$A$2:$A$246,0))</f>
        <v>0.6916661505723215</v>
      </c>
      <c r="E2424" s="32">
        <f t="shared" si="37"/>
        <v>1.1671866290907926</v>
      </c>
    </row>
    <row r="2425" spans="1:5" x14ac:dyDescent="0.25">
      <c r="A2425" s="17">
        <v>282</v>
      </c>
      <c r="B2425" s="31">
        <v>49355</v>
      </c>
      <c r="C2425" s="32">
        <f>INDEX('Input Data'!$B:$B,A2425)/2+IF(A2425&lt;&gt;A2426,100,0)</f>
        <v>1.6875</v>
      </c>
      <c r="D2425" s="33">
        <f>INDEX('ZCB Curve - Payment Dates'!$D$2:$D$246,MATCH(B2425,'ZCB Curve - Payment Dates'!$A$2:$A$246,0))</f>
        <v>0.674047377898778</v>
      </c>
      <c r="E2425" s="32">
        <f t="shared" si="37"/>
        <v>1.137454950204188</v>
      </c>
    </row>
    <row r="2426" spans="1:5" x14ac:dyDescent="0.25">
      <c r="A2426" s="17">
        <v>282</v>
      </c>
      <c r="B2426" s="31">
        <v>49536</v>
      </c>
      <c r="C2426" s="32">
        <f>INDEX('Input Data'!$B:$B,A2426)/2+IF(A2426&lt;&gt;A2427,100,0)</f>
        <v>1.6875</v>
      </c>
      <c r="D2426" s="33">
        <f>INDEX('ZCB Curve - Payment Dates'!$D$2:$D$246,MATCH(B2426,'ZCB Curve - Payment Dates'!$A$2:$A$246,0))</f>
        <v>0.65684432300638129</v>
      </c>
      <c r="E2426" s="32">
        <f t="shared" si="37"/>
        <v>1.1084247950732684</v>
      </c>
    </row>
    <row r="2427" spans="1:5" x14ac:dyDescent="0.25">
      <c r="A2427" s="17">
        <v>282</v>
      </c>
      <c r="B2427" s="31">
        <v>49720</v>
      </c>
      <c r="C2427" s="32">
        <f>INDEX('Input Data'!$B:$B,A2427)/2+IF(A2427&lt;&gt;A2428,100,0)</f>
        <v>1.6875</v>
      </c>
      <c r="D2427" s="33">
        <f>INDEX('ZCB Curve - Payment Dates'!$D$2:$D$246,MATCH(B2427,'ZCB Curve - Payment Dates'!$A$2:$A$246,0))</f>
        <v>0.63949604524993764</v>
      </c>
      <c r="E2427" s="32">
        <f t="shared" si="37"/>
        <v>1.0791495763592698</v>
      </c>
    </row>
    <row r="2428" spans="1:5" x14ac:dyDescent="0.25">
      <c r="A2428" s="17">
        <v>282</v>
      </c>
      <c r="B2428" s="31">
        <v>49902</v>
      </c>
      <c r="C2428" s="32">
        <f>INDEX('Input Data'!$B:$B,A2428)/2+IF(A2428&lt;&gt;A2429,100,0)</f>
        <v>1.6875</v>
      </c>
      <c r="D2428" s="33">
        <f>INDEX('ZCB Curve - Payment Dates'!$D$2:$D$246,MATCH(B2428,'ZCB Curve - Payment Dates'!$A$2:$A$246,0))</f>
        <v>0.62248862376822711</v>
      </c>
      <c r="E2428" s="32">
        <f t="shared" si="37"/>
        <v>1.0504495526088833</v>
      </c>
    </row>
    <row r="2429" spans="1:5" x14ac:dyDescent="0.25">
      <c r="A2429" s="17">
        <v>282</v>
      </c>
      <c r="B2429" s="31">
        <v>50086</v>
      </c>
      <c r="C2429" s="32">
        <f>INDEX('Input Data'!$B:$B,A2429)/2+IF(A2429&lt;&gt;A2430,100,0)</f>
        <v>1.6875</v>
      </c>
      <c r="D2429" s="33">
        <f>INDEX('ZCB Curve - Payment Dates'!$D$2:$D$246,MATCH(B2429,'ZCB Curve - Payment Dates'!$A$2:$A$246,0))</f>
        <v>0.60546490876014969</v>
      </c>
      <c r="E2429" s="32">
        <f t="shared" si="37"/>
        <v>1.0217220335327526</v>
      </c>
    </row>
    <row r="2430" spans="1:5" x14ac:dyDescent="0.25">
      <c r="A2430" s="17">
        <v>282</v>
      </c>
      <c r="B2430" s="31">
        <v>50267</v>
      </c>
      <c r="C2430" s="32">
        <f>INDEX('Input Data'!$B:$B,A2430)/2+IF(A2430&lt;&gt;A2431,100,0)</f>
        <v>1.6875</v>
      </c>
      <c r="D2430" s="33">
        <f>INDEX('ZCB Curve - Payment Dates'!$D$2:$D$246,MATCH(B2430,'ZCB Curve - Payment Dates'!$A$2:$A$246,0))</f>
        <v>0.58890683803346977</v>
      </c>
      <c r="E2430" s="32">
        <f t="shared" si="37"/>
        <v>0.9937802891814802</v>
      </c>
    </row>
    <row r="2431" spans="1:5" x14ac:dyDescent="0.25">
      <c r="A2431" s="17">
        <v>282</v>
      </c>
      <c r="B2431" s="31">
        <v>50451</v>
      </c>
      <c r="C2431" s="32">
        <f>INDEX('Input Data'!$B:$B,A2431)/2+IF(A2431&lt;&gt;A2432,100,0)</f>
        <v>1.6875</v>
      </c>
      <c r="D2431" s="33">
        <f>INDEX('ZCB Curve - Payment Dates'!$D$2:$D$246,MATCH(B2431,'ZCB Curve - Payment Dates'!$A$2:$A$246,0))</f>
        <v>0.57228983695479263</v>
      </c>
      <c r="E2431" s="32">
        <f t="shared" si="37"/>
        <v>0.96573909986121254</v>
      </c>
    </row>
    <row r="2432" spans="1:5" x14ac:dyDescent="0.25">
      <c r="A2432" s="17">
        <v>282</v>
      </c>
      <c r="B2432" s="31">
        <v>50632</v>
      </c>
      <c r="C2432" s="32">
        <f>INDEX('Input Data'!$B:$B,A2432)/2+IF(A2432&lt;&gt;A2433,100,0)</f>
        <v>1.6875</v>
      </c>
      <c r="D2432" s="33">
        <f>INDEX('ZCB Curve - Payment Dates'!$D$2:$D$246,MATCH(B2432,'ZCB Curve - Payment Dates'!$A$2:$A$246,0))</f>
        <v>0.55617795699202288</v>
      </c>
      <c r="E2432" s="32">
        <f t="shared" si="37"/>
        <v>0.93855030242403858</v>
      </c>
    </row>
    <row r="2433" spans="1:5" x14ac:dyDescent="0.25">
      <c r="A2433" s="17">
        <v>282</v>
      </c>
      <c r="B2433" s="31">
        <v>50816</v>
      </c>
      <c r="C2433" s="32">
        <f>INDEX('Input Data'!$B:$B,A2433)/2+IF(A2433&lt;&gt;A2434,100,0)</f>
        <v>1.6875</v>
      </c>
      <c r="D2433" s="33">
        <f>INDEX('ZCB Curve - Payment Dates'!$D$2:$D$246,MATCH(B2433,'ZCB Curve - Payment Dates'!$A$2:$A$246,0))</f>
        <v>0.54006240951211237</v>
      </c>
      <c r="E2433" s="32">
        <f t="shared" si="37"/>
        <v>0.91135531605168962</v>
      </c>
    </row>
    <row r="2434" spans="1:5" x14ac:dyDescent="0.25">
      <c r="A2434" s="17">
        <v>282</v>
      </c>
      <c r="B2434" s="31">
        <v>50997</v>
      </c>
      <c r="C2434" s="32">
        <f>INDEX('Input Data'!$B:$B,A2434)/2+IF(A2434&lt;&gt;A2435,100,0)</f>
        <v>1.6875</v>
      </c>
      <c r="D2434" s="33">
        <f>INDEX('ZCB Curve - Payment Dates'!$D$2:$D$246,MATCH(B2434,'ZCB Curve - Payment Dates'!$A$2:$A$246,0))</f>
        <v>0.52449040173194583</v>
      </c>
      <c r="E2434" s="32">
        <f t="shared" ref="E2434:E2497" si="38">C2434*D2434</f>
        <v>0.88507755292265855</v>
      </c>
    </row>
    <row r="2435" spans="1:5" x14ac:dyDescent="0.25">
      <c r="A2435" s="17">
        <v>282</v>
      </c>
      <c r="B2435" s="31">
        <v>51181</v>
      </c>
      <c r="C2435" s="32">
        <f>INDEX('Input Data'!$B:$B,A2435)/2+IF(A2435&lt;&gt;A2436,100,0)</f>
        <v>1.6875</v>
      </c>
      <c r="D2435" s="33">
        <f>INDEX('ZCB Curve - Payment Dates'!$D$2:$D$246,MATCH(B2435,'ZCB Curve - Payment Dates'!$A$2:$A$246,0))</f>
        <v>0.5089691698468306</v>
      </c>
      <c r="E2435" s="32">
        <f t="shared" si="38"/>
        <v>0.8588854741165266</v>
      </c>
    </row>
    <row r="2436" spans="1:5" x14ac:dyDescent="0.25">
      <c r="A2436" s="17">
        <v>282</v>
      </c>
      <c r="B2436" s="31">
        <v>51363</v>
      </c>
      <c r="C2436" s="32">
        <f>INDEX('Input Data'!$B:$B,A2436)/2+IF(A2436&lt;&gt;A2437,100,0)</f>
        <v>1.6875</v>
      </c>
      <c r="D2436" s="33">
        <f>INDEX('ZCB Curve - Payment Dates'!$D$2:$D$246,MATCH(B2436,'ZCB Curve - Payment Dates'!$A$2:$A$246,0))</f>
        <v>0.49394036022330806</v>
      </c>
      <c r="E2436" s="32">
        <f t="shared" si="38"/>
        <v>0.83352435787683232</v>
      </c>
    </row>
    <row r="2437" spans="1:5" x14ac:dyDescent="0.25">
      <c r="A2437" s="17">
        <v>282</v>
      </c>
      <c r="B2437" s="31">
        <v>51547</v>
      </c>
      <c r="C2437" s="32">
        <f>INDEX('Input Data'!$B:$B,A2437)/2+IF(A2437&lt;&gt;A2438,100,0)</f>
        <v>1.6875</v>
      </c>
      <c r="D2437" s="33">
        <f>INDEX('ZCB Curve - Payment Dates'!$D$2:$D$246,MATCH(B2437,'ZCB Curve - Payment Dates'!$A$2:$A$246,0))</f>
        <v>0.47909718957588998</v>
      </c>
      <c r="E2437" s="32">
        <f t="shared" si="38"/>
        <v>0.80847650740931432</v>
      </c>
    </row>
    <row r="2438" spans="1:5" x14ac:dyDescent="0.25">
      <c r="A2438" s="17">
        <v>282</v>
      </c>
      <c r="B2438" s="31">
        <v>51728</v>
      </c>
      <c r="C2438" s="32">
        <f>INDEX('Input Data'!$B:$B,A2438)/2+IF(A2438&lt;&gt;A2439,100,0)</f>
        <v>1.6875</v>
      </c>
      <c r="D2438" s="33">
        <f>INDEX('ZCB Curve - Payment Dates'!$D$2:$D$246,MATCH(B2438,'ZCB Curve - Payment Dates'!$A$2:$A$246,0))</f>
        <v>0.46485329459616059</v>
      </c>
      <c r="E2438" s="32">
        <f t="shared" si="38"/>
        <v>0.78443993463102102</v>
      </c>
    </row>
    <row r="2439" spans="1:5" x14ac:dyDescent="0.25">
      <c r="A2439" s="17">
        <v>282</v>
      </c>
      <c r="B2439" s="31">
        <v>51912</v>
      </c>
      <c r="C2439" s="32">
        <f>INDEX('Input Data'!$B:$B,A2439)/2+IF(A2439&lt;&gt;A2440,100,0)</f>
        <v>1.6875</v>
      </c>
      <c r="D2439" s="33">
        <f>INDEX('ZCB Curve - Payment Dates'!$D$2:$D$246,MATCH(B2439,'ZCB Curve - Payment Dates'!$A$2:$A$246,0))</f>
        <v>0.45075168915212815</v>
      </c>
      <c r="E2439" s="32">
        <f t="shared" si="38"/>
        <v>0.76064347544421629</v>
      </c>
    </row>
    <row r="2440" spans="1:5" x14ac:dyDescent="0.25">
      <c r="A2440" s="17">
        <v>282</v>
      </c>
      <c r="B2440" s="31">
        <v>52093</v>
      </c>
      <c r="C2440" s="32">
        <f>INDEX('Input Data'!$B:$B,A2440)/2+IF(A2440&lt;&gt;A2441,100,0)</f>
        <v>101.6875</v>
      </c>
      <c r="D2440" s="33">
        <f>INDEX('ZCB Curve - Payment Dates'!$D$2:$D$246,MATCH(B2440,'ZCB Curve - Payment Dates'!$A$2:$A$246,0))</f>
        <v>0.43726259018094221</v>
      </c>
      <c r="E2440" s="32">
        <f t="shared" si="38"/>
        <v>44.464139639024559</v>
      </c>
    </row>
    <row r="2441" spans="1:5" x14ac:dyDescent="0.25">
      <c r="A2441" s="17">
        <v>283</v>
      </c>
      <c r="B2441" s="31">
        <v>46341</v>
      </c>
      <c r="C2441" s="32">
        <f>INDEX('Input Data'!$B:$B,A2441)/2+IF(A2441&lt;&gt;A2442,100,0)</f>
        <v>1.375</v>
      </c>
      <c r="D2441" s="33">
        <f>INDEX('ZCB Curve - Payment Dates'!$D$2:$D$246,MATCH(B2441,'ZCB Curve - Payment Dates'!$A$2:$A$246,0))</f>
        <v>0.99245367292309439</v>
      </c>
      <c r="E2441" s="32">
        <f t="shared" si="38"/>
        <v>1.3646238002692548</v>
      </c>
    </row>
    <row r="2442" spans="1:5" x14ac:dyDescent="0.25">
      <c r="A2442" s="17">
        <v>283</v>
      </c>
      <c r="B2442" s="31">
        <v>46522</v>
      </c>
      <c r="C2442" s="32">
        <f>INDEX('Input Data'!$B:$B,A2442)/2+IF(A2442&lt;&gt;A2443,100,0)</f>
        <v>1.375</v>
      </c>
      <c r="D2442" s="33">
        <f>INDEX('ZCB Curve - Payment Dates'!$D$2:$D$246,MATCH(B2442,'ZCB Curve - Payment Dates'!$A$2:$A$246,0))</f>
        <v>0.97242179559611874</v>
      </c>
      <c r="E2442" s="32">
        <f t="shared" si="38"/>
        <v>1.3370799689446633</v>
      </c>
    </row>
    <row r="2443" spans="1:5" x14ac:dyDescent="0.25">
      <c r="A2443" s="17">
        <v>283</v>
      </c>
      <c r="B2443" s="31">
        <v>46706</v>
      </c>
      <c r="C2443" s="32">
        <f>INDEX('Input Data'!$B:$B,A2443)/2+IF(A2443&lt;&gt;A2444,100,0)</f>
        <v>1.375</v>
      </c>
      <c r="D2443" s="33">
        <f>INDEX('ZCB Curve - Payment Dates'!$D$2:$D$246,MATCH(B2443,'ZCB Curve - Payment Dates'!$A$2:$A$246,0))</f>
        <v>0.95121018311627348</v>
      </c>
      <c r="E2443" s="32">
        <f t="shared" si="38"/>
        <v>1.307914001784876</v>
      </c>
    </row>
    <row r="2444" spans="1:5" x14ac:dyDescent="0.25">
      <c r="A2444" s="17">
        <v>283</v>
      </c>
      <c r="B2444" s="31">
        <v>46888</v>
      </c>
      <c r="C2444" s="32">
        <f>INDEX('Input Data'!$B:$B,A2444)/2+IF(A2444&lt;&gt;A2445,100,0)</f>
        <v>1.375</v>
      </c>
      <c r="D2444" s="33">
        <f>INDEX('ZCB Curve - Payment Dates'!$D$2:$D$246,MATCH(B2444,'ZCB Curve - Payment Dates'!$A$2:$A$246,0))</f>
        <v>0.93000025435083566</v>
      </c>
      <c r="E2444" s="32">
        <f t="shared" si="38"/>
        <v>1.2787503497323991</v>
      </c>
    </row>
    <row r="2445" spans="1:5" x14ac:dyDescent="0.25">
      <c r="A2445" s="17">
        <v>283</v>
      </c>
      <c r="B2445" s="31">
        <v>47072</v>
      </c>
      <c r="C2445" s="32">
        <f>INDEX('Input Data'!$B:$B,A2445)/2+IF(A2445&lt;&gt;A2446,100,0)</f>
        <v>1.375</v>
      </c>
      <c r="D2445" s="33">
        <f>INDEX('ZCB Curve - Payment Dates'!$D$2:$D$246,MATCH(B2445,'ZCB Curve - Payment Dates'!$A$2:$A$246,0))</f>
        <v>0.90870125167038918</v>
      </c>
      <c r="E2445" s="32">
        <f t="shared" si="38"/>
        <v>1.249464221046785</v>
      </c>
    </row>
    <row r="2446" spans="1:5" x14ac:dyDescent="0.25">
      <c r="A2446" s="17">
        <v>283</v>
      </c>
      <c r="B2446" s="31">
        <v>47253</v>
      </c>
      <c r="C2446" s="32">
        <f>INDEX('Input Data'!$B:$B,A2446)/2+IF(A2446&lt;&gt;A2447,100,0)</f>
        <v>1.375</v>
      </c>
      <c r="D2446" s="33">
        <f>INDEX('ZCB Curve - Payment Dates'!$D$2:$D$246,MATCH(B2446,'ZCB Curve - Payment Dates'!$A$2:$A$246,0))</f>
        <v>0.88809325063638844</v>
      </c>
      <c r="E2446" s="32">
        <f t="shared" si="38"/>
        <v>1.2211282196250342</v>
      </c>
    </row>
    <row r="2447" spans="1:5" x14ac:dyDescent="0.25">
      <c r="A2447" s="17">
        <v>283</v>
      </c>
      <c r="B2447" s="31">
        <v>47437</v>
      </c>
      <c r="C2447" s="32">
        <f>INDEX('Input Data'!$B:$B,A2447)/2+IF(A2447&lt;&gt;A2448,100,0)</f>
        <v>1.375</v>
      </c>
      <c r="D2447" s="33">
        <f>INDEX('ZCB Curve - Payment Dates'!$D$2:$D$246,MATCH(B2447,'ZCB Curve - Payment Dates'!$A$2:$A$246,0))</f>
        <v>0.86758824089536279</v>
      </c>
      <c r="E2447" s="32">
        <f t="shared" si="38"/>
        <v>1.192933831231124</v>
      </c>
    </row>
    <row r="2448" spans="1:5" x14ac:dyDescent="0.25">
      <c r="A2448" s="17">
        <v>283</v>
      </c>
      <c r="B2448" s="31">
        <v>47618</v>
      </c>
      <c r="C2448" s="32">
        <f>INDEX('Input Data'!$B:$B,A2448)/2+IF(A2448&lt;&gt;A2449,100,0)</f>
        <v>1.375</v>
      </c>
      <c r="D2448" s="33">
        <f>INDEX('ZCB Curve - Payment Dates'!$D$2:$D$246,MATCH(B2448,'ZCB Curve - Payment Dates'!$A$2:$A$246,0))</f>
        <v>0.84787416911783064</v>
      </c>
      <c r="E2448" s="32">
        <f t="shared" si="38"/>
        <v>1.1658269825370171</v>
      </c>
    </row>
    <row r="2449" spans="1:5" x14ac:dyDescent="0.25">
      <c r="A2449" s="17">
        <v>283</v>
      </c>
      <c r="B2449" s="31">
        <v>47802</v>
      </c>
      <c r="C2449" s="32">
        <f>INDEX('Input Data'!$B:$B,A2449)/2+IF(A2449&lt;&gt;A2450,100,0)</f>
        <v>1.375</v>
      </c>
      <c r="D2449" s="33">
        <f>INDEX('ZCB Curve - Payment Dates'!$D$2:$D$246,MATCH(B2449,'ZCB Curve - Payment Dates'!$A$2:$A$246,0))</f>
        <v>0.82827715028796722</v>
      </c>
      <c r="E2449" s="32">
        <f t="shared" si="38"/>
        <v>1.1388810816459549</v>
      </c>
    </row>
    <row r="2450" spans="1:5" x14ac:dyDescent="0.25">
      <c r="A2450" s="17">
        <v>283</v>
      </c>
      <c r="B2450" s="31">
        <v>47983</v>
      </c>
      <c r="C2450" s="32">
        <f>INDEX('Input Data'!$B:$B,A2450)/2+IF(A2450&lt;&gt;A2451,100,0)</f>
        <v>1.375</v>
      </c>
      <c r="D2450" s="33">
        <f>INDEX('ZCB Curve - Payment Dates'!$D$2:$D$246,MATCH(B2450,'ZCB Curve - Payment Dates'!$A$2:$A$246,0))</f>
        <v>0.80939067484273564</v>
      </c>
      <c r="E2450" s="32">
        <f t="shared" si="38"/>
        <v>1.1129121779087614</v>
      </c>
    </row>
    <row r="2451" spans="1:5" x14ac:dyDescent="0.25">
      <c r="A2451" s="17">
        <v>283</v>
      </c>
      <c r="B2451" s="31">
        <v>48167</v>
      </c>
      <c r="C2451" s="32">
        <f>INDEX('Input Data'!$B:$B,A2451)/2+IF(A2451&lt;&gt;A2452,100,0)</f>
        <v>1.375</v>
      </c>
      <c r="D2451" s="33">
        <f>INDEX('ZCB Curve - Payment Dates'!$D$2:$D$246,MATCH(B2451,'ZCB Curve - Payment Dates'!$A$2:$A$246,0))</f>
        <v>0.79053567842581962</v>
      </c>
      <c r="E2451" s="32">
        <f t="shared" si="38"/>
        <v>1.086986557835502</v>
      </c>
    </row>
    <row r="2452" spans="1:5" x14ac:dyDescent="0.25">
      <c r="A2452" s="17">
        <v>283</v>
      </c>
      <c r="B2452" s="31">
        <v>48349</v>
      </c>
      <c r="C2452" s="32">
        <f>INDEX('Input Data'!$B:$B,A2452)/2+IF(A2452&lt;&gt;A2453,100,0)</f>
        <v>1.375</v>
      </c>
      <c r="D2452" s="33">
        <f>INDEX('ZCB Curve - Payment Dates'!$D$2:$D$246,MATCH(B2452,'ZCB Curve - Payment Dates'!$A$2:$A$246,0))</f>
        <v>0.77217305702007488</v>
      </c>
      <c r="E2452" s="32">
        <f t="shared" si="38"/>
        <v>1.061737953402603</v>
      </c>
    </row>
    <row r="2453" spans="1:5" x14ac:dyDescent="0.25">
      <c r="A2453" s="17">
        <v>283</v>
      </c>
      <c r="B2453" s="31">
        <v>48533</v>
      </c>
      <c r="C2453" s="32">
        <f>INDEX('Input Data'!$B:$B,A2453)/2+IF(A2453&lt;&gt;A2454,100,0)</f>
        <v>1.375</v>
      </c>
      <c r="D2453" s="33">
        <f>INDEX('ZCB Curve - Payment Dates'!$D$2:$D$246,MATCH(B2453,'ZCB Curve - Payment Dates'!$A$2:$A$246,0))</f>
        <v>0.75384766072076514</v>
      </c>
      <c r="E2453" s="32">
        <f t="shared" si="38"/>
        <v>1.036540533491052</v>
      </c>
    </row>
    <row r="2454" spans="1:5" x14ac:dyDescent="0.25">
      <c r="A2454" s="17">
        <v>283</v>
      </c>
      <c r="B2454" s="31">
        <v>48714</v>
      </c>
      <c r="C2454" s="32">
        <f>INDEX('Input Data'!$B:$B,A2454)/2+IF(A2454&lt;&gt;A2455,100,0)</f>
        <v>1.375</v>
      </c>
      <c r="D2454" s="33">
        <f>INDEX('ZCB Curve - Payment Dates'!$D$2:$D$246,MATCH(B2454,'ZCB Curve - Payment Dates'!$A$2:$A$246,0))</f>
        <v>0.73601491848746747</v>
      </c>
      <c r="E2454" s="32">
        <f t="shared" si="38"/>
        <v>1.0120205129202677</v>
      </c>
    </row>
    <row r="2455" spans="1:5" x14ac:dyDescent="0.25">
      <c r="A2455" s="17">
        <v>283</v>
      </c>
      <c r="B2455" s="31">
        <v>48898</v>
      </c>
      <c r="C2455" s="32">
        <f>INDEX('Input Data'!$B:$B,A2455)/2+IF(A2455&lt;&gt;A2456,100,0)</f>
        <v>1.375</v>
      </c>
      <c r="D2455" s="33">
        <f>INDEX('ZCB Curve - Payment Dates'!$D$2:$D$246,MATCH(B2455,'ZCB Curve - Payment Dates'!$A$2:$A$246,0))</f>
        <v>0.71805338140354003</v>
      </c>
      <c r="E2455" s="32">
        <f t="shared" si="38"/>
        <v>0.98732339942986758</v>
      </c>
    </row>
    <row r="2456" spans="1:5" x14ac:dyDescent="0.25">
      <c r="A2456" s="17">
        <v>283</v>
      </c>
      <c r="B2456" s="31">
        <v>49079</v>
      </c>
      <c r="C2456" s="32">
        <f>INDEX('Input Data'!$B:$B,A2456)/2+IF(A2456&lt;&gt;A2457,100,0)</f>
        <v>1.375</v>
      </c>
      <c r="D2456" s="33">
        <f>INDEX('ZCB Curve - Payment Dates'!$D$2:$D$246,MATCH(B2456,'ZCB Curve - Payment Dates'!$A$2:$A$246,0))</f>
        <v>0.70052630492471468</v>
      </c>
      <c r="E2456" s="32">
        <f t="shared" si="38"/>
        <v>0.96322366927148273</v>
      </c>
    </row>
    <row r="2457" spans="1:5" x14ac:dyDescent="0.25">
      <c r="A2457" s="17">
        <v>283</v>
      </c>
      <c r="B2457" s="31">
        <v>49263</v>
      </c>
      <c r="C2457" s="32">
        <f>INDEX('Input Data'!$B:$B,A2457)/2+IF(A2457&lt;&gt;A2458,100,0)</f>
        <v>1.375</v>
      </c>
      <c r="D2457" s="33">
        <f>INDEX('ZCB Curve - Payment Dates'!$D$2:$D$246,MATCH(B2457,'ZCB Curve - Payment Dates'!$A$2:$A$246,0))</f>
        <v>0.68284221202539863</v>
      </c>
      <c r="E2457" s="32">
        <f t="shared" si="38"/>
        <v>0.93890804153492313</v>
      </c>
    </row>
    <row r="2458" spans="1:5" x14ac:dyDescent="0.25">
      <c r="A2458" s="17">
        <v>283</v>
      </c>
      <c r="B2458" s="31">
        <v>49444</v>
      </c>
      <c r="C2458" s="32">
        <f>INDEX('Input Data'!$B:$B,A2458)/2+IF(A2458&lt;&gt;A2459,100,0)</f>
        <v>1.375</v>
      </c>
      <c r="D2458" s="33">
        <f>INDEX('ZCB Curve - Payment Dates'!$D$2:$D$246,MATCH(B2458,'ZCB Curve - Payment Dates'!$A$2:$A$246,0))</f>
        <v>0.66557347415228496</v>
      </c>
      <c r="E2458" s="32">
        <f t="shared" si="38"/>
        <v>0.91516352695939185</v>
      </c>
    </row>
    <row r="2459" spans="1:5" x14ac:dyDescent="0.25">
      <c r="A2459" s="17">
        <v>283</v>
      </c>
      <c r="B2459" s="31">
        <v>49628</v>
      </c>
      <c r="C2459" s="32">
        <f>INDEX('Input Data'!$B:$B,A2459)/2+IF(A2459&lt;&gt;A2460,100,0)</f>
        <v>1.375</v>
      </c>
      <c r="D2459" s="33">
        <f>INDEX('ZCB Curve - Payment Dates'!$D$2:$D$246,MATCH(B2459,'ZCB Curve - Payment Dates'!$A$2:$A$246,0))</f>
        <v>0.64815361918127823</v>
      </c>
      <c r="E2459" s="32">
        <f t="shared" si="38"/>
        <v>0.89121122637425754</v>
      </c>
    </row>
    <row r="2460" spans="1:5" x14ac:dyDescent="0.25">
      <c r="A2460" s="17">
        <v>283</v>
      </c>
      <c r="B2460" s="31">
        <v>49810</v>
      </c>
      <c r="C2460" s="32">
        <f>INDEX('Input Data'!$B:$B,A2460)/2+IF(A2460&lt;&gt;A2461,100,0)</f>
        <v>1.375</v>
      </c>
      <c r="D2460" s="33">
        <f>INDEX('ZCB Curve - Payment Dates'!$D$2:$D$246,MATCH(B2460,'ZCB Curve - Payment Dates'!$A$2:$A$246,0))</f>
        <v>0.63106457078577471</v>
      </c>
      <c r="E2460" s="32">
        <f t="shared" si="38"/>
        <v>0.86771378483044026</v>
      </c>
    </row>
    <row r="2461" spans="1:5" x14ac:dyDescent="0.25">
      <c r="A2461" s="17">
        <v>283</v>
      </c>
      <c r="B2461" s="31">
        <v>49994</v>
      </c>
      <c r="C2461" s="32">
        <f>INDEX('Input Data'!$B:$B,A2461)/2+IF(A2461&lt;&gt;A2462,100,0)</f>
        <v>1.375</v>
      </c>
      <c r="D2461" s="33">
        <f>INDEX('ZCB Curve - Payment Dates'!$D$2:$D$246,MATCH(B2461,'ZCB Curve - Payment Dates'!$A$2:$A$246,0))</f>
        <v>0.61395227923184648</v>
      </c>
      <c r="E2461" s="32">
        <f t="shared" si="38"/>
        <v>0.84418438394378892</v>
      </c>
    </row>
    <row r="2462" spans="1:5" x14ac:dyDescent="0.25">
      <c r="A2462" s="17">
        <v>283</v>
      </c>
      <c r="B2462" s="31">
        <v>50175</v>
      </c>
      <c r="C2462" s="32">
        <f>INDEX('Input Data'!$B:$B,A2462)/2+IF(A2462&lt;&gt;A2463,100,0)</f>
        <v>1.375</v>
      </c>
      <c r="D2462" s="33">
        <f>INDEX('ZCB Curve - Payment Dates'!$D$2:$D$246,MATCH(B2462,'ZCB Curve - Payment Dates'!$A$2:$A$246,0))</f>
        <v>0.5972963482314616</v>
      </c>
      <c r="E2462" s="32">
        <f t="shared" si="38"/>
        <v>0.82128247881825966</v>
      </c>
    </row>
    <row r="2463" spans="1:5" x14ac:dyDescent="0.25">
      <c r="A2463" s="17">
        <v>283</v>
      </c>
      <c r="B2463" s="31">
        <v>50359</v>
      </c>
      <c r="C2463" s="32">
        <f>INDEX('Input Data'!$B:$B,A2463)/2+IF(A2463&lt;&gt;A2464,100,0)</f>
        <v>1.375</v>
      </c>
      <c r="D2463" s="33">
        <f>INDEX('ZCB Curve - Payment Dates'!$D$2:$D$246,MATCH(B2463,'ZCB Curve - Payment Dates'!$A$2:$A$246,0))</f>
        <v>0.58056812006155756</v>
      </c>
      <c r="E2463" s="32">
        <f t="shared" si="38"/>
        <v>0.79828116508464164</v>
      </c>
    </row>
    <row r="2464" spans="1:5" x14ac:dyDescent="0.25">
      <c r="A2464" s="17">
        <v>283</v>
      </c>
      <c r="B2464" s="31">
        <v>50540</v>
      </c>
      <c r="C2464" s="32">
        <f>INDEX('Input Data'!$B:$B,A2464)/2+IF(A2464&lt;&gt;A2465,100,0)</f>
        <v>1.375</v>
      </c>
      <c r="D2464" s="33">
        <f>INDEX('ZCB Curve - Payment Dates'!$D$2:$D$246,MATCH(B2464,'ZCB Curve - Payment Dates'!$A$2:$A$246,0))</f>
        <v>0.56433491315969797</v>
      </c>
      <c r="E2464" s="32">
        <f t="shared" si="38"/>
        <v>0.77596050559458474</v>
      </c>
    </row>
    <row r="2465" spans="1:5" x14ac:dyDescent="0.25">
      <c r="A2465" s="17">
        <v>283</v>
      </c>
      <c r="B2465" s="31">
        <v>50724</v>
      </c>
      <c r="C2465" s="32">
        <f>INDEX('Input Data'!$B:$B,A2465)/2+IF(A2465&lt;&gt;A2466,100,0)</f>
        <v>1.375</v>
      </c>
      <c r="D2465" s="33">
        <f>INDEX('ZCB Curve - Payment Dates'!$D$2:$D$246,MATCH(B2465,'ZCB Curve - Payment Dates'!$A$2:$A$246,0))</f>
        <v>0.54808398139057424</v>
      </c>
      <c r="E2465" s="32">
        <f t="shared" si="38"/>
        <v>0.75361547441203958</v>
      </c>
    </row>
    <row r="2466" spans="1:5" x14ac:dyDescent="0.25">
      <c r="A2466" s="17">
        <v>283</v>
      </c>
      <c r="B2466" s="31">
        <v>50905</v>
      </c>
      <c r="C2466" s="32">
        <f>INDEX('Input Data'!$B:$B,A2466)/2+IF(A2466&lt;&gt;A2467,100,0)</f>
        <v>1.375</v>
      </c>
      <c r="D2466" s="33">
        <f>INDEX('ZCB Curve - Payment Dates'!$D$2:$D$246,MATCH(B2466,'ZCB Curve - Payment Dates'!$A$2:$A$246,0))</f>
        <v>0.5323673246083096</v>
      </c>
      <c r="E2466" s="32">
        <f t="shared" si="38"/>
        <v>0.73200507133642567</v>
      </c>
    </row>
    <row r="2467" spans="1:5" x14ac:dyDescent="0.25">
      <c r="A2467" s="17">
        <v>283</v>
      </c>
      <c r="B2467" s="31">
        <v>51089</v>
      </c>
      <c r="C2467" s="32">
        <f>INDEX('Input Data'!$B:$B,A2467)/2+IF(A2467&lt;&gt;A2468,100,0)</f>
        <v>1.375</v>
      </c>
      <c r="D2467" s="33">
        <f>INDEX('ZCB Curve - Payment Dates'!$D$2:$D$246,MATCH(B2467,'ZCB Curve - Payment Dates'!$A$2:$A$246,0))</f>
        <v>0.51668806431098135</v>
      </c>
      <c r="E2467" s="32">
        <f t="shared" si="38"/>
        <v>0.71044608842759938</v>
      </c>
    </row>
    <row r="2468" spans="1:5" x14ac:dyDescent="0.25">
      <c r="A2468" s="17">
        <v>283</v>
      </c>
      <c r="B2468" s="31">
        <v>51271</v>
      </c>
      <c r="C2468" s="32">
        <f>INDEX('Input Data'!$B:$B,A2468)/2+IF(A2468&lt;&gt;A2469,100,0)</f>
        <v>1.375</v>
      </c>
      <c r="D2468" s="33">
        <f>INDEX('ZCB Curve - Payment Dates'!$D$2:$D$246,MATCH(B2468,'ZCB Curve - Payment Dates'!$A$2:$A$246,0))</f>
        <v>0.50149590020417278</v>
      </c>
      <c r="E2468" s="32">
        <f t="shared" si="38"/>
        <v>0.68955686278073758</v>
      </c>
    </row>
    <row r="2469" spans="1:5" x14ac:dyDescent="0.25">
      <c r="A2469" s="17">
        <v>283</v>
      </c>
      <c r="B2469" s="31">
        <v>51455</v>
      </c>
      <c r="C2469" s="32">
        <f>INDEX('Input Data'!$B:$B,A2469)/2+IF(A2469&lt;&gt;A2470,100,0)</f>
        <v>1.375</v>
      </c>
      <c r="D2469" s="33">
        <f>INDEX('ZCB Curve - Payment Dates'!$D$2:$D$246,MATCH(B2469,'ZCB Curve - Payment Dates'!$A$2:$A$246,0))</f>
        <v>0.48647538074270091</v>
      </c>
      <c r="E2469" s="32">
        <f t="shared" si="38"/>
        <v>0.66890364852121376</v>
      </c>
    </row>
    <row r="2470" spans="1:5" x14ac:dyDescent="0.25">
      <c r="A2470" s="17">
        <v>283</v>
      </c>
      <c r="B2470" s="31">
        <v>51636</v>
      </c>
      <c r="C2470" s="32">
        <f>INDEX('Input Data'!$B:$B,A2470)/2+IF(A2470&lt;&gt;A2471,100,0)</f>
        <v>1.375</v>
      </c>
      <c r="D2470" s="33">
        <f>INDEX('ZCB Curve - Payment Dates'!$D$2:$D$246,MATCH(B2470,'ZCB Curve - Payment Dates'!$A$2:$A$246,0))</f>
        <v>0.47204918703719451</v>
      </c>
      <c r="E2470" s="32">
        <f t="shared" si="38"/>
        <v>0.64906763217614249</v>
      </c>
    </row>
    <row r="2471" spans="1:5" x14ac:dyDescent="0.25">
      <c r="A2471" s="17">
        <v>283</v>
      </c>
      <c r="B2471" s="31">
        <v>51820</v>
      </c>
      <c r="C2471" s="32">
        <f>INDEX('Input Data'!$B:$B,A2471)/2+IF(A2471&lt;&gt;A2472,100,0)</f>
        <v>1.375</v>
      </c>
      <c r="D2471" s="33">
        <f>INDEX('ZCB Curve - Payment Dates'!$D$2:$D$246,MATCH(B2471,'ZCB Curve - Payment Dates'!$A$2:$A$246,0))</f>
        <v>0.45775548669345245</v>
      </c>
      <c r="E2471" s="32">
        <f t="shared" si="38"/>
        <v>0.62941379420349708</v>
      </c>
    </row>
    <row r="2472" spans="1:5" x14ac:dyDescent="0.25">
      <c r="A2472" s="17">
        <v>283</v>
      </c>
      <c r="B2472" s="31">
        <v>52001</v>
      </c>
      <c r="C2472" s="32">
        <f>INDEX('Input Data'!$B:$B,A2472)/2+IF(A2472&lt;&gt;A2473,100,0)</f>
        <v>1.375</v>
      </c>
      <c r="D2472" s="33">
        <f>INDEX('ZCB Curve - Payment Dates'!$D$2:$D$246,MATCH(B2472,'ZCB Curve - Payment Dates'!$A$2:$A$246,0))</f>
        <v>0.44407192118484318</v>
      </c>
      <c r="E2472" s="32">
        <f t="shared" si="38"/>
        <v>0.61059889162915937</v>
      </c>
    </row>
    <row r="2473" spans="1:5" x14ac:dyDescent="0.25">
      <c r="A2473" s="17">
        <v>283</v>
      </c>
      <c r="B2473" s="31">
        <v>52185</v>
      </c>
      <c r="C2473" s="32">
        <f>INDEX('Input Data'!$B:$B,A2473)/2+IF(A2473&lt;&gt;A2474,100,0)</f>
        <v>101.375</v>
      </c>
      <c r="D2473" s="33">
        <f>INDEX('ZCB Curve - Payment Dates'!$D$2:$D$246,MATCH(B2473,'ZCB Curve - Payment Dates'!$A$2:$A$246,0))</f>
        <v>0.43055647946672393</v>
      </c>
      <c r="E2473" s="32">
        <f t="shared" si="38"/>
        <v>43.647663105939138</v>
      </c>
    </row>
    <row r="2474" spans="1:5" x14ac:dyDescent="0.25">
      <c r="A2474" s="17">
        <v>284</v>
      </c>
      <c r="B2474" s="31">
        <v>46341</v>
      </c>
      <c r="C2474" s="32">
        <f>INDEX('Input Data'!$B:$B,A2474)/2+IF(A2474&lt;&gt;A2475,100,0)</f>
        <v>2</v>
      </c>
      <c r="D2474" s="33">
        <f>INDEX('ZCB Curve - Payment Dates'!$D$2:$D$246,MATCH(B2474,'ZCB Curve - Payment Dates'!$A$2:$A$246,0))</f>
        <v>0.99245367292309439</v>
      </c>
      <c r="E2474" s="32">
        <f t="shared" si="38"/>
        <v>1.9849073458461888</v>
      </c>
    </row>
    <row r="2475" spans="1:5" x14ac:dyDescent="0.25">
      <c r="A2475" s="17">
        <v>284</v>
      </c>
      <c r="B2475" s="31">
        <v>46522</v>
      </c>
      <c r="C2475" s="32">
        <f>INDEX('Input Data'!$B:$B,A2475)/2+IF(A2475&lt;&gt;A2476,100,0)</f>
        <v>2</v>
      </c>
      <c r="D2475" s="33">
        <f>INDEX('ZCB Curve - Payment Dates'!$D$2:$D$246,MATCH(B2475,'ZCB Curve - Payment Dates'!$A$2:$A$246,0))</f>
        <v>0.97242179559611874</v>
      </c>
      <c r="E2475" s="32">
        <f t="shared" si="38"/>
        <v>1.9448435911922375</v>
      </c>
    </row>
    <row r="2476" spans="1:5" x14ac:dyDescent="0.25">
      <c r="A2476" s="17">
        <v>284</v>
      </c>
      <c r="B2476" s="31">
        <v>46706</v>
      </c>
      <c r="C2476" s="32">
        <f>INDEX('Input Data'!$B:$B,A2476)/2+IF(A2476&lt;&gt;A2477,100,0)</f>
        <v>2</v>
      </c>
      <c r="D2476" s="33">
        <f>INDEX('ZCB Curve - Payment Dates'!$D$2:$D$246,MATCH(B2476,'ZCB Curve - Payment Dates'!$A$2:$A$246,0))</f>
        <v>0.95121018311627348</v>
      </c>
      <c r="E2476" s="32">
        <f t="shared" si="38"/>
        <v>1.902420366232547</v>
      </c>
    </row>
    <row r="2477" spans="1:5" x14ac:dyDescent="0.25">
      <c r="A2477" s="17">
        <v>284</v>
      </c>
      <c r="B2477" s="31">
        <v>46888</v>
      </c>
      <c r="C2477" s="32">
        <f>INDEX('Input Data'!$B:$B,A2477)/2+IF(A2477&lt;&gt;A2478,100,0)</f>
        <v>2</v>
      </c>
      <c r="D2477" s="33">
        <f>INDEX('ZCB Curve - Payment Dates'!$D$2:$D$246,MATCH(B2477,'ZCB Curve - Payment Dates'!$A$2:$A$246,0))</f>
        <v>0.93000025435083566</v>
      </c>
      <c r="E2477" s="32">
        <f t="shared" si="38"/>
        <v>1.8600005087016713</v>
      </c>
    </row>
    <row r="2478" spans="1:5" x14ac:dyDescent="0.25">
      <c r="A2478" s="17">
        <v>284</v>
      </c>
      <c r="B2478" s="31">
        <v>47072</v>
      </c>
      <c r="C2478" s="32">
        <f>INDEX('Input Data'!$B:$B,A2478)/2+IF(A2478&lt;&gt;A2479,100,0)</f>
        <v>2</v>
      </c>
      <c r="D2478" s="33">
        <f>INDEX('ZCB Curve - Payment Dates'!$D$2:$D$246,MATCH(B2478,'ZCB Curve - Payment Dates'!$A$2:$A$246,0))</f>
        <v>0.90870125167038918</v>
      </c>
      <c r="E2478" s="32">
        <f t="shared" si="38"/>
        <v>1.8174025033407784</v>
      </c>
    </row>
    <row r="2479" spans="1:5" x14ac:dyDescent="0.25">
      <c r="A2479" s="17">
        <v>284</v>
      </c>
      <c r="B2479" s="31">
        <v>47253</v>
      </c>
      <c r="C2479" s="32">
        <f>INDEX('Input Data'!$B:$B,A2479)/2+IF(A2479&lt;&gt;A2480,100,0)</f>
        <v>2</v>
      </c>
      <c r="D2479" s="33">
        <f>INDEX('ZCB Curve - Payment Dates'!$D$2:$D$246,MATCH(B2479,'ZCB Curve - Payment Dates'!$A$2:$A$246,0))</f>
        <v>0.88809325063638844</v>
      </c>
      <c r="E2479" s="32">
        <f t="shared" si="38"/>
        <v>1.7761865012727769</v>
      </c>
    </row>
    <row r="2480" spans="1:5" x14ac:dyDescent="0.25">
      <c r="A2480" s="17">
        <v>284</v>
      </c>
      <c r="B2480" s="31">
        <v>47437</v>
      </c>
      <c r="C2480" s="32">
        <f>INDEX('Input Data'!$B:$B,A2480)/2+IF(A2480&lt;&gt;A2481,100,0)</f>
        <v>2</v>
      </c>
      <c r="D2480" s="33">
        <f>INDEX('ZCB Curve - Payment Dates'!$D$2:$D$246,MATCH(B2480,'ZCB Curve - Payment Dates'!$A$2:$A$246,0))</f>
        <v>0.86758824089536279</v>
      </c>
      <c r="E2480" s="32">
        <f t="shared" si="38"/>
        <v>1.7351764817907256</v>
      </c>
    </row>
    <row r="2481" spans="1:5" x14ac:dyDescent="0.25">
      <c r="A2481" s="17">
        <v>284</v>
      </c>
      <c r="B2481" s="31">
        <v>47618</v>
      </c>
      <c r="C2481" s="32">
        <f>INDEX('Input Data'!$B:$B,A2481)/2+IF(A2481&lt;&gt;A2482,100,0)</f>
        <v>2</v>
      </c>
      <c r="D2481" s="33">
        <f>INDEX('ZCB Curve - Payment Dates'!$D$2:$D$246,MATCH(B2481,'ZCB Curve - Payment Dates'!$A$2:$A$246,0))</f>
        <v>0.84787416911783064</v>
      </c>
      <c r="E2481" s="32">
        <f t="shared" si="38"/>
        <v>1.6957483382356613</v>
      </c>
    </row>
    <row r="2482" spans="1:5" x14ac:dyDescent="0.25">
      <c r="A2482" s="17">
        <v>284</v>
      </c>
      <c r="B2482" s="31">
        <v>47802</v>
      </c>
      <c r="C2482" s="32">
        <f>INDEX('Input Data'!$B:$B,A2482)/2+IF(A2482&lt;&gt;A2483,100,0)</f>
        <v>2</v>
      </c>
      <c r="D2482" s="33">
        <f>INDEX('ZCB Curve - Payment Dates'!$D$2:$D$246,MATCH(B2482,'ZCB Curve - Payment Dates'!$A$2:$A$246,0))</f>
        <v>0.82827715028796722</v>
      </c>
      <c r="E2482" s="32">
        <f t="shared" si="38"/>
        <v>1.6565543005759344</v>
      </c>
    </row>
    <row r="2483" spans="1:5" x14ac:dyDescent="0.25">
      <c r="A2483" s="17">
        <v>284</v>
      </c>
      <c r="B2483" s="31">
        <v>47983</v>
      </c>
      <c r="C2483" s="32">
        <f>INDEX('Input Data'!$B:$B,A2483)/2+IF(A2483&lt;&gt;A2484,100,0)</f>
        <v>2</v>
      </c>
      <c r="D2483" s="33">
        <f>INDEX('ZCB Curve - Payment Dates'!$D$2:$D$246,MATCH(B2483,'ZCB Curve - Payment Dates'!$A$2:$A$246,0))</f>
        <v>0.80939067484273564</v>
      </c>
      <c r="E2483" s="32">
        <f t="shared" si="38"/>
        <v>1.6187813496854713</v>
      </c>
    </row>
    <row r="2484" spans="1:5" x14ac:dyDescent="0.25">
      <c r="A2484" s="17">
        <v>284</v>
      </c>
      <c r="B2484" s="31">
        <v>48167</v>
      </c>
      <c r="C2484" s="32">
        <f>INDEX('Input Data'!$B:$B,A2484)/2+IF(A2484&lt;&gt;A2485,100,0)</f>
        <v>2</v>
      </c>
      <c r="D2484" s="33">
        <f>INDEX('ZCB Curve - Payment Dates'!$D$2:$D$246,MATCH(B2484,'ZCB Curve - Payment Dates'!$A$2:$A$246,0))</f>
        <v>0.79053567842581962</v>
      </c>
      <c r="E2484" s="32">
        <f t="shared" si="38"/>
        <v>1.5810713568516392</v>
      </c>
    </row>
    <row r="2485" spans="1:5" x14ac:dyDescent="0.25">
      <c r="A2485" s="17">
        <v>284</v>
      </c>
      <c r="B2485" s="31">
        <v>48349</v>
      </c>
      <c r="C2485" s="32">
        <f>INDEX('Input Data'!$B:$B,A2485)/2+IF(A2485&lt;&gt;A2486,100,0)</f>
        <v>2</v>
      </c>
      <c r="D2485" s="33">
        <f>INDEX('ZCB Curve - Payment Dates'!$D$2:$D$246,MATCH(B2485,'ZCB Curve - Payment Dates'!$A$2:$A$246,0))</f>
        <v>0.77217305702007488</v>
      </c>
      <c r="E2485" s="32">
        <f t="shared" si="38"/>
        <v>1.5443461140401498</v>
      </c>
    </row>
    <row r="2486" spans="1:5" x14ac:dyDescent="0.25">
      <c r="A2486" s="17">
        <v>284</v>
      </c>
      <c r="B2486" s="31">
        <v>48533</v>
      </c>
      <c r="C2486" s="32">
        <f>INDEX('Input Data'!$B:$B,A2486)/2+IF(A2486&lt;&gt;A2487,100,0)</f>
        <v>2</v>
      </c>
      <c r="D2486" s="33">
        <f>INDEX('ZCB Curve - Payment Dates'!$D$2:$D$246,MATCH(B2486,'ZCB Curve - Payment Dates'!$A$2:$A$246,0))</f>
        <v>0.75384766072076514</v>
      </c>
      <c r="E2486" s="32">
        <f t="shared" si="38"/>
        <v>1.5076953214415303</v>
      </c>
    </row>
    <row r="2487" spans="1:5" x14ac:dyDescent="0.25">
      <c r="A2487" s="17">
        <v>284</v>
      </c>
      <c r="B2487" s="31">
        <v>48714</v>
      </c>
      <c r="C2487" s="32">
        <f>INDEX('Input Data'!$B:$B,A2487)/2+IF(A2487&lt;&gt;A2488,100,0)</f>
        <v>2</v>
      </c>
      <c r="D2487" s="33">
        <f>INDEX('ZCB Curve - Payment Dates'!$D$2:$D$246,MATCH(B2487,'ZCB Curve - Payment Dates'!$A$2:$A$246,0))</f>
        <v>0.73601491848746747</v>
      </c>
      <c r="E2487" s="32">
        <f t="shared" si="38"/>
        <v>1.4720298369749349</v>
      </c>
    </row>
    <row r="2488" spans="1:5" x14ac:dyDescent="0.25">
      <c r="A2488" s="17">
        <v>284</v>
      </c>
      <c r="B2488" s="31">
        <v>48898</v>
      </c>
      <c r="C2488" s="32">
        <f>INDEX('Input Data'!$B:$B,A2488)/2+IF(A2488&lt;&gt;A2489,100,0)</f>
        <v>2</v>
      </c>
      <c r="D2488" s="33">
        <f>INDEX('ZCB Curve - Payment Dates'!$D$2:$D$246,MATCH(B2488,'ZCB Curve - Payment Dates'!$A$2:$A$246,0))</f>
        <v>0.71805338140354003</v>
      </c>
      <c r="E2488" s="32">
        <f t="shared" si="38"/>
        <v>1.4361067628070801</v>
      </c>
    </row>
    <row r="2489" spans="1:5" x14ac:dyDescent="0.25">
      <c r="A2489" s="17">
        <v>284</v>
      </c>
      <c r="B2489" s="31">
        <v>49079</v>
      </c>
      <c r="C2489" s="32">
        <f>INDEX('Input Data'!$B:$B,A2489)/2+IF(A2489&lt;&gt;A2490,100,0)</f>
        <v>2</v>
      </c>
      <c r="D2489" s="33">
        <f>INDEX('ZCB Curve - Payment Dates'!$D$2:$D$246,MATCH(B2489,'ZCB Curve - Payment Dates'!$A$2:$A$246,0))</f>
        <v>0.70052630492471468</v>
      </c>
      <c r="E2489" s="32">
        <f t="shared" si="38"/>
        <v>1.4010526098494294</v>
      </c>
    </row>
    <row r="2490" spans="1:5" x14ac:dyDescent="0.25">
      <c r="A2490" s="17">
        <v>284</v>
      </c>
      <c r="B2490" s="31">
        <v>49263</v>
      </c>
      <c r="C2490" s="32">
        <f>INDEX('Input Data'!$B:$B,A2490)/2+IF(A2490&lt;&gt;A2491,100,0)</f>
        <v>2</v>
      </c>
      <c r="D2490" s="33">
        <f>INDEX('ZCB Curve - Payment Dates'!$D$2:$D$246,MATCH(B2490,'ZCB Curve - Payment Dates'!$A$2:$A$246,0))</f>
        <v>0.68284221202539863</v>
      </c>
      <c r="E2490" s="32">
        <f t="shared" si="38"/>
        <v>1.3656844240507973</v>
      </c>
    </row>
    <row r="2491" spans="1:5" x14ac:dyDescent="0.25">
      <c r="A2491" s="17">
        <v>284</v>
      </c>
      <c r="B2491" s="31">
        <v>49444</v>
      </c>
      <c r="C2491" s="32">
        <f>INDEX('Input Data'!$B:$B,A2491)/2+IF(A2491&lt;&gt;A2492,100,0)</f>
        <v>2</v>
      </c>
      <c r="D2491" s="33">
        <f>INDEX('ZCB Curve - Payment Dates'!$D$2:$D$246,MATCH(B2491,'ZCB Curve - Payment Dates'!$A$2:$A$246,0))</f>
        <v>0.66557347415228496</v>
      </c>
      <c r="E2491" s="32">
        <f t="shared" si="38"/>
        <v>1.3311469483045699</v>
      </c>
    </row>
    <row r="2492" spans="1:5" x14ac:dyDescent="0.25">
      <c r="A2492" s="17">
        <v>284</v>
      </c>
      <c r="B2492" s="31">
        <v>49628</v>
      </c>
      <c r="C2492" s="32">
        <f>INDEX('Input Data'!$B:$B,A2492)/2+IF(A2492&lt;&gt;A2493,100,0)</f>
        <v>2</v>
      </c>
      <c r="D2492" s="33">
        <f>INDEX('ZCB Curve - Payment Dates'!$D$2:$D$246,MATCH(B2492,'ZCB Curve - Payment Dates'!$A$2:$A$246,0))</f>
        <v>0.64815361918127823</v>
      </c>
      <c r="E2492" s="32">
        <f t="shared" si="38"/>
        <v>1.2963072383625565</v>
      </c>
    </row>
    <row r="2493" spans="1:5" x14ac:dyDescent="0.25">
      <c r="A2493" s="17">
        <v>284</v>
      </c>
      <c r="B2493" s="31">
        <v>49810</v>
      </c>
      <c r="C2493" s="32">
        <f>INDEX('Input Data'!$B:$B,A2493)/2+IF(A2493&lt;&gt;A2494,100,0)</f>
        <v>2</v>
      </c>
      <c r="D2493" s="33">
        <f>INDEX('ZCB Curve - Payment Dates'!$D$2:$D$246,MATCH(B2493,'ZCB Curve - Payment Dates'!$A$2:$A$246,0))</f>
        <v>0.63106457078577471</v>
      </c>
      <c r="E2493" s="32">
        <f t="shared" si="38"/>
        <v>1.2621291415715494</v>
      </c>
    </row>
    <row r="2494" spans="1:5" x14ac:dyDescent="0.25">
      <c r="A2494" s="17">
        <v>284</v>
      </c>
      <c r="B2494" s="31">
        <v>49994</v>
      </c>
      <c r="C2494" s="32">
        <f>INDEX('Input Data'!$B:$B,A2494)/2+IF(A2494&lt;&gt;A2495,100,0)</f>
        <v>2</v>
      </c>
      <c r="D2494" s="33">
        <f>INDEX('ZCB Curve - Payment Dates'!$D$2:$D$246,MATCH(B2494,'ZCB Curve - Payment Dates'!$A$2:$A$246,0))</f>
        <v>0.61395227923184648</v>
      </c>
      <c r="E2494" s="32">
        <f t="shared" si="38"/>
        <v>1.227904558463693</v>
      </c>
    </row>
    <row r="2495" spans="1:5" x14ac:dyDescent="0.25">
      <c r="A2495" s="17">
        <v>284</v>
      </c>
      <c r="B2495" s="31">
        <v>50175</v>
      </c>
      <c r="C2495" s="32">
        <f>INDEX('Input Data'!$B:$B,A2495)/2+IF(A2495&lt;&gt;A2496,100,0)</f>
        <v>2</v>
      </c>
      <c r="D2495" s="33">
        <f>INDEX('ZCB Curve - Payment Dates'!$D$2:$D$246,MATCH(B2495,'ZCB Curve - Payment Dates'!$A$2:$A$246,0))</f>
        <v>0.5972963482314616</v>
      </c>
      <c r="E2495" s="32">
        <f t="shared" si="38"/>
        <v>1.1945926964629232</v>
      </c>
    </row>
    <row r="2496" spans="1:5" x14ac:dyDescent="0.25">
      <c r="A2496" s="17">
        <v>284</v>
      </c>
      <c r="B2496" s="31">
        <v>50359</v>
      </c>
      <c r="C2496" s="32">
        <f>INDEX('Input Data'!$B:$B,A2496)/2+IF(A2496&lt;&gt;A2497,100,0)</f>
        <v>2</v>
      </c>
      <c r="D2496" s="33">
        <f>INDEX('ZCB Curve - Payment Dates'!$D$2:$D$246,MATCH(B2496,'ZCB Curve - Payment Dates'!$A$2:$A$246,0))</f>
        <v>0.58056812006155756</v>
      </c>
      <c r="E2496" s="32">
        <f t="shared" si="38"/>
        <v>1.1611362401231151</v>
      </c>
    </row>
    <row r="2497" spans="1:5" x14ac:dyDescent="0.25">
      <c r="A2497" s="17">
        <v>284</v>
      </c>
      <c r="B2497" s="31">
        <v>50540</v>
      </c>
      <c r="C2497" s="32">
        <f>INDEX('Input Data'!$B:$B,A2497)/2+IF(A2497&lt;&gt;A2498,100,0)</f>
        <v>2</v>
      </c>
      <c r="D2497" s="33">
        <f>INDEX('ZCB Curve - Payment Dates'!$D$2:$D$246,MATCH(B2497,'ZCB Curve - Payment Dates'!$A$2:$A$246,0))</f>
        <v>0.56433491315969797</v>
      </c>
      <c r="E2497" s="32">
        <f t="shared" si="38"/>
        <v>1.1286698263193959</v>
      </c>
    </row>
    <row r="2498" spans="1:5" x14ac:dyDescent="0.25">
      <c r="A2498" s="17">
        <v>284</v>
      </c>
      <c r="B2498" s="31">
        <v>50724</v>
      </c>
      <c r="C2498" s="32">
        <f>INDEX('Input Data'!$B:$B,A2498)/2+IF(A2498&lt;&gt;A2499,100,0)</f>
        <v>2</v>
      </c>
      <c r="D2498" s="33">
        <f>INDEX('ZCB Curve - Payment Dates'!$D$2:$D$246,MATCH(B2498,'ZCB Curve - Payment Dates'!$A$2:$A$246,0))</f>
        <v>0.54808398139057424</v>
      </c>
      <c r="E2498" s="32">
        <f t="shared" ref="E2498:E2561" si="39">C2498*D2498</f>
        <v>1.0961679627811485</v>
      </c>
    </row>
    <row r="2499" spans="1:5" x14ac:dyDescent="0.25">
      <c r="A2499" s="17">
        <v>284</v>
      </c>
      <c r="B2499" s="31">
        <v>50905</v>
      </c>
      <c r="C2499" s="32">
        <f>INDEX('Input Data'!$B:$B,A2499)/2+IF(A2499&lt;&gt;A2500,100,0)</f>
        <v>2</v>
      </c>
      <c r="D2499" s="33">
        <f>INDEX('ZCB Curve - Payment Dates'!$D$2:$D$246,MATCH(B2499,'ZCB Curve - Payment Dates'!$A$2:$A$246,0))</f>
        <v>0.5323673246083096</v>
      </c>
      <c r="E2499" s="32">
        <f t="shared" si="39"/>
        <v>1.0647346492166192</v>
      </c>
    </row>
    <row r="2500" spans="1:5" x14ac:dyDescent="0.25">
      <c r="A2500" s="17">
        <v>284</v>
      </c>
      <c r="B2500" s="31">
        <v>51089</v>
      </c>
      <c r="C2500" s="32">
        <f>INDEX('Input Data'!$B:$B,A2500)/2+IF(A2500&lt;&gt;A2501,100,0)</f>
        <v>2</v>
      </c>
      <c r="D2500" s="33">
        <f>INDEX('ZCB Curve - Payment Dates'!$D$2:$D$246,MATCH(B2500,'ZCB Curve - Payment Dates'!$A$2:$A$246,0))</f>
        <v>0.51668806431098135</v>
      </c>
      <c r="E2500" s="32">
        <f t="shared" si="39"/>
        <v>1.0333761286219627</v>
      </c>
    </row>
    <row r="2501" spans="1:5" x14ac:dyDescent="0.25">
      <c r="A2501" s="17">
        <v>284</v>
      </c>
      <c r="B2501" s="31">
        <v>51271</v>
      </c>
      <c r="C2501" s="32">
        <f>INDEX('Input Data'!$B:$B,A2501)/2+IF(A2501&lt;&gt;A2502,100,0)</f>
        <v>2</v>
      </c>
      <c r="D2501" s="33">
        <f>INDEX('ZCB Curve - Payment Dates'!$D$2:$D$246,MATCH(B2501,'ZCB Curve - Payment Dates'!$A$2:$A$246,0))</f>
        <v>0.50149590020417278</v>
      </c>
      <c r="E2501" s="32">
        <f t="shared" si="39"/>
        <v>1.0029918004083456</v>
      </c>
    </row>
    <row r="2502" spans="1:5" x14ac:dyDescent="0.25">
      <c r="A2502" s="17">
        <v>284</v>
      </c>
      <c r="B2502" s="31">
        <v>51455</v>
      </c>
      <c r="C2502" s="32">
        <f>INDEX('Input Data'!$B:$B,A2502)/2+IF(A2502&lt;&gt;A2503,100,0)</f>
        <v>2</v>
      </c>
      <c r="D2502" s="33">
        <f>INDEX('ZCB Curve - Payment Dates'!$D$2:$D$246,MATCH(B2502,'ZCB Curve - Payment Dates'!$A$2:$A$246,0))</f>
        <v>0.48647538074270091</v>
      </c>
      <c r="E2502" s="32">
        <f t="shared" si="39"/>
        <v>0.97295076148540183</v>
      </c>
    </row>
    <row r="2503" spans="1:5" x14ac:dyDescent="0.25">
      <c r="A2503" s="17">
        <v>284</v>
      </c>
      <c r="B2503" s="31">
        <v>51636</v>
      </c>
      <c r="C2503" s="32">
        <f>INDEX('Input Data'!$B:$B,A2503)/2+IF(A2503&lt;&gt;A2504,100,0)</f>
        <v>2</v>
      </c>
      <c r="D2503" s="33">
        <f>INDEX('ZCB Curve - Payment Dates'!$D$2:$D$246,MATCH(B2503,'ZCB Curve - Payment Dates'!$A$2:$A$246,0))</f>
        <v>0.47204918703719451</v>
      </c>
      <c r="E2503" s="32">
        <f t="shared" si="39"/>
        <v>0.94409837407438901</v>
      </c>
    </row>
    <row r="2504" spans="1:5" x14ac:dyDescent="0.25">
      <c r="A2504" s="17">
        <v>284</v>
      </c>
      <c r="B2504" s="31">
        <v>51820</v>
      </c>
      <c r="C2504" s="32">
        <f>INDEX('Input Data'!$B:$B,A2504)/2+IF(A2504&lt;&gt;A2505,100,0)</f>
        <v>2</v>
      </c>
      <c r="D2504" s="33">
        <f>INDEX('ZCB Curve - Payment Dates'!$D$2:$D$246,MATCH(B2504,'ZCB Curve - Payment Dates'!$A$2:$A$246,0))</f>
        <v>0.45775548669345245</v>
      </c>
      <c r="E2504" s="32">
        <f t="shared" si="39"/>
        <v>0.9155109733869049</v>
      </c>
    </row>
    <row r="2505" spans="1:5" x14ac:dyDescent="0.25">
      <c r="A2505" s="17">
        <v>284</v>
      </c>
      <c r="B2505" s="31">
        <v>52001</v>
      </c>
      <c r="C2505" s="32">
        <f>INDEX('Input Data'!$B:$B,A2505)/2+IF(A2505&lt;&gt;A2506,100,0)</f>
        <v>2</v>
      </c>
      <c r="D2505" s="33">
        <f>INDEX('ZCB Curve - Payment Dates'!$D$2:$D$246,MATCH(B2505,'ZCB Curve - Payment Dates'!$A$2:$A$246,0))</f>
        <v>0.44407192118484318</v>
      </c>
      <c r="E2505" s="32">
        <f t="shared" si="39"/>
        <v>0.88814384236968635</v>
      </c>
    </row>
    <row r="2506" spans="1:5" x14ac:dyDescent="0.25">
      <c r="A2506" s="17">
        <v>284</v>
      </c>
      <c r="B2506" s="31">
        <v>52185</v>
      </c>
      <c r="C2506" s="32">
        <f>INDEX('Input Data'!$B:$B,A2506)/2+IF(A2506&lt;&gt;A2507,100,0)</f>
        <v>102</v>
      </c>
      <c r="D2506" s="33">
        <f>INDEX('ZCB Curve - Payment Dates'!$D$2:$D$246,MATCH(B2506,'ZCB Curve - Payment Dates'!$A$2:$A$246,0))</f>
        <v>0.43055647946672393</v>
      </c>
      <c r="E2506" s="32">
        <f t="shared" si="39"/>
        <v>43.916760905605841</v>
      </c>
    </row>
    <row r="2507" spans="1:5" x14ac:dyDescent="0.25">
      <c r="A2507" s="17">
        <v>285</v>
      </c>
      <c r="B2507" s="31">
        <v>46433</v>
      </c>
      <c r="C2507" s="32">
        <f>INDEX('Input Data'!$B:$B,A2507)/2+IF(A2507&lt;&gt;A2508,100,0)</f>
        <v>1.5625</v>
      </c>
      <c r="D2507" s="33">
        <f>INDEX('ZCB Curve - Payment Dates'!$D$2:$D$246,MATCH(B2507,'ZCB Curve - Payment Dates'!$A$2:$A$246,0))</f>
        <v>0.98242671792446301</v>
      </c>
      <c r="E2507" s="32">
        <f t="shared" si="39"/>
        <v>1.5350417467569735</v>
      </c>
    </row>
    <row r="2508" spans="1:5" x14ac:dyDescent="0.25">
      <c r="A2508" s="17">
        <v>285</v>
      </c>
      <c r="B2508" s="31">
        <v>46614</v>
      </c>
      <c r="C2508" s="32">
        <f>INDEX('Input Data'!$B:$B,A2508)/2+IF(A2508&lt;&gt;A2509,100,0)</f>
        <v>1.5625</v>
      </c>
      <c r="D2508" s="33">
        <f>INDEX('ZCB Curve - Payment Dates'!$D$2:$D$246,MATCH(B2508,'ZCB Curve - Payment Dates'!$A$2:$A$246,0))</f>
        <v>0.96187948164765535</v>
      </c>
      <c r="E2508" s="32">
        <f t="shared" si="39"/>
        <v>1.5029366900744614</v>
      </c>
    </row>
    <row r="2509" spans="1:5" x14ac:dyDescent="0.25">
      <c r="A2509" s="17">
        <v>285</v>
      </c>
      <c r="B2509" s="31">
        <v>46798</v>
      </c>
      <c r="C2509" s="32">
        <f>INDEX('Input Data'!$B:$B,A2509)/2+IF(A2509&lt;&gt;A2510,100,0)</f>
        <v>1.5625</v>
      </c>
      <c r="D2509" s="33">
        <f>INDEX('ZCB Curve - Payment Dates'!$D$2:$D$246,MATCH(B2509,'ZCB Curve - Payment Dates'!$A$2:$A$246,0))</f>
        <v>0.94049096132648802</v>
      </c>
      <c r="E2509" s="32">
        <f t="shared" si="39"/>
        <v>1.4695171270726375</v>
      </c>
    </row>
    <row r="2510" spans="1:5" x14ac:dyDescent="0.25">
      <c r="A2510" s="17">
        <v>285</v>
      </c>
      <c r="B2510" s="31">
        <v>46980</v>
      </c>
      <c r="C2510" s="32">
        <f>INDEX('Input Data'!$B:$B,A2510)/2+IF(A2510&lt;&gt;A2511,100,0)</f>
        <v>1.5625</v>
      </c>
      <c r="D2510" s="33">
        <f>INDEX('ZCB Curve - Payment Dates'!$D$2:$D$246,MATCH(B2510,'ZCB Curve - Payment Dates'!$A$2:$A$246,0))</f>
        <v>0.91931844130238327</v>
      </c>
      <c r="E2510" s="32">
        <f t="shared" si="39"/>
        <v>1.4364350645349739</v>
      </c>
    </row>
    <row r="2511" spans="1:5" x14ac:dyDescent="0.25">
      <c r="A2511" s="17">
        <v>285</v>
      </c>
      <c r="B2511" s="31">
        <v>47164</v>
      </c>
      <c r="C2511" s="32">
        <f>INDEX('Input Data'!$B:$B,A2511)/2+IF(A2511&lt;&gt;A2512,100,0)</f>
        <v>1.5625</v>
      </c>
      <c r="D2511" s="33">
        <f>INDEX('ZCB Curve - Payment Dates'!$D$2:$D$246,MATCH(B2511,'ZCB Curve - Payment Dates'!$A$2:$A$246,0))</f>
        <v>0.89817430058086534</v>
      </c>
      <c r="E2511" s="32">
        <f t="shared" si="39"/>
        <v>1.403397344657602</v>
      </c>
    </row>
    <row r="2512" spans="1:5" x14ac:dyDescent="0.25">
      <c r="A2512" s="17">
        <v>285</v>
      </c>
      <c r="B2512" s="31">
        <v>47345</v>
      </c>
      <c r="C2512" s="32">
        <f>INDEX('Input Data'!$B:$B,A2512)/2+IF(A2512&lt;&gt;A2513,100,0)</f>
        <v>1.5625</v>
      </c>
      <c r="D2512" s="33">
        <f>INDEX('ZCB Curve - Payment Dates'!$D$2:$D$246,MATCH(B2512,'ZCB Curve - Payment Dates'!$A$2:$A$246,0))</f>
        <v>0.87778421628860481</v>
      </c>
      <c r="E2512" s="32">
        <f t="shared" si="39"/>
        <v>1.3715378379509451</v>
      </c>
    </row>
    <row r="2513" spans="1:5" x14ac:dyDescent="0.25">
      <c r="A2513" s="17">
        <v>285</v>
      </c>
      <c r="B2513" s="31">
        <v>47529</v>
      </c>
      <c r="C2513" s="32">
        <f>INDEX('Input Data'!$B:$B,A2513)/2+IF(A2513&lt;&gt;A2514,100,0)</f>
        <v>1.5625</v>
      </c>
      <c r="D2513" s="33">
        <f>INDEX('ZCB Curve - Payment Dates'!$D$2:$D$246,MATCH(B2513,'ZCB Curve - Payment Dates'!$A$2:$A$246,0))</f>
        <v>0.85751015570959666</v>
      </c>
      <c r="E2513" s="32">
        <f t="shared" si="39"/>
        <v>1.3398596182962448</v>
      </c>
    </row>
    <row r="2514" spans="1:5" x14ac:dyDescent="0.25">
      <c r="A2514" s="17">
        <v>285</v>
      </c>
      <c r="B2514" s="31">
        <v>47710</v>
      </c>
      <c r="C2514" s="32">
        <f>INDEX('Input Data'!$B:$B,A2514)/2+IF(A2514&lt;&gt;A2515,100,0)</f>
        <v>1.5625</v>
      </c>
      <c r="D2514" s="33">
        <f>INDEX('ZCB Curve - Payment Dates'!$D$2:$D$246,MATCH(B2514,'ZCB Curve - Payment Dates'!$A$2:$A$246,0))</f>
        <v>0.83802423748211174</v>
      </c>
      <c r="E2514" s="32">
        <f t="shared" si="39"/>
        <v>1.3094128710657995</v>
      </c>
    </row>
    <row r="2515" spans="1:5" x14ac:dyDescent="0.25">
      <c r="A2515" s="17">
        <v>285</v>
      </c>
      <c r="B2515" s="31">
        <v>47894</v>
      </c>
      <c r="C2515" s="32">
        <f>INDEX('Input Data'!$B:$B,A2515)/2+IF(A2515&lt;&gt;A2516,100,0)</f>
        <v>1.5625</v>
      </c>
      <c r="D2515" s="33">
        <f>INDEX('ZCB Curve - Payment Dates'!$D$2:$D$246,MATCH(B2515,'ZCB Curve - Payment Dates'!$A$2:$A$246,0))</f>
        <v>0.8186305474741673</v>
      </c>
      <c r="E2515" s="32">
        <f t="shared" si="39"/>
        <v>1.2791102304283863</v>
      </c>
    </row>
    <row r="2516" spans="1:5" x14ac:dyDescent="0.25">
      <c r="A2516" s="17">
        <v>285</v>
      </c>
      <c r="B2516" s="31">
        <v>48075</v>
      </c>
      <c r="C2516" s="32">
        <f>INDEX('Input Data'!$B:$B,A2516)/2+IF(A2516&lt;&gt;A2517,100,0)</f>
        <v>1.5625</v>
      </c>
      <c r="D2516" s="33">
        <f>INDEX('ZCB Curve - Payment Dates'!$D$2:$D$246,MATCH(B2516,'ZCB Curve - Payment Dates'!$A$2:$A$246,0))</f>
        <v>0.7999252334775927</v>
      </c>
      <c r="E2516" s="32">
        <f t="shared" si="39"/>
        <v>1.2498831773087387</v>
      </c>
    </row>
    <row r="2517" spans="1:5" x14ac:dyDescent="0.25">
      <c r="A2517" s="17">
        <v>285</v>
      </c>
      <c r="B2517" s="31">
        <v>48259</v>
      </c>
      <c r="C2517" s="32">
        <f>INDEX('Input Data'!$B:$B,A2517)/2+IF(A2517&lt;&gt;A2518,100,0)</f>
        <v>1.5625</v>
      </c>
      <c r="D2517" s="33">
        <f>INDEX('ZCB Curve - Payment Dates'!$D$2:$D$246,MATCH(B2517,'ZCB Curve - Payment Dates'!$A$2:$A$246,0))</f>
        <v>0.78121887027612602</v>
      </c>
      <c r="E2517" s="32">
        <f t="shared" si="39"/>
        <v>1.2206544848064469</v>
      </c>
    </row>
    <row r="2518" spans="1:5" x14ac:dyDescent="0.25">
      <c r="A2518" s="17">
        <v>285</v>
      </c>
      <c r="B2518" s="31">
        <v>48441</v>
      </c>
      <c r="C2518" s="32">
        <f>INDEX('Input Data'!$B:$B,A2518)/2+IF(A2518&lt;&gt;A2519,100,0)</f>
        <v>1.5625</v>
      </c>
      <c r="D2518" s="33">
        <f>INDEX('ZCB Curve - Payment Dates'!$D$2:$D$246,MATCH(B2518,'ZCB Curve - Payment Dates'!$A$2:$A$246,0))</f>
        <v>0.76298123459017864</v>
      </c>
      <c r="E2518" s="32">
        <f t="shared" si="39"/>
        <v>1.192158179047154</v>
      </c>
    </row>
    <row r="2519" spans="1:5" x14ac:dyDescent="0.25">
      <c r="A2519" s="17">
        <v>285</v>
      </c>
      <c r="B2519" s="31">
        <v>48625</v>
      </c>
      <c r="C2519" s="32">
        <f>INDEX('Input Data'!$B:$B,A2519)/2+IF(A2519&lt;&gt;A2520,100,0)</f>
        <v>1.5625</v>
      </c>
      <c r="D2519" s="33">
        <f>INDEX('ZCB Curve - Payment Dates'!$D$2:$D$246,MATCH(B2519,'ZCB Curve - Payment Dates'!$A$2:$A$246,0))</f>
        <v>0.74476011611938586</v>
      </c>
      <c r="E2519" s="32">
        <f t="shared" si="39"/>
        <v>1.1636876814365404</v>
      </c>
    </row>
    <row r="2520" spans="1:5" x14ac:dyDescent="0.25">
      <c r="A2520" s="17">
        <v>285</v>
      </c>
      <c r="B2520" s="31">
        <v>48806</v>
      </c>
      <c r="C2520" s="32">
        <f>INDEX('Input Data'!$B:$B,A2520)/2+IF(A2520&lt;&gt;A2521,100,0)</f>
        <v>1.5625</v>
      </c>
      <c r="D2520" s="33">
        <f>INDEX('ZCB Curve - Payment Dates'!$D$2:$D$246,MATCH(B2520,'ZCB Curve - Payment Dates'!$A$2:$A$246,0))</f>
        <v>0.72701302496114584</v>
      </c>
      <c r="E2520" s="32">
        <f t="shared" si="39"/>
        <v>1.1359578515017903</v>
      </c>
    </row>
    <row r="2521" spans="1:5" x14ac:dyDescent="0.25">
      <c r="A2521" s="17">
        <v>285</v>
      </c>
      <c r="B2521" s="31">
        <v>48990</v>
      </c>
      <c r="C2521" s="32">
        <f>INDEX('Input Data'!$B:$B,A2521)/2+IF(A2521&lt;&gt;A2522,100,0)</f>
        <v>1.5625</v>
      </c>
      <c r="D2521" s="33">
        <f>INDEX('ZCB Curve - Payment Dates'!$D$2:$D$246,MATCH(B2521,'ZCB Curve - Payment Dates'!$A$2:$A$246,0))</f>
        <v>0.70912647031380449</v>
      </c>
      <c r="E2521" s="32">
        <f t="shared" si="39"/>
        <v>1.1080101098653194</v>
      </c>
    </row>
    <row r="2522" spans="1:5" x14ac:dyDescent="0.25">
      <c r="A2522" s="17">
        <v>285</v>
      </c>
      <c r="B2522" s="31">
        <v>49171</v>
      </c>
      <c r="C2522" s="32">
        <f>INDEX('Input Data'!$B:$B,A2522)/2+IF(A2522&lt;&gt;A2523,100,0)</f>
        <v>1.5625</v>
      </c>
      <c r="D2522" s="33">
        <f>INDEX('ZCB Curve - Payment Dates'!$D$2:$D$246,MATCH(B2522,'ZCB Curve - Payment Dates'!$A$2:$A$246,0))</f>
        <v>0.6916661505723215</v>
      </c>
      <c r="E2522" s="32">
        <f t="shared" si="39"/>
        <v>1.0807283602692523</v>
      </c>
    </row>
    <row r="2523" spans="1:5" x14ac:dyDescent="0.25">
      <c r="A2523" s="17">
        <v>285</v>
      </c>
      <c r="B2523" s="31">
        <v>49355</v>
      </c>
      <c r="C2523" s="32">
        <f>INDEX('Input Data'!$B:$B,A2523)/2+IF(A2523&lt;&gt;A2524,100,0)</f>
        <v>1.5625</v>
      </c>
      <c r="D2523" s="33">
        <f>INDEX('ZCB Curve - Payment Dates'!$D$2:$D$246,MATCH(B2523,'ZCB Curve - Payment Dates'!$A$2:$A$246,0))</f>
        <v>0.674047377898778</v>
      </c>
      <c r="E2523" s="32">
        <f t="shared" si="39"/>
        <v>1.0531990279668406</v>
      </c>
    </row>
    <row r="2524" spans="1:5" x14ac:dyDescent="0.25">
      <c r="A2524" s="17">
        <v>285</v>
      </c>
      <c r="B2524" s="31">
        <v>49536</v>
      </c>
      <c r="C2524" s="32">
        <f>INDEX('Input Data'!$B:$B,A2524)/2+IF(A2524&lt;&gt;A2525,100,0)</f>
        <v>1.5625</v>
      </c>
      <c r="D2524" s="33">
        <f>INDEX('ZCB Curve - Payment Dates'!$D$2:$D$246,MATCH(B2524,'ZCB Curve - Payment Dates'!$A$2:$A$246,0))</f>
        <v>0.65684432300638129</v>
      </c>
      <c r="E2524" s="32">
        <f t="shared" si="39"/>
        <v>1.0263192546974709</v>
      </c>
    </row>
    <row r="2525" spans="1:5" x14ac:dyDescent="0.25">
      <c r="A2525" s="17">
        <v>285</v>
      </c>
      <c r="B2525" s="31">
        <v>49720</v>
      </c>
      <c r="C2525" s="32">
        <f>INDEX('Input Data'!$B:$B,A2525)/2+IF(A2525&lt;&gt;A2526,100,0)</f>
        <v>1.5625</v>
      </c>
      <c r="D2525" s="33">
        <f>INDEX('ZCB Curve - Payment Dates'!$D$2:$D$246,MATCH(B2525,'ZCB Curve - Payment Dates'!$A$2:$A$246,0))</f>
        <v>0.63949604524993764</v>
      </c>
      <c r="E2525" s="32">
        <f t="shared" si="39"/>
        <v>0.9992125707030276</v>
      </c>
    </row>
    <row r="2526" spans="1:5" x14ac:dyDescent="0.25">
      <c r="A2526" s="17">
        <v>285</v>
      </c>
      <c r="B2526" s="31">
        <v>49902</v>
      </c>
      <c r="C2526" s="32">
        <f>INDEX('Input Data'!$B:$B,A2526)/2+IF(A2526&lt;&gt;A2527,100,0)</f>
        <v>1.5625</v>
      </c>
      <c r="D2526" s="33">
        <f>INDEX('ZCB Curve - Payment Dates'!$D$2:$D$246,MATCH(B2526,'ZCB Curve - Payment Dates'!$A$2:$A$246,0))</f>
        <v>0.62248862376822711</v>
      </c>
      <c r="E2526" s="32">
        <f t="shared" si="39"/>
        <v>0.97263847463785491</v>
      </c>
    </row>
    <row r="2527" spans="1:5" x14ac:dyDescent="0.25">
      <c r="A2527" s="17">
        <v>285</v>
      </c>
      <c r="B2527" s="31">
        <v>50086</v>
      </c>
      <c r="C2527" s="32">
        <f>INDEX('Input Data'!$B:$B,A2527)/2+IF(A2527&lt;&gt;A2528,100,0)</f>
        <v>1.5625</v>
      </c>
      <c r="D2527" s="33">
        <f>INDEX('ZCB Curve - Payment Dates'!$D$2:$D$246,MATCH(B2527,'ZCB Curve - Payment Dates'!$A$2:$A$246,0))</f>
        <v>0.60546490876014969</v>
      </c>
      <c r="E2527" s="32">
        <f t="shared" si="39"/>
        <v>0.94603891993773392</v>
      </c>
    </row>
    <row r="2528" spans="1:5" x14ac:dyDescent="0.25">
      <c r="A2528" s="17">
        <v>285</v>
      </c>
      <c r="B2528" s="31">
        <v>50267</v>
      </c>
      <c r="C2528" s="32">
        <f>INDEX('Input Data'!$B:$B,A2528)/2+IF(A2528&lt;&gt;A2529,100,0)</f>
        <v>1.5625</v>
      </c>
      <c r="D2528" s="33">
        <f>INDEX('ZCB Curve - Payment Dates'!$D$2:$D$246,MATCH(B2528,'ZCB Curve - Payment Dates'!$A$2:$A$246,0))</f>
        <v>0.58890683803346977</v>
      </c>
      <c r="E2528" s="32">
        <f t="shared" si="39"/>
        <v>0.92016693442729647</v>
      </c>
    </row>
    <row r="2529" spans="1:5" x14ac:dyDescent="0.25">
      <c r="A2529" s="17">
        <v>285</v>
      </c>
      <c r="B2529" s="31">
        <v>50451</v>
      </c>
      <c r="C2529" s="32">
        <f>INDEX('Input Data'!$B:$B,A2529)/2+IF(A2529&lt;&gt;A2530,100,0)</f>
        <v>1.5625</v>
      </c>
      <c r="D2529" s="33">
        <f>INDEX('ZCB Curve - Payment Dates'!$D$2:$D$246,MATCH(B2529,'ZCB Curve - Payment Dates'!$A$2:$A$246,0))</f>
        <v>0.57228983695479263</v>
      </c>
      <c r="E2529" s="32">
        <f t="shared" si="39"/>
        <v>0.89420287024186351</v>
      </c>
    </row>
    <row r="2530" spans="1:5" x14ac:dyDescent="0.25">
      <c r="A2530" s="17">
        <v>285</v>
      </c>
      <c r="B2530" s="31">
        <v>50632</v>
      </c>
      <c r="C2530" s="32">
        <f>INDEX('Input Data'!$B:$B,A2530)/2+IF(A2530&lt;&gt;A2531,100,0)</f>
        <v>1.5625</v>
      </c>
      <c r="D2530" s="33">
        <f>INDEX('ZCB Curve - Payment Dates'!$D$2:$D$246,MATCH(B2530,'ZCB Curve - Payment Dates'!$A$2:$A$246,0))</f>
        <v>0.55617795699202288</v>
      </c>
      <c r="E2530" s="32">
        <f t="shared" si="39"/>
        <v>0.86902805780003578</v>
      </c>
    </row>
    <row r="2531" spans="1:5" x14ac:dyDescent="0.25">
      <c r="A2531" s="17">
        <v>285</v>
      </c>
      <c r="B2531" s="31">
        <v>50816</v>
      </c>
      <c r="C2531" s="32">
        <f>INDEX('Input Data'!$B:$B,A2531)/2+IF(A2531&lt;&gt;A2532,100,0)</f>
        <v>1.5625</v>
      </c>
      <c r="D2531" s="33">
        <f>INDEX('ZCB Curve - Payment Dates'!$D$2:$D$246,MATCH(B2531,'ZCB Curve - Payment Dates'!$A$2:$A$246,0))</f>
        <v>0.54006240951211237</v>
      </c>
      <c r="E2531" s="32">
        <f t="shared" si="39"/>
        <v>0.84384751486267562</v>
      </c>
    </row>
    <row r="2532" spans="1:5" x14ac:dyDescent="0.25">
      <c r="A2532" s="17">
        <v>285</v>
      </c>
      <c r="B2532" s="31">
        <v>50997</v>
      </c>
      <c r="C2532" s="32">
        <f>INDEX('Input Data'!$B:$B,A2532)/2+IF(A2532&lt;&gt;A2533,100,0)</f>
        <v>1.5625</v>
      </c>
      <c r="D2532" s="33">
        <f>INDEX('ZCB Curve - Payment Dates'!$D$2:$D$246,MATCH(B2532,'ZCB Curve - Payment Dates'!$A$2:$A$246,0))</f>
        <v>0.52449040173194583</v>
      </c>
      <c r="E2532" s="32">
        <f t="shared" si="39"/>
        <v>0.81951625270616535</v>
      </c>
    </row>
    <row r="2533" spans="1:5" x14ac:dyDescent="0.25">
      <c r="A2533" s="17">
        <v>285</v>
      </c>
      <c r="B2533" s="31">
        <v>51181</v>
      </c>
      <c r="C2533" s="32">
        <f>INDEX('Input Data'!$B:$B,A2533)/2+IF(A2533&lt;&gt;A2534,100,0)</f>
        <v>1.5625</v>
      </c>
      <c r="D2533" s="33">
        <f>INDEX('ZCB Curve - Payment Dates'!$D$2:$D$246,MATCH(B2533,'ZCB Curve - Payment Dates'!$A$2:$A$246,0))</f>
        <v>0.5089691698468306</v>
      </c>
      <c r="E2533" s="32">
        <f t="shared" si="39"/>
        <v>0.79526432788567281</v>
      </c>
    </row>
    <row r="2534" spans="1:5" x14ac:dyDescent="0.25">
      <c r="A2534" s="17">
        <v>285</v>
      </c>
      <c r="B2534" s="31">
        <v>51363</v>
      </c>
      <c r="C2534" s="32">
        <f>INDEX('Input Data'!$B:$B,A2534)/2+IF(A2534&lt;&gt;A2535,100,0)</f>
        <v>1.5625</v>
      </c>
      <c r="D2534" s="33">
        <f>INDEX('ZCB Curve - Payment Dates'!$D$2:$D$246,MATCH(B2534,'ZCB Curve - Payment Dates'!$A$2:$A$246,0))</f>
        <v>0.49394036022330806</v>
      </c>
      <c r="E2534" s="32">
        <f t="shared" si="39"/>
        <v>0.77178181284891889</v>
      </c>
    </row>
    <row r="2535" spans="1:5" x14ac:dyDescent="0.25">
      <c r="A2535" s="17">
        <v>285</v>
      </c>
      <c r="B2535" s="31">
        <v>51547</v>
      </c>
      <c r="C2535" s="32">
        <f>INDEX('Input Data'!$B:$B,A2535)/2+IF(A2535&lt;&gt;A2536,100,0)</f>
        <v>1.5625</v>
      </c>
      <c r="D2535" s="33">
        <f>INDEX('ZCB Curve - Payment Dates'!$D$2:$D$246,MATCH(B2535,'ZCB Curve - Payment Dates'!$A$2:$A$246,0))</f>
        <v>0.47909718957588998</v>
      </c>
      <c r="E2535" s="32">
        <f t="shared" si="39"/>
        <v>0.74858935871232812</v>
      </c>
    </row>
    <row r="2536" spans="1:5" x14ac:dyDescent="0.25">
      <c r="A2536" s="17">
        <v>285</v>
      </c>
      <c r="B2536" s="31">
        <v>51728</v>
      </c>
      <c r="C2536" s="32">
        <f>INDEX('Input Data'!$B:$B,A2536)/2+IF(A2536&lt;&gt;A2537,100,0)</f>
        <v>1.5625</v>
      </c>
      <c r="D2536" s="33">
        <f>INDEX('ZCB Curve - Payment Dates'!$D$2:$D$246,MATCH(B2536,'ZCB Curve - Payment Dates'!$A$2:$A$246,0))</f>
        <v>0.46485329459616059</v>
      </c>
      <c r="E2536" s="32">
        <f t="shared" si="39"/>
        <v>0.72633327280650095</v>
      </c>
    </row>
    <row r="2537" spans="1:5" x14ac:dyDescent="0.25">
      <c r="A2537" s="17">
        <v>285</v>
      </c>
      <c r="B2537" s="31">
        <v>51912</v>
      </c>
      <c r="C2537" s="32">
        <f>INDEX('Input Data'!$B:$B,A2537)/2+IF(A2537&lt;&gt;A2538,100,0)</f>
        <v>1.5625</v>
      </c>
      <c r="D2537" s="33">
        <f>INDEX('ZCB Curve - Payment Dates'!$D$2:$D$246,MATCH(B2537,'ZCB Curve - Payment Dates'!$A$2:$A$246,0))</f>
        <v>0.45075168915212815</v>
      </c>
      <c r="E2537" s="32">
        <f t="shared" si="39"/>
        <v>0.70429951430020021</v>
      </c>
    </row>
    <row r="2538" spans="1:5" x14ac:dyDescent="0.25">
      <c r="A2538" s="17">
        <v>285</v>
      </c>
      <c r="B2538" s="31">
        <v>52093</v>
      </c>
      <c r="C2538" s="32">
        <f>INDEX('Input Data'!$B:$B,A2538)/2+IF(A2538&lt;&gt;A2539,100,0)</f>
        <v>1.5625</v>
      </c>
      <c r="D2538" s="33">
        <f>INDEX('ZCB Curve - Payment Dates'!$D$2:$D$246,MATCH(B2538,'ZCB Curve - Payment Dates'!$A$2:$A$246,0))</f>
        <v>0.43726259018094221</v>
      </c>
      <c r="E2538" s="32">
        <f t="shared" si="39"/>
        <v>0.68322279715772216</v>
      </c>
    </row>
    <row r="2539" spans="1:5" x14ac:dyDescent="0.25">
      <c r="A2539" s="17">
        <v>285</v>
      </c>
      <c r="B2539" s="31">
        <v>52277</v>
      </c>
      <c r="C2539" s="32">
        <f>INDEX('Input Data'!$B:$B,A2539)/2+IF(A2539&lt;&gt;A2540,100,0)</f>
        <v>101.5625</v>
      </c>
      <c r="D2539" s="33">
        <f>INDEX('ZCB Curve - Payment Dates'!$D$2:$D$246,MATCH(B2539,'ZCB Curve - Payment Dates'!$A$2:$A$246,0))</f>
        <v>0.4239492285351204</v>
      </c>
      <c r="E2539" s="32">
        <f t="shared" si="39"/>
        <v>43.057343523098169</v>
      </c>
    </row>
    <row r="2540" spans="1:5" x14ac:dyDescent="0.25">
      <c r="A2540" s="17">
        <v>286</v>
      </c>
      <c r="B2540" s="31">
        <v>46433</v>
      </c>
      <c r="C2540" s="32">
        <f>INDEX('Input Data'!$B:$B,A2540)/2+IF(A2540&lt;&gt;A2541,100,0)</f>
        <v>1.9375</v>
      </c>
      <c r="D2540" s="33">
        <f>INDEX('ZCB Curve - Payment Dates'!$D$2:$D$246,MATCH(B2540,'ZCB Curve - Payment Dates'!$A$2:$A$246,0))</f>
        <v>0.98242671792446301</v>
      </c>
      <c r="E2540" s="32">
        <f t="shared" si="39"/>
        <v>1.9034517659786472</v>
      </c>
    </row>
    <row r="2541" spans="1:5" x14ac:dyDescent="0.25">
      <c r="A2541" s="17">
        <v>286</v>
      </c>
      <c r="B2541" s="31">
        <v>46614</v>
      </c>
      <c r="C2541" s="32">
        <f>INDEX('Input Data'!$B:$B,A2541)/2+IF(A2541&lt;&gt;A2542,100,0)</f>
        <v>1.9375</v>
      </c>
      <c r="D2541" s="33">
        <f>INDEX('ZCB Curve - Payment Dates'!$D$2:$D$246,MATCH(B2541,'ZCB Curve - Payment Dates'!$A$2:$A$246,0))</f>
        <v>0.96187948164765535</v>
      </c>
      <c r="E2541" s="32">
        <f t="shared" si="39"/>
        <v>1.8636414956923322</v>
      </c>
    </row>
    <row r="2542" spans="1:5" x14ac:dyDescent="0.25">
      <c r="A2542" s="17">
        <v>286</v>
      </c>
      <c r="B2542" s="31">
        <v>46798</v>
      </c>
      <c r="C2542" s="32">
        <f>INDEX('Input Data'!$B:$B,A2542)/2+IF(A2542&lt;&gt;A2543,100,0)</f>
        <v>1.9375</v>
      </c>
      <c r="D2542" s="33">
        <f>INDEX('ZCB Curve - Payment Dates'!$D$2:$D$246,MATCH(B2542,'ZCB Curve - Payment Dates'!$A$2:$A$246,0))</f>
        <v>0.94049096132648802</v>
      </c>
      <c r="E2542" s="32">
        <f t="shared" si="39"/>
        <v>1.8222012375700705</v>
      </c>
    </row>
    <row r="2543" spans="1:5" x14ac:dyDescent="0.25">
      <c r="A2543" s="17">
        <v>286</v>
      </c>
      <c r="B2543" s="31">
        <v>46980</v>
      </c>
      <c r="C2543" s="32">
        <f>INDEX('Input Data'!$B:$B,A2543)/2+IF(A2543&lt;&gt;A2544,100,0)</f>
        <v>1.9375</v>
      </c>
      <c r="D2543" s="33">
        <f>INDEX('ZCB Curve - Payment Dates'!$D$2:$D$246,MATCH(B2543,'ZCB Curve - Payment Dates'!$A$2:$A$246,0))</f>
        <v>0.91931844130238327</v>
      </c>
      <c r="E2543" s="32">
        <f t="shared" si="39"/>
        <v>1.7811794800233676</v>
      </c>
    </row>
    <row r="2544" spans="1:5" x14ac:dyDescent="0.25">
      <c r="A2544" s="17">
        <v>286</v>
      </c>
      <c r="B2544" s="31">
        <v>47164</v>
      </c>
      <c r="C2544" s="32">
        <f>INDEX('Input Data'!$B:$B,A2544)/2+IF(A2544&lt;&gt;A2545,100,0)</f>
        <v>1.9375</v>
      </c>
      <c r="D2544" s="33">
        <f>INDEX('ZCB Curve - Payment Dates'!$D$2:$D$246,MATCH(B2544,'ZCB Curve - Payment Dates'!$A$2:$A$246,0))</f>
        <v>0.89817430058086534</v>
      </c>
      <c r="E2544" s="32">
        <f t="shared" si="39"/>
        <v>1.7402127073754265</v>
      </c>
    </row>
    <row r="2545" spans="1:5" x14ac:dyDescent="0.25">
      <c r="A2545" s="17">
        <v>286</v>
      </c>
      <c r="B2545" s="31">
        <v>47345</v>
      </c>
      <c r="C2545" s="32">
        <f>INDEX('Input Data'!$B:$B,A2545)/2+IF(A2545&lt;&gt;A2546,100,0)</f>
        <v>1.9375</v>
      </c>
      <c r="D2545" s="33">
        <f>INDEX('ZCB Curve - Payment Dates'!$D$2:$D$246,MATCH(B2545,'ZCB Curve - Payment Dates'!$A$2:$A$246,0))</f>
        <v>0.87778421628860481</v>
      </c>
      <c r="E2545" s="32">
        <f t="shared" si="39"/>
        <v>1.7007069190591719</v>
      </c>
    </row>
    <row r="2546" spans="1:5" x14ac:dyDescent="0.25">
      <c r="A2546" s="17">
        <v>286</v>
      </c>
      <c r="B2546" s="31">
        <v>47529</v>
      </c>
      <c r="C2546" s="32">
        <f>INDEX('Input Data'!$B:$B,A2546)/2+IF(A2546&lt;&gt;A2547,100,0)</f>
        <v>1.9375</v>
      </c>
      <c r="D2546" s="33">
        <f>INDEX('ZCB Curve - Payment Dates'!$D$2:$D$246,MATCH(B2546,'ZCB Curve - Payment Dates'!$A$2:$A$246,0))</f>
        <v>0.85751015570959666</v>
      </c>
      <c r="E2546" s="32">
        <f t="shared" si="39"/>
        <v>1.6614259266873435</v>
      </c>
    </row>
    <row r="2547" spans="1:5" x14ac:dyDescent="0.25">
      <c r="A2547" s="17">
        <v>286</v>
      </c>
      <c r="B2547" s="31">
        <v>47710</v>
      </c>
      <c r="C2547" s="32">
        <f>INDEX('Input Data'!$B:$B,A2547)/2+IF(A2547&lt;&gt;A2548,100,0)</f>
        <v>1.9375</v>
      </c>
      <c r="D2547" s="33">
        <f>INDEX('ZCB Curve - Payment Dates'!$D$2:$D$246,MATCH(B2547,'ZCB Curve - Payment Dates'!$A$2:$A$246,0))</f>
        <v>0.83802423748211174</v>
      </c>
      <c r="E2547" s="32">
        <f t="shared" si="39"/>
        <v>1.6236719601215914</v>
      </c>
    </row>
    <row r="2548" spans="1:5" x14ac:dyDescent="0.25">
      <c r="A2548" s="17">
        <v>286</v>
      </c>
      <c r="B2548" s="31">
        <v>47894</v>
      </c>
      <c r="C2548" s="32">
        <f>INDEX('Input Data'!$B:$B,A2548)/2+IF(A2548&lt;&gt;A2549,100,0)</f>
        <v>1.9375</v>
      </c>
      <c r="D2548" s="33">
        <f>INDEX('ZCB Curve - Payment Dates'!$D$2:$D$246,MATCH(B2548,'ZCB Curve - Payment Dates'!$A$2:$A$246,0))</f>
        <v>0.8186305474741673</v>
      </c>
      <c r="E2548" s="32">
        <f t="shared" si="39"/>
        <v>1.5860966857311991</v>
      </c>
    </row>
    <row r="2549" spans="1:5" x14ac:dyDescent="0.25">
      <c r="A2549" s="17">
        <v>286</v>
      </c>
      <c r="B2549" s="31">
        <v>48075</v>
      </c>
      <c r="C2549" s="32">
        <f>INDEX('Input Data'!$B:$B,A2549)/2+IF(A2549&lt;&gt;A2550,100,0)</f>
        <v>1.9375</v>
      </c>
      <c r="D2549" s="33">
        <f>INDEX('ZCB Curve - Payment Dates'!$D$2:$D$246,MATCH(B2549,'ZCB Curve - Payment Dates'!$A$2:$A$246,0))</f>
        <v>0.7999252334775927</v>
      </c>
      <c r="E2549" s="32">
        <f t="shared" si="39"/>
        <v>1.549855139862836</v>
      </c>
    </row>
    <row r="2550" spans="1:5" x14ac:dyDescent="0.25">
      <c r="A2550" s="17">
        <v>286</v>
      </c>
      <c r="B2550" s="31">
        <v>48259</v>
      </c>
      <c r="C2550" s="32">
        <f>INDEX('Input Data'!$B:$B,A2550)/2+IF(A2550&lt;&gt;A2551,100,0)</f>
        <v>1.9375</v>
      </c>
      <c r="D2550" s="33">
        <f>INDEX('ZCB Curve - Payment Dates'!$D$2:$D$246,MATCH(B2550,'ZCB Curve - Payment Dates'!$A$2:$A$246,0))</f>
        <v>0.78121887027612602</v>
      </c>
      <c r="E2550" s="32">
        <f t="shared" si="39"/>
        <v>1.5136115611599941</v>
      </c>
    </row>
    <row r="2551" spans="1:5" x14ac:dyDescent="0.25">
      <c r="A2551" s="17">
        <v>286</v>
      </c>
      <c r="B2551" s="31">
        <v>48441</v>
      </c>
      <c r="C2551" s="32">
        <f>INDEX('Input Data'!$B:$B,A2551)/2+IF(A2551&lt;&gt;A2552,100,0)</f>
        <v>1.9375</v>
      </c>
      <c r="D2551" s="33">
        <f>INDEX('ZCB Curve - Payment Dates'!$D$2:$D$246,MATCH(B2551,'ZCB Curve - Payment Dates'!$A$2:$A$246,0))</f>
        <v>0.76298123459017864</v>
      </c>
      <c r="E2551" s="32">
        <f t="shared" si="39"/>
        <v>1.4782761420184711</v>
      </c>
    </row>
    <row r="2552" spans="1:5" x14ac:dyDescent="0.25">
      <c r="A2552" s="17">
        <v>286</v>
      </c>
      <c r="B2552" s="31">
        <v>48625</v>
      </c>
      <c r="C2552" s="32">
        <f>INDEX('Input Data'!$B:$B,A2552)/2+IF(A2552&lt;&gt;A2553,100,0)</f>
        <v>1.9375</v>
      </c>
      <c r="D2552" s="33">
        <f>INDEX('ZCB Curve - Payment Dates'!$D$2:$D$246,MATCH(B2552,'ZCB Curve - Payment Dates'!$A$2:$A$246,0))</f>
        <v>0.74476011611938586</v>
      </c>
      <c r="E2552" s="32">
        <f t="shared" si="39"/>
        <v>1.44297272498131</v>
      </c>
    </row>
    <row r="2553" spans="1:5" x14ac:dyDescent="0.25">
      <c r="A2553" s="17">
        <v>286</v>
      </c>
      <c r="B2553" s="31">
        <v>48806</v>
      </c>
      <c r="C2553" s="32">
        <f>INDEX('Input Data'!$B:$B,A2553)/2+IF(A2553&lt;&gt;A2554,100,0)</f>
        <v>1.9375</v>
      </c>
      <c r="D2553" s="33">
        <f>INDEX('ZCB Curve - Payment Dates'!$D$2:$D$246,MATCH(B2553,'ZCB Curve - Payment Dates'!$A$2:$A$246,0))</f>
        <v>0.72701302496114584</v>
      </c>
      <c r="E2553" s="32">
        <f t="shared" si="39"/>
        <v>1.4085877358622201</v>
      </c>
    </row>
    <row r="2554" spans="1:5" x14ac:dyDescent="0.25">
      <c r="A2554" s="17">
        <v>286</v>
      </c>
      <c r="B2554" s="31">
        <v>48990</v>
      </c>
      <c r="C2554" s="32">
        <f>INDEX('Input Data'!$B:$B,A2554)/2+IF(A2554&lt;&gt;A2555,100,0)</f>
        <v>1.9375</v>
      </c>
      <c r="D2554" s="33">
        <f>INDEX('ZCB Curve - Payment Dates'!$D$2:$D$246,MATCH(B2554,'ZCB Curve - Payment Dates'!$A$2:$A$246,0))</f>
        <v>0.70912647031380449</v>
      </c>
      <c r="E2554" s="32">
        <f t="shared" si="39"/>
        <v>1.3739325362329962</v>
      </c>
    </row>
    <row r="2555" spans="1:5" x14ac:dyDescent="0.25">
      <c r="A2555" s="17">
        <v>286</v>
      </c>
      <c r="B2555" s="31">
        <v>49171</v>
      </c>
      <c r="C2555" s="32">
        <f>INDEX('Input Data'!$B:$B,A2555)/2+IF(A2555&lt;&gt;A2556,100,0)</f>
        <v>1.9375</v>
      </c>
      <c r="D2555" s="33">
        <f>INDEX('ZCB Curve - Payment Dates'!$D$2:$D$246,MATCH(B2555,'ZCB Curve - Payment Dates'!$A$2:$A$246,0))</f>
        <v>0.6916661505723215</v>
      </c>
      <c r="E2555" s="32">
        <f t="shared" si="39"/>
        <v>1.340103166733873</v>
      </c>
    </row>
    <row r="2556" spans="1:5" x14ac:dyDescent="0.25">
      <c r="A2556" s="17">
        <v>286</v>
      </c>
      <c r="B2556" s="31">
        <v>49355</v>
      </c>
      <c r="C2556" s="32">
        <f>INDEX('Input Data'!$B:$B,A2556)/2+IF(A2556&lt;&gt;A2557,100,0)</f>
        <v>1.9375</v>
      </c>
      <c r="D2556" s="33">
        <f>INDEX('ZCB Curve - Payment Dates'!$D$2:$D$246,MATCH(B2556,'ZCB Curve - Payment Dates'!$A$2:$A$246,0))</f>
        <v>0.674047377898778</v>
      </c>
      <c r="E2556" s="32">
        <f t="shared" si="39"/>
        <v>1.3059667946788824</v>
      </c>
    </row>
    <row r="2557" spans="1:5" x14ac:dyDescent="0.25">
      <c r="A2557" s="17">
        <v>286</v>
      </c>
      <c r="B2557" s="31">
        <v>49536</v>
      </c>
      <c r="C2557" s="32">
        <f>INDEX('Input Data'!$B:$B,A2557)/2+IF(A2557&lt;&gt;A2558,100,0)</f>
        <v>1.9375</v>
      </c>
      <c r="D2557" s="33">
        <f>INDEX('ZCB Curve - Payment Dates'!$D$2:$D$246,MATCH(B2557,'ZCB Curve - Payment Dates'!$A$2:$A$246,0))</f>
        <v>0.65684432300638129</v>
      </c>
      <c r="E2557" s="32">
        <f t="shared" si="39"/>
        <v>1.2726358758248637</v>
      </c>
    </row>
    <row r="2558" spans="1:5" x14ac:dyDescent="0.25">
      <c r="A2558" s="17">
        <v>286</v>
      </c>
      <c r="B2558" s="31">
        <v>49720</v>
      </c>
      <c r="C2558" s="32">
        <f>INDEX('Input Data'!$B:$B,A2558)/2+IF(A2558&lt;&gt;A2559,100,0)</f>
        <v>1.9375</v>
      </c>
      <c r="D2558" s="33">
        <f>INDEX('ZCB Curve - Payment Dates'!$D$2:$D$246,MATCH(B2558,'ZCB Curve - Payment Dates'!$A$2:$A$246,0))</f>
        <v>0.63949604524993764</v>
      </c>
      <c r="E2558" s="32">
        <f t="shared" si="39"/>
        <v>1.2390235876717541</v>
      </c>
    </row>
    <row r="2559" spans="1:5" x14ac:dyDescent="0.25">
      <c r="A2559" s="17">
        <v>286</v>
      </c>
      <c r="B2559" s="31">
        <v>49902</v>
      </c>
      <c r="C2559" s="32">
        <f>INDEX('Input Data'!$B:$B,A2559)/2+IF(A2559&lt;&gt;A2560,100,0)</f>
        <v>1.9375</v>
      </c>
      <c r="D2559" s="33">
        <f>INDEX('ZCB Curve - Payment Dates'!$D$2:$D$246,MATCH(B2559,'ZCB Curve - Payment Dates'!$A$2:$A$246,0))</f>
        <v>0.62248862376822711</v>
      </c>
      <c r="E2559" s="32">
        <f t="shared" si="39"/>
        <v>1.20607170855094</v>
      </c>
    </row>
    <row r="2560" spans="1:5" x14ac:dyDescent="0.25">
      <c r="A2560" s="17">
        <v>286</v>
      </c>
      <c r="B2560" s="31">
        <v>50086</v>
      </c>
      <c r="C2560" s="32">
        <f>INDEX('Input Data'!$B:$B,A2560)/2+IF(A2560&lt;&gt;A2561,100,0)</f>
        <v>1.9375</v>
      </c>
      <c r="D2560" s="33">
        <f>INDEX('ZCB Curve - Payment Dates'!$D$2:$D$246,MATCH(B2560,'ZCB Curve - Payment Dates'!$A$2:$A$246,0))</f>
        <v>0.60546490876014969</v>
      </c>
      <c r="E2560" s="32">
        <f t="shared" si="39"/>
        <v>1.1730882607227899</v>
      </c>
    </row>
    <row r="2561" spans="1:5" x14ac:dyDescent="0.25">
      <c r="A2561" s="17">
        <v>286</v>
      </c>
      <c r="B2561" s="31">
        <v>50267</v>
      </c>
      <c r="C2561" s="32">
        <f>INDEX('Input Data'!$B:$B,A2561)/2+IF(A2561&lt;&gt;A2562,100,0)</f>
        <v>1.9375</v>
      </c>
      <c r="D2561" s="33">
        <f>INDEX('ZCB Curve - Payment Dates'!$D$2:$D$246,MATCH(B2561,'ZCB Curve - Payment Dates'!$A$2:$A$246,0))</f>
        <v>0.58890683803346977</v>
      </c>
      <c r="E2561" s="32">
        <f t="shared" si="39"/>
        <v>1.1410069986898477</v>
      </c>
    </row>
    <row r="2562" spans="1:5" x14ac:dyDescent="0.25">
      <c r="A2562" s="17">
        <v>286</v>
      </c>
      <c r="B2562" s="31">
        <v>50451</v>
      </c>
      <c r="C2562" s="32">
        <f>INDEX('Input Data'!$B:$B,A2562)/2+IF(A2562&lt;&gt;A2563,100,0)</f>
        <v>1.9375</v>
      </c>
      <c r="D2562" s="33">
        <f>INDEX('ZCB Curve - Payment Dates'!$D$2:$D$246,MATCH(B2562,'ZCB Curve - Payment Dates'!$A$2:$A$246,0))</f>
        <v>0.57228983695479263</v>
      </c>
      <c r="E2562" s="32">
        <f t="shared" ref="E2562:E2625" si="40">C2562*D2562</f>
        <v>1.1088115590999108</v>
      </c>
    </row>
    <row r="2563" spans="1:5" x14ac:dyDescent="0.25">
      <c r="A2563" s="17">
        <v>286</v>
      </c>
      <c r="B2563" s="31">
        <v>50632</v>
      </c>
      <c r="C2563" s="32">
        <f>INDEX('Input Data'!$B:$B,A2563)/2+IF(A2563&lt;&gt;A2564,100,0)</f>
        <v>1.9375</v>
      </c>
      <c r="D2563" s="33">
        <f>INDEX('ZCB Curve - Payment Dates'!$D$2:$D$246,MATCH(B2563,'ZCB Curve - Payment Dates'!$A$2:$A$246,0))</f>
        <v>0.55617795699202288</v>
      </c>
      <c r="E2563" s="32">
        <f t="shared" si="40"/>
        <v>1.0775947916720443</v>
      </c>
    </row>
    <row r="2564" spans="1:5" x14ac:dyDescent="0.25">
      <c r="A2564" s="17">
        <v>286</v>
      </c>
      <c r="B2564" s="31">
        <v>50816</v>
      </c>
      <c r="C2564" s="32">
        <f>INDEX('Input Data'!$B:$B,A2564)/2+IF(A2564&lt;&gt;A2565,100,0)</f>
        <v>1.9375</v>
      </c>
      <c r="D2564" s="33">
        <f>INDEX('ZCB Curve - Payment Dates'!$D$2:$D$246,MATCH(B2564,'ZCB Curve - Payment Dates'!$A$2:$A$246,0))</f>
        <v>0.54006240951211237</v>
      </c>
      <c r="E2564" s="32">
        <f t="shared" si="40"/>
        <v>1.0463709184297176</v>
      </c>
    </row>
    <row r="2565" spans="1:5" x14ac:dyDescent="0.25">
      <c r="A2565" s="17">
        <v>286</v>
      </c>
      <c r="B2565" s="31">
        <v>50997</v>
      </c>
      <c r="C2565" s="32">
        <f>INDEX('Input Data'!$B:$B,A2565)/2+IF(A2565&lt;&gt;A2566,100,0)</f>
        <v>1.9375</v>
      </c>
      <c r="D2565" s="33">
        <f>INDEX('ZCB Curve - Payment Dates'!$D$2:$D$246,MATCH(B2565,'ZCB Curve - Payment Dates'!$A$2:$A$246,0))</f>
        <v>0.52449040173194583</v>
      </c>
      <c r="E2565" s="32">
        <f t="shared" si="40"/>
        <v>1.0162001533556451</v>
      </c>
    </row>
    <row r="2566" spans="1:5" x14ac:dyDescent="0.25">
      <c r="A2566" s="17">
        <v>286</v>
      </c>
      <c r="B2566" s="31">
        <v>51181</v>
      </c>
      <c r="C2566" s="32">
        <f>INDEX('Input Data'!$B:$B,A2566)/2+IF(A2566&lt;&gt;A2567,100,0)</f>
        <v>1.9375</v>
      </c>
      <c r="D2566" s="33">
        <f>INDEX('ZCB Curve - Payment Dates'!$D$2:$D$246,MATCH(B2566,'ZCB Curve - Payment Dates'!$A$2:$A$246,0))</f>
        <v>0.5089691698468306</v>
      </c>
      <c r="E2566" s="32">
        <f t="shared" si="40"/>
        <v>0.98612776657823431</v>
      </c>
    </row>
    <row r="2567" spans="1:5" x14ac:dyDescent="0.25">
      <c r="A2567" s="17">
        <v>286</v>
      </c>
      <c r="B2567" s="31">
        <v>51363</v>
      </c>
      <c r="C2567" s="32">
        <f>INDEX('Input Data'!$B:$B,A2567)/2+IF(A2567&lt;&gt;A2568,100,0)</f>
        <v>1.9375</v>
      </c>
      <c r="D2567" s="33">
        <f>INDEX('ZCB Curve - Payment Dates'!$D$2:$D$246,MATCH(B2567,'ZCB Curve - Payment Dates'!$A$2:$A$246,0))</f>
        <v>0.49394036022330806</v>
      </c>
      <c r="E2567" s="32">
        <f t="shared" si="40"/>
        <v>0.95700944793265941</v>
      </c>
    </row>
    <row r="2568" spans="1:5" x14ac:dyDescent="0.25">
      <c r="A2568" s="17">
        <v>286</v>
      </c>
      <c r="B2568" s="31">
        <v>51547</v>
      </c>
      <c r="C2568" s="32">
        <f>INDEX('Input Data'!$B:$B,A2568)/2+IF(A2568&lt;&gt;A2569,100,0)</f>
        <v>1.9375</v>
      </c>
      <c r="D2568" s="33">
        <f>INDEX('ZCB Curve - Payment Dates'!$D$2:$D$246,MATCH(B2568,'ZCB Curve - Payment Dates'!$A$2:$A$246,0))</f>
        <v>0.47909718957588998</v>
      </c>
      <c r="E2568" s="32">
        <f t="shared" si="40"/>
        <v>0.92825080480328681</v>
      </c>
    </row>
    <row r="2569" spans="1:5" x14ac:dyDescent="0.25">
      <c r="A2569" s="17">
        <v>286</v>
      </c>
      <c r="B2569" s="31">
        <v>51728</v>
      </c>
      <c r="C2569" s="32">
        <f>INDEX('Input Data'!$B:$B,A2569)/2+IF(A2569&lt;&gt;A2570,100,0)</f>
        <v>1.9375</v>
      </c>
      <c r="D2569" s="33">
        <f>INDEX('ZCB Curve - Payment Dates'!$D$2:$D$246,MATCH(B2569,'ZCB Curve - Payment Dates'!$A$2:$A$246,0))</f>
        <v>0.46485329459616059</v>
      </c>
      <c r="E2569" s="32">
        <f t="shared" si="40"/>
        <v>0.90065325828006115</v>
      </c>
    </row>
    <row r="2570" spans="1:5" x14ac:dyDescent="0.25">
      <c r="A2570" s="17">
        <v>286</v>
      </c>
      <c r="B2570" s="31">
        <v>51912</v>
      </c>
      <c r="C2570" s="32">
        <f>INDEX('Input Data'!$B:$B,A2570)/2+IF(A2570&lt;&gt;A2571,100,0)</f>
        <v>1.9375</v>
      </c>
      <c r="D2570" s="33">
        <f>INDEX('ZCB Curve - Payment Dates'!$D$2:$D$246,MATCH(B2570,'ZCB Curve - Payment Dates'!$A$2:$A$246,0))</f>
        <v>0.45075168915212815</v>
      </c>
      <c r="E2570" s="32">
        <f t="shared" si="40"/>
        <v>0.87333139773224833</v>
      </c>
    </row>
    <row r="2571" spans="1:5" x14ac:dyDescent="0.25">
      <c r="A2571" s="17">
        <v>286</v>
      </c>
      <c r="B2571" s="31">
        <v>52093</v>
      </c>
      <c r="C2571" s="32">
        <f>INDEX('Input Data'!$B:$B,A2571)/2+IF(A2571&lt;&gt;A2572,100,0)</f>
        <v>1.9375</v>
      </c>
      <c r="D2571" s="33">
        <f>INDEX('ZCB Curve - Payment Dates'!$D$2:$D$246,MATCH(B2571,'ZCB Curve - Payment Dates'!$A$2:$A$246,0))</f>
        <v>0.43726259018094221</v>
      </c>
      <c r="E2571" s="32">
        <f t="shared" si="40"/>
        <v>0.8471962684755755</v>
      </c>
    </row>
    <row r="2572" spans="1:5" x14ac:dyDescent="0.25">
      <c r="A2572" s="17">
        <v>286</v>
      </c>
      <c r="B2572" s="31">
        <v>52277</v>
      </c>
      <c r="C2572" s="32">
        <f>INDEX('Input Data'!$B:$B,A2572)/2+IF(A2572&lt;&gt;A2573,100,0)</f>
        <v>101.9375</v>
      </c>
      <c r="D2572" s="33">
        <f>INDEX('ZCB Curve - Payment Dates'!$D$2:$D$246,MATCH(B2572,'ZCB Curve - Payment Dates'!$A$2:$A$246,0))</f>
        <v>0.4239492285351204</v>
      </c>
      <c r="E2572" s="32">
        <f t="shared" si="40"/>
        <v>43.216324483798836</v>
      </c>
    </row>
    <row r="2573" spans="1:5" x14ac:dyDescent="0.25">
      <c r="A2573" s="17">
        <v>287</v>
      </c>
      <c r="B2573" s="31">
        <v>46341</v>
      </c>
      <c r="C2573" s="32">
        <f>INDEX('Input Data'!$B:$B,A2573)/2+IF(A2573&lt;&gt;A2574,100,0)</f>
        <v>1.4375</v>
      </c>
      <c r="D2573" s="33">
        <f>INDEX('ZCB Curve - Payment Dates'!$D$2:$D$246,MATCH(B2573,'ZCB Curve - Payment Dates'!$A$2:$A$246,0))</f>
        <v>0.99245367292309439</v>
      </c>
      <c r="E2573" s="32">
        <f t="shared" si="40"/>
        <v>1.4266521548269482</v>
      </c>
    </row>
    <row r="2574" spans="1:5" x14ac:dyDescent="0.25">
      <c r="A2574" s="17">
        <v>287</v>
      </c>
      <c r="B2574" s="31">
        <v>46522</v>
      </c>
      <c r="C2574" s="32">
        <f>INDEX('Input Data'!$B:$B,A2574)/2+IF(A2574&lt;&gt;A2575,100,0)</f>
        <v>1.4375</v>
      </c>
      <c r="D2574" s="33">
        <f>INDEX('ZCB Curve - Payment Dates'!$D$2:$D$246,MATCH(B2574,'ZCB Curve - Payment Dates'!$A$2:$A$246,0))</f>
        <v>0.97242179559611874</v>
      </c>
      <c r="E2574" s="32">
        <f t="shared" si="40"/>
        <v>1.3978563311694208</v>
      </c>
    </row>
    <row r="2575" spans="1:5" x14ac:dyDescent="0.25">
      <c r="A2575" s="17">
        <v>287</v>
      </c>
      <c r="B2575" s="31">
        <v>46706</v>
      </c>
      <c r="C2575" s="32">
        <f>INDEX('Input Data'!$B:$B,A2575)/2+IF(A2575&lt;&gt;A2576,100,0)</f>
        <v>1.4375</v>
      </c>
      <c r="D2575" s="33">
        <f>INDEX('ZCB Curve - Payment Dates'!$D$2:$D$246,MATCH(B2575,'ZCB Curve - Payment Dates'!$A$2:$A$246,0))</f>
        <v>0.95121018311627348</v>
      </c>
      <c r="E2575" s="32">
        <f t="shared" si="40"/>
        <v>1.3673646382296432</v>
      </c>
    </row>
    <row r="2576" spans="1:5" x14ac:dyDescent="0.25">
      <c r="A2576" s="17">
        <v>287</v>
      </c>
      <c r="B2576" s="31">
        <v>46888</v>
      </c>
      <c r="C2576" s="32">
        <f>INDEX('Input Data'!$B:$B,A2576)/2+IF(A2576&lt;&gt;A2577,100,0)</f>
        <v>1.4375</v>
      </c>
      <c r="D2576" s="33">
        <f>INDEX('ZCB Curve - Payment Dates'!$D$2:$D$246,MATCH(B2576,'ZCB Curve - Payment Dates'!$A$2:$A$246,0))</f>
        <v>0.93000025435083566</v>
      </c>
      <c r="E2576" s="32">
        <f t="shared" si="40"/>
        <v>1.3368753656293262</v>
      </c>
    </row>
    <row r="2577" spans="1:5" x14ac:dyDescent="0.25">
      <c r="A2577" s="17">
        <v>287</v>
      </c>
      <c r="B2577" s="31">
        <v>47072</v>
      </c>
      <c r="C2577" s="32">
        <f>INDEX('Input Data'!$B:$B,A2577)/2+IF(A2577&lt;&gt;A2578,100,0)</f>
        <v>1.4375</v>
      </c>
      <c r="D2577" s="33">
        <f>INDEX('ZCB Curve - Payment Dates'!$D$2:$D$246,MATCH(B2577,'ZCB Curve - Payment Dates'!$A$2:$A$246,0))</f>
        <v>0.90870125167038918</v>
      </c>
      <c r="E2577" s="32">
        <f t="shared" si="40"/>
        <v>1.3062580492761844</v>
      </c>
    </row>
    <row r="2578" spans="1:5" x14ac:dyDescent="0.25">
      <c r="A2578" s="17">
        <v>287</v>
      </c>
      <c r="B2578" s="31">
        <v>47253</v>
      </c>
      <c r="C2578" s="32">
        <f>INDEX('Input Data'!$B:$B,A2578)/2+IF(A2578&lt;&gt;A2579,100,0)</f>
        <v>1.4375</v>
      </c>
      <c r="D2578" s="33">
        <f>INDEX('ZCB Curve - Payment Dates'!$D$2:$D$246,MATCH(B2578,'ZCB Curve - Payment Dates'!$A$2:$A$246,0))</f>
        <v>0.88809325063638844</v>
      </c>
      <c r="E2578" s="32">
        <f t="shared" si="40"/>
        <v>1.2766340477898084</v>
      </c>
    </row>
    <row r="2579" spans="1:5" x14ac:dyDescent="0.25">
      <c r="A2579" s="17">
        <v>287</v>
      </c>
      <c r="B2579" s="31">
        <v>47437</v>
      </c>
      <c r="C2579" s="32">
        <f>INDEX('Input Data'!$B:$B,A2579)/2+IF(A2579&lt;&gt;A2580,100,0)</f>
        <v>1.4375</v>
      </c>
      <c r="D2579" s="33">
        <f>INDEX('ZCB Curve - Payment Dates'!$D$2:$D$246,MATCH(B2579,'ZCB Curve - Payment Dates'!$A$2:$A$246,0))</f>
        <v>0.86758824089536279</v>
      </c>
      <c r="E2579" s="32">
        <f t="shared" si="40"/>
        <v>1.2471580962870841</v>
      </c>
    </row>
    <row r="2580" spans="1:5" x14ac:dyDescent="0.25">
      <c r="A2580" s="17">
        <v>287</v>
      </c>
      <c r="B2580" s="31">
        <v>47618</v>
      </c>
      <c r="C2580" s="32">
        <f>INDEX('Input Data'!$B:$B,A2580)/2+IF(A2580&lt;&gt;A2581,100,0)</f>
        <v>1.4375</v>
      </c>
      <c r="D2580" s="33">
        <f>INDEX('ZCB Curve - Payment Dates'!$D$2:$D$246,MATCH(B2580,'ZCB Curve - Payment Dates'!$A$2:$A$246,0))</f>
        <v>0.84787416911783064</v>
      </c>
      <c r="E2580" s="32">
        <f t="shared" si="40"/>
        <v>1.2188191181068815</v>
      </c>
    </row>
    <row r="2581" spans="1:5" x14ac:dyDescent="0.25">
      <c r="A2581" s="17">
        <v>287</v>
      </c>
      <c r="B2581" s="31">
        <v>47802</v>
      </c>
      <c r="C2581" s="32">
        <f>INDEX('Input Data'!$B:$B,A2581)/2+IF(A2581&lt;&gt;A2582,100,0)</f>
        <v>1.4375</v>
      </c>
      <c r="D2581" s="33">
        <f>INDEX('ZCB Curve - Payment Dates'!$D$2:$D$246,MATCH(B2581,'ZCB Curve - Payment Dates'!$A$2:$A$246,0))</f>
        <v>0.82827715028796722</v>
      </c>
      <c r="E2581" s="32">
        <f t="shared" si="40"/>
        <v>1.1906484035389528</v>
      </c>
    </row>
    <row r="2582" spans="1:5" x14ac:dyDescent="0.25">
      <c r="A2582" s="17">
        <v>287</v>
      </c>
      <c r="B2582" s="31">
        <v>47983</v>
      </c>
      <c r="C2582" s="32">
        <f>INDEX('Input Data'!$B:$B,A2582)/2+IF(A2582&lt;&gt;A2583,100,0)</f>
        <v>1.4375</v>
      </c>
      <c r="D2582" s="33">
        <f>INDEX('ZCB Curve - Payment Dates'!$D$2:$D$246,MATCH(B2582,'ZCB Curve - Payment Dates'!$A$2:$A$246,0))</f>
        <v>0.80939067484273564</v>
      </c>
      <c r="E2582" s="32">
        <f t="shared" si="40"/>
        <v>1.1634990950864326</v>
      </c>
    </row>
    <row r="2583" spans="1:5" x14ac:dyDescent="0.25">
      <c r="A2583" s="17">
        <v>287</v>
      </c>
      <c r="B2583" s="31">
        <v>48167</v>
      </c>
      <c r="C2583" s="32">
        <f>INDEX('Input Data'!$B:$B,A2583)/2+IF(A2583&lt;&gt;A2584,100,0)</f>
        <v>1.4375</v>
      </c>
      <c r="D2583" s="33">
        <f>INDEX('ZCB Curve - Payment Dates'!$D$2:$D$246,MATCH(B2583,'ZCB Curve - Payment Dates'!$A$2:$A$246,0))</f>
        <v>0.79053567842581962</v>
      </c>
      <c r="E2583" s="32">
        <f t="shared" si="40"/>
        <v>1.1363950377371157</v>
      </c>
    </row>
    <row r="2584" spans="1:5" x14ac:dyDescent="0.25">
      <c r="A2584" s="17">
        <v>287</v>
      </c>
      <c r="B2584" s="31">
        <v>48349</v>
      </c>
      <c r="C2584" s="32">
        <f>INDEX('Input Data'!$B:$B,A2584)/2+IF(A2584&lt;&gt;A2585,100,0)</f>
        <v>1.4375</v>
      </c>
      <c r="D2584" s="33">
        <f>INDEX('ZCB Curve - Payment Dates'!$D$2:$D$246,MATCH(B2584,'ZCB Curve - Payment Dates'!$A$2:$A$246,0))</f>
        <v>0.77217305702007488</v>
      </c>
      <c r="E2584" s="32">
        <f t="shared" si="40"/>
        <v>1.1099987694663576</v>
      </c>
    </row>
    <row r="2585" spans="1:5" x14ac:dyDescent="0.25">
      <c r="A2585" s="17">
        <v>287</v>
      </c>
      <c r="B2585" s="31">
        <v>48533</v>
      </c>
      <c r="C2585" s="32">
        <f>INDEX('Input Data'!$B:$B,A2585)/2+IF(A2585&lt;&gt;A2586,100,0)</f>
        <v>1.4375</v>
      </c>
      <c r="D2585" s="33">
        <f>INDEX('ZCB Curve - Payment Dates'!$D$2:$D$246,MATCH(B2585,'ZCB Curve - Payment Dates'!$A$2:$A$246,0))</f>
        <v>0.75384766072076514</v>
      </c>
      <c r="E2585" s="32">
        <f t="shared" si="40"/>
        <v>1.0836560122860999</v>
      </c>
    </row>
    <row r="2586" spans="1:5" x14ac:dyDescent="0.25">
      <c r="A2586" s="17">
        <v>287</v>
      </c>
      <c r="B2586" s="31">
        <v>48714</v>
      </c>
      <c r="C2586" s="32">
        <f>INDEX('Input Data'!$B:$B,A2586)/2+IF(A2586&lt;&gt;A2587,100,0)</f>
        <v>1.4375</v>
      </c>
      <c r="D2586" s="33">
        <f>INDEX('ZCB Curve - Payment Dates'!$D$2:$D$246,MATCH(B2586,'ZCB Curve - Payment Dates'!$A$2:$A$246,0))</f>
        <v>0.73601491848746747</v>
      </c>
      <c r="E2586" s="32">
        <f t="shared" si="40"/>
        <v>1.0580214453257344</v>
      </c>
    </row>
    <row r="2587" spans="1:5" x14ac:dyDescent="0.25">
      <c r="A2587" s="17">
        <v>287</v>
      </c>
      <c r="B2587" s="31">
        <v>48898</v>
      </c>
      <c r="C2587" s="32">
        <f>INDEX('Input Data'!$B:$B,A2587)/2+IF(A2587&lt;&gt;A2588,100,0)</f>
        <v>1.4375</v>
      </c>
      <c r="D2587" s="33">
        <f>INDEX('ZCB Curve - Payment Dates'!$D$2:$D$246,MATCH(B2587,'ZCB Curve - Payment Dates'!$A$2:$A$246,0))</f>
        <v>0.71805338140354003</v>
      </c>
      <c r="E2587" s="32">
        <f t="shared" si="40"/>
        <v>1.0322017357675888</v>
      </c>
    </row>
    <row r="2588" spans="1:5" x14ac:dyDescent="0.25">
      <c r="A2588" s="17">
        <v>287</v>
      </c>
      <c r="B2588" s="31">
        <v>49079</v>
      </c>
      <c r="C2588" s="32">
        <f>INDEX('Input Data'!$B:$B,A2588)/2+IF(A2588&lt;&gt;A2589,100,0)</f>
        <v>1.4375</v>
      </c>
      <c r="D2588" s="33">
        <f>INDEX('ZCB Curve - Payment Dates'!$D$2:$D$246,MATCH(B2588,'ZCB Curve - Payment Dates'!$A$2:$A$246,0))</f>
        <v>0.70052630492471468</v>
      </c>
      <c r="E2588" s="32">
        <f t="shared" si="40"/>
        <v>1.0070065633292773</v>
      </c>
    </row>
    <row r="2589" spans="1:5" x14ac:dyDescent="0.25">
      <c r="A2589" s="17">
        <v>287</v>
      </c>
      <c r="B2589" s="31">
        <v>49263</v>
      </c>
      <c r="C2589" s="32">
        <f>INDEX('Input Data'!$B:$B,A2589)/2+IF(A2589&lt;&gt;A2590,100,0)</f>
        <v>1.4375</v>
      </c>
      <c r="D2589" s="33">
        <f>INDEX('ZCB Curve - Payment Dates'!$D$2:$D$246,MATCH(B2589,'ZCB Curve - Payment Dates'!$A$2:$A$246,0))</f>
        <v>0.68284221202539863</v>
      </c>
      <c r="E2589" s="32">
        <f t="shared" si="40"/>
        <v>0.98158567978651057</v>
      </c>
    </row>
    <row r="2590" spans="1:5" x14ac:dyDescent="0.25">
      <c r="A2590" s="17">
        <v>287</v>
      </c>
      <c r="B2590" s="31">
        <v>49444</v>
      </c>
      <c r="C2590" s="32">
        <f>INDEX('Input Data'!$B:$B,A2590)/2+IF(A2590&lt;&gt;A2591,100,0)</f>
        <v>1.4375</v>
      </c>
      <c r="D2590" s="33">
        <f>INDEX('ZCB Curve - Payment Dates'!$D$2:$D$246,MATCH(B2590,'ZCB Curve - Payment Dates'!$A$2:$A$246,0))</f>
        <v>0.66557347415228496</v>
      </c>
      <c r="E2590" s="32">
        <f t="shared" si="40"/>
        <v>0.95676186909390959</v>
      </c>
    </row>
    <row r="2591" spans="1:5" x14ac:dyDescent="0.25">
      <c r="A2591" s="17">
        <v>287</v>
      </c>
      <c r="B2591" s="31">
        <v>49628</v>
      </c>
      <c r="C2591" s="32">
        <f>INDEX('Input Data'!$B:$B,A2591)/2+IF(A2591&lt;&gt;A2592,100,0)</f>
        <v>1.4375</v>
      </c>
      <c r="D2591" s="33">
        <f>INDEX('ZCB Curve - Payment Dates'!$D$2:$D$246,MATCH(B2591,'ZCB Curve - Payment Dates'!$A$2:$A$246,0))</f>
        <v>0.64815361918127823</v>
      </c>
      <c r="E2591" s="32">
        <f t="shared" si="40"/>
        <v>0.9317208275730875</v>
      </c>
    </row>
    <row r="2592" spans="1:5" x14ac:dyDescent="0.25">
      <c r="A2592" s="17">
        <v>287</v>
      </c>
      <c r="B2592" s="31">
        <v>49810</v>
      </c>
      <c r="C2592" s="32">
        <f>INDEX('Input Data'!$B:$B,A2592)/2+IF(A2592&lt;&gt;A2593,100,0)</f>
        <v>1.4375</v>
      </c>
      <c r="D2592" s="33">
        <f>INDEX('ZCB Curve - Payment Dates'!$D$2:$D$246,MATCH(B2592,'ZCB Curve - Payment Dates'!$A$2:$A$246,0))</f>
        <v>0.63106457078577471</v>
      </c>
      <c r="E2592" s="32">
        <f t="shared" si="40"/>
        <v>0.90715532050455117</v>
      </c>
    </row>
    <row r="2593" spans="1:5" x14ac:dyDescent="0.25">
      <c r="A2593" s="17">
        <v>287</v>
      </c>
      <c r="B2593" s="31">
        <v>49994</v>
      </c>
      <c r="C2593" s="32">
        <f>INDEX('Input Data'!$B:$B,A2593)/2+IF(A2593&lt;&gt;A2594,100,0)</f>
        <v>1.4375</v>
      </c>
      <c r="D2593" s="33">
        <f>INDEX('ZCB Curve - Payment Dates'!$D$2:$D$246,MATCH(B2593,'ZCB Curve - Payment Dates'!$A$2:$A$246,0))</f>
        <v>0.61395227923184648</v>
      </c>
      <c r="E2593" s="32">
        <f t="shared" si="40"/>
        <v>0.88255640139577929</v>
      </c>
    </row>
    <row r="2594" spans="1:5" x14ac:dyDescent="0.25">
      <c r="A2594" s="17">
        <v>287</v>
      </c>
      <c r="B2594" s="31">
        <v>50175</v>
      </c>
      <c r="C2594" s="32">
        <f>INDEX('Input Data'!$B:$B,A2594)/2+IF(A2594&lt;&gt;A2595,100,0)</f>
        <v>1.4375</v>
      </c>
      <c r="D2594" s="33">
        <f>INDEX('ZCB Curve - Payment Dates'!$D$2:$D$246,MATCH(B2594,'ZCB Curve - Payment Dates'!$A$2:$A$246,0))</f>
        <v>0.5972963482314616</v>
      </c>
      <c r="E2594" s="32">
        <f t="shared" si="40"/>
        <v>0.85861350058272601</v>
      </c>
    </row>
    <row r="2595" spans="1:5" x14ac:dyDescent="0.25">
      <c r="A2595" s="17">
        <v>287</v>
      </c>
      <c r="B2595" s="31">
        <v>50359</v>
      </c>
      <c r="C2595" s="32">
        <f>INDEX('Input Data'!$B:$B,A2595)/2+IF(A2595&lt;&gt;A2596,100,0)</f>
        <v>1.4375</v>
      </c>
      <c r="D2595" s="33">
        <f>INDEX('ZCB Curve - Payment Dates'!$D$2:$D$246,MATCH(B2595,'ZCB Curve - Payment Dates'!$A$2:$A$246,0))</f>
        <v>0.58056812006155756</v>
      </c>
      <c r="E2595" s="32">
        <f t="shared" si="40"/>
        <v>0.83456667258848904</v>
      </c>
    </row>
    <row r="2596" spans="1:5" x14ac:dyDescent="0.25">
      <c r="A2596" s="17">
        <v>287</v>
      </c>
      <c r="B2596" s="31">
        <v>50540</v>
      </c>
      <c r="C2596" s="32">
        <f>INDEX('Input Data'!$B:$B,A2596)/2+IF(A2596&lt;&gt;A2597,100,0)</f>
        <v>1.4375</v>
      </c>
      <c r="D2596" s="33">
        <f>INDEX('ZCB Curve - Payment Dates'!$D$2:$D$246,MATCH(B2596,'ZCB Curve - Payment Dates'!$A$2:$A$246,0))</f>
        <v>0.56433491315969797</v>
      </c>
      <c r="E2596" s="32">
        <f t="shared" si="40"/>
        <v>0.81123143766706585</v>
      </c>
    </row>
    <row r="2597" spans="1:5" x14ac:dyDescent="0.25">
      <c r="A2597" s="17">
        <v>287</v>
      </c>
      <c r="B2597" s="31">
        <v>50724</v>
      </c>
      <c r="C2597" s="32">
        <f>INDEX('Input Data'!$B:$B,A2597)/2+IF(A2597&lt;&gt;A2598,100,0)</f>
        <v>1.4375</v>
      </c>
      <c r="D2597" s="33">
        <f>INDEX('ZCB Curve - Payment Dates'!$D$2:$D$246,MATCH(B2597,'ZCB Curve - Payment Dates'!$A$2:$A$246,0))</f>
        <v>0.54808398139057424</v>
      </c>
      <c r="E2597" s="32">
        <f t="shared" si="40"/>
        <v>0.78787072324895047</v>
      </c>
    </row>
    <row r="2598" spans="1:5" x14ac:dyDescent="0.25">
      <c r="A2598" s="17">
        <v>287</v>
      </c>
      <c r="B2598" s="31">
        <v>50905</v>
      </c>
      <c r="C2598" s="32">
        <f>INDEX('Input Data'!$B:$B,A2598)/2+IF(A2598&lt;&gt;A2599,100,0)</f>
        <v>1.4375</v>
      </c>
      <c r="D2598" s="33">
        <f>INDEX('ZCB Curve - Payment Dates'!$D$2:$D$246,MATCH(B2598,'ZCB Curve - Payment Dates'!$A$2:$A$246,0))</f>
        <v>0.5323673246083096</v>
      </c>
      <c r="E2598" s="32">
        <f t="shared" si="40"/>
        <v>0.76527802912444509</v>
      </c>
    </row>
    <row r="2599" spans="1:5" x14ac:dyDescent="0.25">
      <c r="A2599" s="17">
        <v>287</v>
      </c>
      <c r="B2599" s="31">
        <v>51089</v>
      </c>
      <c r="C2599" s="32">
        <f>INDEX('Input Data'!$B:$B,A2599)/2+IF(A2599&lt;&gt;A2600,100,0)</f>
        <v>1.4375</v>
      </c>
      <c r="D2599" s="33">
        <f>INDEX('ZCB Curve - Payment Dates'!$D$2:$D$246,MATCH(B2599,'ZCB Curve - Payment Dates'!$A$2:$A$246,0))</f>
        <v>0.51668806431098135</v>
      </c>
      <c r="E2599" s="32">
        <f t="shared" si="40"/>
        <v>0.74273909244703573</v>
      </c>
    </row>
    <row r="2600" spans="1:5" x14ac:dyDescent="0.25">
      <c r="A2600" s="17">
        <v>287</v>
      </c>
      <c r="B2600" s="31">
        <v>51271</v>
      </c>
      <c r="C2600" s="32">
        <f>INDEX('Input Data'!$B:$B,A2600)/2+IF(A2600&lt;&gt;A2601,100,0)</f>
        <v>1.4375</v>
      </c>
      <c r="D2600" s="33">
        <f>INDEX('ZCB Curve - Payment Dates'!$D$2:$D$246,MATCH(B2600,'ZCB Curve - Payment Dates'!$A$2:$A$246,0))</f>
        <v>0.50149590020417278</v>
      </c>
      <c r="E2600" s="32">
        <f t="shared" si="40"/>
        <v>0.72090035654349838</v>
      </c>
    </row>
    <row r="2601" spans="1:5" x14ac:dyDescent="0.25">
      <c r="A2601" s="17">
        <v>287</v>
      </c>
      <c r="B2601" s="31">
        <v>51455</v>
      </c>
      <c r="C2601" s="32">
        <f>INDEX('Input Data'!$B:$B,A2601)/2+IF(A2601&lt;&gt;A2602,100,0)</f>
        <v>1.4375</v>
      </c>
      <c r="D2601" s="33">
        <f>INDEX('ZCB Curve - Payment Dates'!$D$2:$D$246,MATCH(B2601,'ZCB Curve - Payment Dates'!$A$2:$A$246,0))</f>
        <v>0.48647538074270091</v>
      </c>
      <c r="E2601" s="32">
        <f t="shared" si="40"/>
        <v>0.69930835981763262</v>
      </c>
    </row>
    <row r="2602" spans="1:5" x14ac:dyDescent="0.25">
      <c r="A2602" s="17">
        <v>287</v>
      </c>
      <c r="B2602" s="31">
        <v>51636</v>
      </c>
      <c r="C2602" s="32">
        <f>INDEX('Input Data'!$B:$B,A2602)/2+IF(A2602&lt;&gt;A2603,100,0)</f>
        <v>1.4375</v>
      </c>
      <c r="D2602" s="33">
        <f>INDEX('ZCB Curve - Payment Dates'!$D$2:$D$246,MATCH(B2602,'ZCB Curve - Payment Dates'!$A$2:$A$246,0))</f>
        <v>0.47204918703719451</v>
      </c>
      <c r="E2602" s="32">
        <f t="shared" si="40"/>
        <v>0.67857070636596706</v>
      </c>
    </row>
    <row r="2603" spans="1:5" x14ac:dyDescent="0.25">
      <c r="A2603" s="17">
        <v>287</v>
      </c>
      <c r="B2603" s="31">
        <v>51820</v>
      </c>
      <c r="C2603" s="32">
        <f>INDEX('Input Data'!$B:$B,A2603)/2+IF(A2603&lt;&gt;A2604,100,0)</f>
        <v>1.4375</v>
      </c>
      <c r="D2603" s="33">
        <f>INDEX('ZCB Curve - Payment Dates'!$D$2:$D$246,MATCH(B2603,'ZCB Curve - Payment Dates'!$A$2:$A$246,0))</f>
        <v>0.45775548669345245</v>
      </c>
      <c r="E2603" s="32">
        <f t="shared" si="40"/>
        <v>0.65802351212183785</v>
      </c>
    </row>
    <row r="2604" spans="1:5" x14ac:dyDescent="0.25">
      <c r="A2604" s="17">
        <v>287</v>
      </c>
      <c r="B2604" s="31">
        <v>52001</v>
      </c>
      <c r="C2604" s="32">
        <f>INDEX('Input Data'!$B:$B,A2604)/2+IF(A2604&lt;&gt;A2605,100,0)</f>
        <v>1.4375</v>
      </c>
      <c r="D2604" s="33">
        <f>INDEX('ZCB Curve - Payment Dates'!$D$2:$D$246,MATCH(B2604,'ZCB Curve - Payment Dates'!$A$2:$A$246,0))</f>
        <v>0.44407192118484318</v>
      </c>
      <c r="E2604" s="32">
        <f t="shared" si="40"/>
        <v>0.63835338670321207</v>
      </c>
    </row>
    <row r="2605" spans="1:5" x14ac:dyDescent="0.25">
      <c r="A2605" s="17">
        <v>287</v>
      </c>
      <c r="B2605" s="31">
        <v>52185</v>
      </c>
      <c r="C2605" s="32">
        <f>INDEX('Input Data'!$B:$B,A2605)/2+IF(A2605&lt;&gt;A2606,100,0)</f>
        <v>1.4375</v>
      </c>
      <c r="D2605" s="33">
        <f>INDEX('ZCB Curve - Payment Dates'!$D$2:$D$246,MATCH(B2605,'ZCB Curve - Payment Dates'!$A$2:$A$246,0))</f>
        <v>0.43055647946672393</v>
      </c>
      <c r="E2605" s="32">
        <f t="shared" si="40"/>
        <v>0.61892493923341563</v>
      </c>
    </row>
    <row r="2606" spans="1:5" x14ac:dyDescent="0.25">
      <c r="A2606" s="17">
        <v>287</v>
      </c>
      <c r="B2606" s="31">
        <v>52366</v>
      </c>
      <c r="C2606" s="32">
        <f>INDEX('Input Data'!$B:$B,A2606)/2+IF(A2606&lt;&gt;A2607,100,0)</f>
        <v>101.4375</v>
      </c>
      <c r="D2606" s="33">
        <f>INDEX('ZCB Curve - Payment Dates'!$D$2:$D$246,MATCH(B2606,'ZCB Curve - Payment Dates'!$A$2:$A$246,0))</f>
        <v>0.41765686229470528</v>
      </c>
      <c r="E2606" s="32">
        <f t="shared" si="40"/>
        <v>42.36606796901917</v>
      </c>
    </row>
    <row r="2607" spans="1:5" x14ac:dyDescent="0.25">
      <c r="A2607" s="17">
        <v>288</v>
      </c>
      <c r="B2607" s="31">
        <v>46341</v>
      </c>
      <c r="C2607" s="32">
        <f>INDEX('Input Data'!$B:$B,A2607)/2+IF(A2607&lt;&gt;A2608,100,0)</f>
        <v>1.9375</v>
      </c>
      <c r="D2607" s="33">
        <f>INDEX('ZCB Curve - Payment Dates'!$D$2:$D$246,MATCH(B2607,'ZCB Curve - Payment Dates'!$A$2:$A$246,0))</f>
        <v>0.99245367292309439</v>
      </c>
      <c r="E2607" s="32">
        <f t="shared" si="40"/>
        <v>1.9228789912884954</v>
      </c>
    </row>
    <row r="2608" spans="1:5" x14ac:dyDescent="0.25">
      <c r="A2608" s="17">
        <v>288</v>
      </c>
      <c r="B2608" s="31">
        <v>46522</v>
      </c>
      <c r="C2608" s="32">
        <f>INDEX('Input Data'!$B:$B,A2608)/2+IF(A2608&lt;&gt;A2609,100,0)</f>
        <v>1.9375</v>
      </c>
      <c r="D2608" s="33">
        <f>INDEX('ZCB Curve - Payment Dates'!$D$2:$D$246,MATCH(B2608,'ZCB Curve - Payment Dates'!$A$2:$A$246,0))</f>
        <v>0.97242179559611874</v>
      </c>
      <c r="E2608" s="32">
        <f t="shared" si="40"/>
        <v>1.88406722896748</v>
      </c>
    </row>
    <row r="2609" spans="1:5" x14ac:dyDescent="0.25">
      <c r="A2609" s="17">
        <v>288</v>
      </c>
      <c r="B2609" s="31">
        <v>46706</v>
      </c>
      <c r="C2609" s="32">
        <f>INDEX('Input Data'!$B:$B,A2609)/2+IF(A2609&lt;&gt;A2610,100,0)</f>
        <v>1.9375</v>
      </c>
      <c r="D2609" s="33">
        <f>INDEX('ZCB Curve - Payment Dates'!$D$2:$D$246,MATCH(B2609,'ZCB Curve - Payment Dates'!$A$2:$A$246,0))</f>
        <v>0.95121018311627348</v>
      </c>
      <c r="E2609" s="32">
        <f t="shared" si="40"/>
        <v>1.8429697297877798</v>
      </c>
    </row>
    <row r="2610" spans="1:5" x14ac:dyDescent="0.25">
      <c r="A2610" s="17">
        <v>288</v>
      </c>
      <c r="B2610" s="31">
        <v>46888</v>
      </c>
      <c r="C2610" s="32">
        <f>INDEX('Input Data'!$B:$B,A2610)/2+IF(A2610&lt;&gt;A2611,100,0)</f>
        <v>1.9375</v>
      </c>
      <c r="D2610" s="33">
        <f>INDEX('ZCB Curve - Payment Dates'!$D$2:$D$246,MATCH(B2610,'ZCB Curve - Payment Dates'!$A$2:$A$246,0))</f>
        <v>0.93000025435083566</v>
      </c>
      <c r="E2610" s="32">
        <f t="shared" si="40"/>
        <v>1.801875492804744</v>
      </c>
    </row>
    <row r="2611" spans="1:5" x14ac:dyDescent="0.25">
      <c r="A2611" s="17">
        <v>288</v>
      </c>
      <c r="B2611" s="31">
        <v>47072</v>
      </c>
      <c r="C2611" s="32">
        <f>INDEX('Input Data'!$B:$B,A2611)/2+IF(A2611&lt;&gt;A2612,100,0)</f>
        <v>1.9375</v>
      </c>
      <c r="D2611" s="33">
        <f>INDEX('ZCB Curve - Payment Dates'!$D$2:$D$246,MATCH(B2611,'ZCB Curve - Payment Dates'!$A$2:$A$246,0))</f>
        <v>0.90870125167038918</v>
      </c>
      <c r="E2611" s="32">
        <f t="shared" si="40"/>
        <v>1.760608675111379</v>
      </c>
    </row>
    <row r="2612" spans="1:5" x14ac:dyDescent="0.25">
      <c r="A2612" s="17">
        <v>288</v>
      </c>
      <c r="B2612" s="31">
        <v>47253</v>
      </c>
      <c r="C2612" s="32">
        <f>INDEX('Input Data'!$B:$B,A2612)/2+IF(A2612&lt;&gt;A2613,100,0)</f>
        <v>1.9375</v>
      </c>
      <c r="D2612" s="33">
        <f>INDEX('ZCB Curve - Payment Dates'!$D$2:$D$246,MATCH(B2612,'ZCB Curve - Payment Dates'!$A$2:$A$246,0))</f>
        <v>0.88809325063638844</v>
      </c>
      <c r="E2612" s="32">
        <f t="shared" si="40"/>
        <v>1.7206806731080027</v>
      </c>
    </row>
    <row r="2613" spans="1:5" x14ac:dyDescent="0.25">
      <c r="A2613" s="17">
        <v>288</v>
      </c>
      <c r="B2613" s="31">
        <v>47437</v>
      </c>
      <c r="C2613" s="32">
        <f>INDEX('Input Data'!$B:$B,A2613)/2+IF(A2613&lt;&gt;A2614,100,0)</f>
        <v>1.9375</v>
      </c>
      <c r="D2613" s="33">
        <f>INDEX('ZCB Curve - Payment Dates'!$D$2:$D$246,MATCH(B2613,'ZCB Curve - Payment Dates'!$A$2:$A$246,0))</f>
        <v>0.86758824089536279</v>
      </c>
      <c r="E2613" s="32">
        <f t="shared" si="40"/>
        <v>1.6809522167347655</v>
      </c>
    </row>
    <row r="2614" spans="1:5" x14ac:dyDescent="0.25">
      <c r="A2614" s="17">
        <v>288</v>
      </c>
      <c r="B2614" s="31">
        <v>47618</v>
      </c>
      <c r="C2614" s="32">
        <f>INDEX('Input Data'!$B:$B,A2614)/2+IF(A2614&lt;&gt;A2615,100,0)</f>
        <v>1.9375</v>
      </c>
      <c r="D2614" s="33">
        <f>INDEX('ZCB Curve - Payment Dates'!$D$2:$D$246,MATCH(B2614,'ZCB Curve - Payment Dates'!$A$2:$A$246,0))</f>
        <v>0.84787416911783064</v>
      </c>
      <c r="E2614" s="32">
        <f t="shared" si="40"/>
        <v>1.6427562026657969</v>
      </c>
    </row>
    <row r="2615" spans="1:5" x14ac:dyDescent="0.25">
      <c r="A2615" s="17">
        <v>288</v>
      </c>
      <c r="B2615" s="31">
        <v>47802</v>
      </c>
      <c r="C2615" s="32">
        <f>INDEX('Input Data'!$B:$B,A2615)/2+IF(A2615&lt;&gt;A2616,100,0)</f>
        <v>1.9375</v>
      </c>
      <c r="D2615" s="33">
        <f>INDEX('ZCB Curve - Payment Dates'!$D$2:$D$246,MATCH(B2615,'ZCB Curve - Payment Dates'!$A$2:$A$246,0))</f>
        <v>0.82827715028796722</v>
      </c>
      <c r="E2615" s="32">
        <f t="shared" si="40"/>
        <v>1.6047869786829365</v>
      </c>
    </row>
    <row r="2616" spans="1:5" x14ac:dyDescent="0.25">
      <c r="A2616" s="17">
        <v>288</v>
      </c>
      <c r="B2616" s="31">
        <v>47983</v>
      </c>
      <c r="C2616" s="32">
        <f>INDEX('Input Data'!$B:$B,A2616)/2+IF(A2616&lt;&gt;A2617,100,0)</f>
        <v>1.9375</v>
      </c>
      <c r="D2616" s="33">
        <f>INDEX('ZCB Curve - Payment Dates'!$D$2:$D$246,MATCH(B2616,'ZCB Curve - Payment Dates'!$A$2:$A$246,0))</f>
        <v>0.80939067484273564</v>
      </c>
      <c r="E2616" s="32">
        <f t="shared" si="40"/>
        <v>1.5681944325078003</v>
      </c>
    </row>
    <row r="2617" spans="1:5" x14ac:dyDescent="0.25">
      <c r="A2617" s="17">
        <v>288</v>
      </c>
      <c r="B2617" s="31">
        <v>48167</v>
      </c>
      <c r="C2617" s="32">
        <f>INDEX('Input Data'!$B:$B,A2617)/2+IF(A2617&lt;&gt;A2618,100,0)</f>
        <v>1.9375</v>
      </c>
      <c r="D2617" s="33">
        <f>INDEX('ZCB Curve - Payment Dates'!$D$2:$D$246,MATCH(B2617,'ZCB Curve - Payment Dates'!$A$2:$A$246,0))</f>
        <v>0.79053567842581962</v>
      </c>
      <c r="E2617" s="32">
        <f t="shared" si="40"/>
        <v>1.5316628769500256</v>
      </c>
    </row>
    <row r="2618" spans="1:5" x14ac:dyDescent="0.25">
      <c r="A2618" s="17">
        <v>288</v>
      </c>
      <c r="B2618" s="31">
        <v>48349</v>
      </c>
      <c r="C2618" s="32">
        <f>INDEX('Input Data'!$B:$B,A2618)/2+IF(A2618&lt;&gt;A2619,100,0)</f>
        <v>1.9375</v>
      </c>
      <c r="D2618" s="33">
        <f>INDEX('ZCB Curve - Payment Dates'!$D$2:$D$246,MATCH(B2618,'ZCB Curve - Payment Dates'!$A$2:$A$246,0))</f>
        <v>0.77217305702007488</v>
      </c>
      <c r="E2618" s="32">
        <f t="shared" si="40"/>
        <v>1.496085297976395</v>
      </c>
    </row>
    <row r="2619" spans="1:5" x14ac:dyDescent="0.25">
      <c r="A2619" s="17">
        <v>288</v>
      </c>
      <c r="B2619" s="31">
        <v>48533</v>
      </c>
      <c r="C2619" s="32">
        <f>INDEX('Input Data'!$B:$B,A2619)/2+IF(A2619&lt;&gt;A2620,100,0)</f>
        <v>1.9375</v>
      </c>
      <c r="D2619" s="33">
        <f>INDEX('ZCB Curve - Payment Dates'!$D$2:$D$246,MATCH(B2619,'ZCB Curve - Payment Dates'!$A$2:$A$246,0))</f>
        <v>0.75384766072076514</v>
      </c>
      <c r="E2619" s="32">
        <f t="shared" si="40"/>
        <v>1.4605798426464824</v>
      </c>
    </row>
    <row r="2620" spans="1:5" x14ac:dyDescent="0.25">
      <c r="A2620" s="17">
        <v>288</v>
      </c>
      <c r="B2620" s="31">
        <v>48714</v>
      </c>
      <c r="C2620" s="32">
        <f>INDEX('Input Data'!$B:$B,A2620)/2+IF(A2620&lt;&gt;A2621,100,0)</f>
        <v>1.9375</v>
      </c>
      <c r="D2620" s="33">
        <f>INDEX('ZCB Curve - Payment Dates'!$D$2:$D$246,MATCH(B2620,'ZCB Curve - Payment Dates'!$A$2:$A$246,0))</f>
        <v>0.73601491848746747</v>
      </c>
      <c r="E2620" s="32">
        <f t="shared" si="40"/>
        <v>1.4260289045694683</v>
      </c>
    </row>
    <row r="2621" spans="1:5" x14ac:dyDescent="0.25">
      <c r="A2621" s="17">
        <v>288</v>
      </c>
      <c r="B2621" s="31">
        <v>48898</v>
      </c>
      <c r="C2621" s="32">
        <f>INDEX('Input Data'!$B:$B,A2621)/2+IF(A2621&lt;&gt;A2622,100,0)</f>
        <v>1.9375</v>
      </c>
      <c r="D2621" s="33">
        <f>INDEX('ZCB Curve - Payment Dates'!$D$2:$D$246,MATCH(B2621,'ZCB Curve - Payment Dates'!$A$2:$A$246,0))</f>
        <v>0.71805338140354003</v>
      </c>
      <c r="E2621" s="32">
        <f t="shared" si="40"/>
        <v>1.3912284264693588</v>
      </c>
    </row>
    <row r="2622" spans="1:5" x14ac:dyDescent="0.25">
      <c r="A2622" s="17">
        <v>288</v>
      </c>
      <c r="B2622" s="31">
        <v>49079</v>
      </c>
      <c r="C2622" s="32">
        <f>INDEX('Input Data'!$B:$B,A2622)/2+IF(A2622&lt;&gt;A2623,100,0)</f>
        <v>1.9375</v>
      </c>
      <c r="D2622" s="33">
        <f>INDEX('ZCB Curve - Payment Dates'!$D$2:$D$246,MATCH(B2622,'ZCB Curve - Payment Dates'!$A$2:$A$246,0))</f>
        <v>0.70052630492471468</v>
      </c>
      <c r="E2622" s="32">
        <f t="shared" si="40"/>
        <v>1.3572697157916347</v>
      </c>
    </row>
    <row r="2623" spans="1:5" x14ac:dyDescent="0.25">
      <c r="A2623" s="17">
        <v>288</v>
      </c>
      <c r="B2623" s="31">
        <v>49263</v>
      </c>
      <c r="C2623" s="32">
        <f>INDEX('Input Data'!$B:$B,A2623)/2+IF(A2623&lt;&gt;A2624,100,0)</f>
        <v>1.9375</v>
      </c>
      <c r="D2623" s="33">
        <f>INDEX('ZCB Curve - Payment Dates'!$D$2:$D$246,MATCH(B2623,'ZCB Curve - Payment Dates'!$A$2:$A$246,0))</f>
        <v>0.68284221202539863</v>
      </c>
      <c r="E2623" s="32">
        <f t="shared" si="40"/>
        <v>1.3230067857992098</v>
      </c>
    </row>
    <row r="2624" spans="1:5" x14ac:dyDescent="0.25">
      <c r="A2624" s="17">
        <v>288</v>
      </c>
      <c r="B2624" s="31">
        <v>49444</v>
      </c>
      <c r="C2624" s="32">
        <f>INDEX('Input Data'!$B:$B,A2624)/2+IF(A2624&lt;&gt;A2625,100,0)</f>
        <v>1.9375</v>
      </c>
      <c r="D2624" s="33">
        <f>INDEX('ZCB Curve - Payment Dates'!$D$2:$D$246,MATCH(B2624,'ZCB Curve - Payment Dates'!$A$2:$A$246,0))</f>
        <v>0.66557347415228496</v>
      </c>
      <c r="E2624" s="32">
        <f t="shared" si="40"/>
        <v>1.2895486061700521</v>
      </c>
    </row>
    <row r="2625" spans="1:5" x14ac:dyDescent="0.25">
      <c r="A2625" s="17">
        <v>288</v>
      </c>
      <c r="B2625" s="31">
        <v>49628</v>
      </c>
      <c r="C2625" s="32">
        <f>INDEX('Input Data'!$B:$B,A2625)/2+IF(A2625&lt;&gt;A2626,100,0)</f>
        <v>1.9375</v>
      </c>
      <c r="D2625" s="33">
        <f>INDEX('ZCB Curve - Payment Dates'!$D$2:$D$246,MATCH(B2625,'ZCB Curve - Payment Dates'!$A$2:$A$246,0))</f>
        <v>0.64815361918127823</v>
      </c>
      <c r="E2625" s="32">
        <f t="shared" si="40"/>
        <v>1.2557976371637265</v>
      </c>
    </row>
    <row r="2626" spans="1:5" x14ac:dyDescent="0.25">
      <c r="A2626" s="17">
        <v>288</v>
      </c>
      <c r="B2626" s="31">
        <v>49810</v>
      </c>
      <c r="C2626" s="32">
        <f>INDEX('Input Data'!$B:$B,A2626)/2+IF(A2626&lt;&gt;A2627,100,0)</f>
        <v>1.9375</v>
      </c>
      <c r="D2626" s="33">
        <f>INDEX('ZCB Curve - Payment Dates'!$D$2:$D$246,MATCH(B2626,'ZCB Curve - Payment Dates'!$A$2:$A$246,0))</f>
        <v>0.63106457078577471</v>
      </c>
      <c r="E2626" s="32">
        <f t="shared" ref="E2626:E2689" si="41">C2626*D2626</f>
        <v>1.2226876058974385</v>
      </c>
    </row>
    <row r="2627" spans="1:5" x14ac:dyDescent="0.25">
      <c r="A2627" s="17">
        <v>288</v>
      </c>
      <c r="B2627" s="31">
        <v>49994</v>
      </c>
      <c r="C2627" s="32">
        <f>INDEX('Input Data'!$B:$B,A2627)/2+IF(A2627&lt;&gt;A2628,100,0)</f>
        <v>1.9375</v>
      </c>
      <c r="D2627" s="33">
        <f>INDEX('ZCB Curve - Payment Dates'!$D$2:$D$246,MATCH(B2627,'ZCB Curve - Payment Dates'!$A$2:$A$246,0))</f>
        <v>0.61395227923184648</v>
      </c>
      <c r="E2627" s="32">
        <f t="shared" si="41"/>
        <v>1.1895325410117026</v>
      </c>
    </row>
    <row r="2628" spans="1:5" x14ac:dyDescent="0.25">
      <c r="A2628" s="17">
        <v>288</v>
      </c>
      <c r="B2628" s="31">
        <v>50175</v>
      </c>
      <c r="C2628" s="32">
        <f>INDEX('Input Data'!$B:$B,A2628)/2+IF(A2628&lt;&gt;A2629,100,0)</f>
        <v>1.9375</v>
      </c>
      <c r="D2628" s="33">
        <f>INDEX('ZCB Curve - Payment Dates'!$D$2:$D$246,MATCH(B2628,'ZCB Curve - Payment Dates'!$A$2:$A$246,0))</f>
        <v>0.5972963482314616</v>
      </c>
      <c r="E2628" s="32">
        <f t="shared" si="41"/>
        <v>1.1572616746984568</v>
      </c>
    </row>
    <row r="2629" spans="1:5" x14ac:dyDescent="0.25">
      <c r="A2629" s="17">
        <v>288</v>
      </c>
      <c r="B2629" s="31">
        <v>50359</v>
      </c>
      <c r="C2629" s="32">
        <f>INDEX('Input Data'!$B:$B,A2629)/2+IF(A2629&lt;&gt;A2630,100,0)</f>
        <v>1.9375</v>
      </c>
      <c r="D2629" s="33">
        <f>INDEX('ZCB Curve - Payment Dates'!$D$2:$D$246,MATCH(B2629,'ZCB Curve - Payment Dates'!$A$2:$A$246,0))</f>
        <v>0.58056812006155756</v>
      </c>
      <c r="E2629" s="32">
        <f t="shared" si="41"/>
        <v>1.1248507326192678</v>
      </c>
    </row>
    <row r="2630" spans="1:5" x14ac:dyDescent="0.25">
      <c r="A2630" s="17">
        <v>288</v>
      </c>
      <c r="B2630" s="31">
        <v>50540</v>
      </c>
      <c r="C2630" s="32">
        <f>INDEX('Input Data'!$B:$B,A2630)/2+IF(A2630&lt;&gt;A2631,100,0)</f>
        <v>1.9375</v>
      </c>
      <c r="D2630" s="33">
        <f>INDEX('ZCB Curve - Payment Dates'!$D$2:$D$246,MATCH(B2630,'ZCB Curve - Payment Dates'!$A$2:$A$246,0))</f>
        <v>0.56433491315969797</v>
      </c>
      <c r="E2630" s="32">
        <f t="shared" si="41"/>
        <v>1.0933988942469148</v>
      </c>
    </row>
    <row r="2631" spans="1:5" x14ac:dyDescent="0.25">
      <c r="A2631" s="17">
        <v>288</v>
      </c>
      <c r="B2631" s="31">
        <v>50724</v>
      </c>
      <c r="C2631" s="32">
        <f>INDEX('Input Data'!$B:$B,A2631)/2+IF(A2631&lt;&gt;A2632,100,0)</f>
        <v>1.9375</v>
      </c>
      <c r="D2631" s="33">
        <f>INDEX('ZCB Curve - Payment Dates'!$D$2:$D$246,MATCH(B2631,'ZCB Curve - Payment Dates'!$A$2:$A$246,0))</f>
        <v>0.54808398139057424</v>
      </c>
      <c r="E2631" s="32">
        <f t="shared" si="41"/>
        <v>1.0619127139442375</v>
      </c>
    </row>
    <row r="2632" spans="1:5" x14ac:dyDescent="0.25">
      <c r="A2632" s="17">
        <v>288</v>
      </c>
      <c r="B2632" s="31">
        <v>50905</v>
      </c>
      <c r="C2632" s="32">
        <f>INDEX('Input Data'!$B:$B,A2632)/2+IF(A2632&lt;&gt;A2633,100,0)</f>
        <v>1.9375</v>
      </c>
      <c r="D2632" s="33">
        <f>INDEX('ZCB Curve - Payment Dates'!$D$2:$D$246,MATCH(B2632,'ZCB Curve - Payment Dates'!$A$2:$A$246,0))</f>
        <v>0.5323673246083096</v>
      </c>
      <c r="E2632" s="32">
        <f t="shared" si="41"/>
        <v>1.0314616914285999</v>
      </c>
    </row>
    <row r="2633" spans="1:5" x14ac:dyDescent="0.25">
      <c r="A2633" s="17">
        <v>288</v>
      </c>
      <c r="B2633" s="31">
        <v>51089</v>
      </c>
      <c r="C2633" s="32">
        <f>INDEX('Input Data'!$B:$B,A2633)/2+IF(A2633&lt;&gt;A2634,100,0)</f>
        <v>1.9375</v>
      </c>
      <c r="D2633" s="33">
        <f>INDEX('ZCB Curve - Payment Dates'!$D$2:$D$246,MATCH(B2633,'ZCB Curve - Payment Dates'!$A$2:$A$246,0))</f>
        <v>0.51668806431098135</v>
      </c>
      <c r="E2633" s="32">
        <f t="shared" si="41"/>
        <v>1.0010831246025265</v>
      </c>
    </row>
    <row r="2634" spans="1:5" x14ac:dyDescent="0.25">
      <c r="A2634" s="17">
        <v>288</v>
      </c>
      <c r="B2634" s="31">
        <v>51271</v>
      </c>
      <c r="C2634" s="32">
        <f>INDEX('Input Data'!$B:$B,A2634)/2+IF(A2634&lt;&gt;A2635,100,0)</f>
        <v>1.9375</v>
      </c>
      <c r="D2634" s="33">
        <f>INDEX('ZCB Curve - Payment Dates'!$D$2:$D$246,MATCH(B2634,'ZCB Curve - Payment Dates'!$A$2:$A$246,0))</f>
        <v>0.50149590020417278</v>
      </c>
      <c r="E2634" s="32">
        <f t="shared" si="41"/>
        <v>0.97164830664558477</v>
      </c>
    </row>
    <row r="2635" spans="1:5" x14ac:dyDescent="0.25">
      <c r="A2635" s="17">
        <v>288</v>
      </c>
      <c r="B2635" s="31">
        <v>51455</v>
      </c>
      <c r="C2635" s="32">
        <f>INDEX('Input Data'!$B:$B,A2635)/2+IF(A2635&lt;&gt;A2636,100,0)</f>
        <v>1.9375</v>
      </c>
      <c r="D2635" s="33">
        <f>INDEX('ZCB Curve - Payment Dates'!$D$2:$D$246,MATCH(B2635,'ZCB Curve - Payment Dates'!$A$2:$A$246,0))</f>
        <v>0.48647538074270091</v>
      </c>
      <c r="E2635" s="32">
        <f t="shared" si="41"/>
        <v>0.94254605018898308</v>
      </c>
    </row>
    <row r="2636" spans="1:5" x14ac:dyDescent="0.25">
      <c r="A2636" s="17">
        <v>288</v>
      </c>
      <c r="B2636" s="31">
        <v>51636</v>
      </c>
      <c r="C2636" s="32">
        <f>INDEX('Input Data'!$B:$B,A2636)/2+IF(A2636&lt;&gt;A2637,100,0)</f>
        <v>1.9375</v>
      </c>
      <c r="D2636" s="33">
        <f>INDEX('ZCB Curve - Payment Dates'!$D$2:$D$246,MATCH(B2636,'ZCB Curve - Payment Dates'!$A$2:$A$246,0))</f>
        <v>0.47204918703719451</v>
      </c>
      <c r="E2636" s="32">
        <f t="shared" si="41"/>
        <v>0.91459529988456434</v>
      </c>
    </row>
    <row r="2637" spans="1:5" x14ac:dyDescent="0.25">
      <c r="A2637" s="17">
        <v>288</v>
      </c>
      <c r="B2637" s="31">
        <v>51820</v>
      </c>
      <c r="C2637" s="32">
        <f>INDEX('Input Data'!$B:$B,A2637)/2+IF(A2637&lt;&gt;A2638,100,0)</f>
        <v>1.9375</v>
      </c>
      <c r="D2637" s="33">
        <f>INDEX('ZCB Curve - Payment Dates'!$D$2:$D$246,MATCH(B2637,'ZCB Curve - Payment Dates'!$A$2:$A$246,0))</f>
        <v>0.45775548669345245</v>
      </c>
      <c r="E2637" s="32">
        <f t="shared" si="41"/>
        <v>0.88690125546856413</v>
      </c>
    </row>
    <row r="2638" spans="1:5" x14ac:dyDescent="0.25">
      <c r="A2638" s="17">
        <v>288</v>
      </c>
      <c r="B2638" s="31">
        <v>52001</v>
      </c>
      <c r="C2638" s="32">
        <f>INDEX('Input Data'!$B:$B,A2638)/2+IF(A2638&lt;&gt;A2639,100,0)</f>
        <v>1.9375</v>
      </c>
      <c r="D2638" s="33">
        <f>INDEX('ZCB Curve - Payment Dates'!$D$2:$D$246,MATCH(B2638,'ZCB Curve - Payment Dates'!$A$2:$A$246,0))</f>
        <v>0.44407192118484318</v>
      </c>
      <c r="E2638" s="32">
        <f t="shared" si="41"/>
        <v>0.86038934729563366</v>
      </c>
    </row>
    <row r="2639" spans="1:5" x14ac:dyDescent="0.25">
      <c r="A2639" s="17">
        <v>288</v>
      </c>
      <c r="B2639" s="31">
        <v>52185</v>
      </c>
      <c r="C2639" s="32">
        <f>INDEX('Input Data'!$B:$B,A2639)/2+IF(A2639&lt;&gt;A2640,100,0)</f>
        <v>1.9375</v>
      </c>
      <c r="D2639" s="33">
        <f>INDEX('ZCB Curve - Payment Dates'!$D$2:$D$246,MATCH(B2639,'ZCB Curve - Payment Dates'!$A$2:$A$246,0))</f>
        <v>0.43055647946672393</v>
      </c>
      <c r="E2639" s="32">
        <f t="shared" si="41"/>
        <v>0.83420317896677765</v>
      </c>
    </row>
    <row r="2640" spans="1:5" x14ac:dyDescent="0.25">
      <c r="A2640" s="17">
        <v>288</v>
      </c>
      <c r="B2640" s="31">
        <v>52366</v>
      </c>
      <c r="C2640" s="32">
        <f>INDEX('Input Data'!$B:$B,A2640)/2+IF(A2640&lt;&gt;A2641,100,0)</f>
        <v>101.9375</v>
      </c>
      <c r="D2640" s="33">
        <f>INDEX('ZCB Curve - Payment Dates'!$D$2:$D$246,MATCH(B2640,'ZCB Curve - Payment Dates'!$A$2:$A$246,0))</f>
        <v>0.41765686229470528</v>
      </c>
      <c r="E2640" s="32">
        <f t="shared" si="41"/>
        <v>42.574896400166516</v>
      </c>
    </row>
    <row r="2641" spans="1:5" x14ac:dyDescent="0.25">
      <c r="A2641" s="17">
        <v>289</v>
      </c>
      <c r="B2641" s="31">
        <v>46433</v>
      </c>
      <c r="C2641" s="32">
        <f>INDEX('Input Data'!$B:$B,A2641)/2+IF(A2641&lt;&gt;A2642,100,0)</f>
        <v>1.8125</v>
      </c>
      <c r="D2641" s="33">
        <f>INDEX('ZCB Curve - Payment Dates'!$D$2:$D$246,MATCH(B2641,'ZCB Curve - Payment Dates'!$A$2:$A$246,0))</f>
        <v>0.98242671792446301</v>
      </c>
      <c r="E2641" s="32">
        <f t="shared" si="41"/>
        <v>1.7806484262380893</v>
      </c>
    </row>
    <row r="2642" spans="1:5" x14ac:dyDescent="0.25">
      <c r="A2642" s="17">
        <v>289</v>
      </c>
      <c r="B2642" s="31">
        <v>46614</v>
      </c>
      <c r="C2642" s="32">
        <f>INDEX('Input Data'!$B:$B,A2642)/2+IF(A2642&lt;&gt;A2643,100,0)</f>
        <v>1.8125</v>
      </c>
      <c r="D2642" s="33">
        <f>INDEX('ZCB Curve - Payment Dates'!$D$2:$D$246,MATCH(B2642,'ZCB Curve - Payment Dates'!$A$2:$A$246,0))</f>
        <v>0.96187948164765535</v>
      </c>
      <c r="E2642" s="32">
        <f t="shared" si="41"/>
        <v>1.7434065604863753</v>
      </c>
    </row>
    <row r="2643" spans="1:5" x14ac:dyDescent="0.25">
      <c r="A2643" s="17">
        <v>289</v>
      </c>
      <c r="B2643" s="31">
        <v>46798</v>
      </c>
      <c r="C2643" s="32">
        <f>INDEX('Input Data'!$B:$B,A2643)/2+IF(A2643&lt;&gt;A2644,100,0)</f>
        <v>1.8125</v>
      </c>
      <c r="D2643" s="33">
        <f>INDEX('ZCB Curve - Payment Dates'!$D$2:$D$246,MATCH(B2643,'ZCB Curve - Payment Dates'!$A$2:$A$246,0))</f>
        <v>0.94049096132648802</v>
      </c>
      <c r="E2643" s="32">
        <f t="shared" si="41"/>
        <v>1.7046398674042595</v>
      </c>
    </row>
    <row r="2644" spans="1:5" x14ac:dyDescent="0.25">
      <c r="A2644" s="17">
        <v>289</v>
      </c>
      <c r="B2644" s="31">
        <v>46980</v>
      </c>
      <c r="C2644" s="32">
        <f>INDEX('Input Data'!$B:$B,A2644)/2+IF(A2644&lt;&gt;A2645,100,0)</f>
        <v>1.8125</v>
      </c>
      <c r="D2644" s="33">
        <f>INDEX('ZCB Curve - Payment Dates'!$D$2:$D$246,MATCH(B2644,'ZCB Curve - Payment Dates'!$A$2:$A$246,0))</f>
        <v>0.91931844130238327</v>
      </c>
      <c r="E2644" s="32">
        <f t="shared" si="41"/>
        <v>1.6662646748605696</v>
      </c>
    </row>
    <row r="2645" spans="1:5" x14ac:dyDescent="0.25">
      <c r="A2645" s="17">
        <v>289</v>
      </c>
      <c r="B2645" s="31">
        <v>47164</v>
      </c>
      <c r="C2645" s="32">
        <f>INDEX('Input Data'!$B:$B,A2645)/2+IF(A2645&lt;&gt;A2646,100,0)</f>
        <v>1.8125</v>
      </c>
      <c r="D2645" s="33">
        <f>INDEX('ZCB Curve - Payment Dates'!$D$2:$D$246,MATCH(B2645,'ZCB Curve - Payment Dates'!$A$2:$A$246,0))</f>
        <v>0.89817430058086534</v>
      </c>
      <c r="E2645" s="32">
        <f t="shared" si="41"/>
        <v>1.6279409198028185</v>
      </c>
    </row>
    <row r="2646" spans="1:5" x14ac:dyDescent="0.25">
      <c r="A2646" s="17">
        <v>289</v>
      </c>
      <c r="B2646" s="31">
        <v>47345</v>
      </c>
      <c r="C2646" s="32">
        <f>INDEX('Input Data'!$B:$B,A2646)/2+IF(A2646&lt;&gt;A2647,100,0)</f>
        <v>1.8125</v>
      </c>
      <c r="D2646" s="33">
        <f>INDEX('ZCB Curve - Payment Dates'!$D$2:$D$246,MATCH(B2646,'ZCB Curve - Payment Dates'!$A$2:$A$246,0))</f>
        <v>0.87778421628860481</v>
      </c>
      <c r="E2646" s="32">
        <f t="shared" si="41"/>
        <v>1.5909838920230963</v>
      </c>
    </row>
    <row r="2647" spans="1:5" x14ac:dyDescent="0.25">
      <c r="A2647" s="17">
        <v>289</v>
      </c>
      <c r="B2647" s="31">
        <v>47529</v>
      </c>
      <c r="C2647" s="32">
        <f>INDEX('Input Data'!$B:$B,A2647)/2+IF(A2647&lt;&gt;A2648,100,0)</f>
        <v>1.8125</v>
      </c>
      <c r="D2647" s="33">
        <f>INDEX('ZCB Curve - Payment Dates'!$D$2:$D$246,MATCH(B2647,'ZCB Curve - Payment Dates'!$A$2:$A$246,0))</f>
        <v>0.85751015570959666</v>
      </c>
      <c r="E2647" s="32">
        <f t="shared" si="41"/>
        <v>1.554237157223644</v>
      </c>
    </row>
    <row r="2648" spans="1:5" x14ac:dyDescent="0.25">
      <c r="A2648" s="17">
        <v>289</v>
      </c>
      <c r="B2648" s="31">
        <v>47710</v>
      </c>
      <c r="C2648" s="32">
        <f>INDEX('Input Data'!$B:$B,A2648)/2+IF(A2648&lt;&gt;A2649,100,0)</f>
        <v>1.8125</v>
      </c>
      <c r="D2648" s="33">
        <f>INDEX('ZCB Curve - Payment Dates'!$D$2:$D$246,MATCH(B2648,'ZCB Curve - Payment Dates'!$A$2:$A$246,0))</f>
        <v>0.83802423748211174</v>
      </c>
      <c r="E2648" s="32">
        <f t="shared" si="41"/>
        <v>1.5189189304363275</v>
      </c>
    </row>
    <row r="2649" spans="1:5" x14ac:dyDescent="0.25">
      <c r="A2649" s="17">
        <v>289</v>
      </c>
      <c r="B2649" s="31">
        <v>47894</v>
      </c>
      <c r="C2649" s="32">
        <f>INDEX('Input Data'!$B:$B,A2649)/2+IF(A2649&lt;&gt;A2650,100,0)</f>
        <v>1.8125</v>
      </c>
      <c r="D2649" s="33">
        <f>INDEX('ZCB Curve - Payment Dates'!$D$2:$D$246,MATCH(B2649,'ZCB Curve - Payment Dates'!$A$2:$A$246,0))</f>
        <v>0.8186305474741673</v>
      </c>
      <c r="E2649" s="32">
        <f t="shared" si="41"/>
        <v>1.4837678672969283</v>
      </c>
    </row>
    <row r="2650" spans="1:5" x14ac:dyDescent="0.25">
      <c r="A2650" s="17">
        <v>289</v>
      </c>
      <c r="B2650" s="31">
        <v>48075</v>
      </c>
      <c r="C2650" s="32">
        <f>INDEX('Input Data'!$B:$B,A2650)/2+IF(A2650&lt;&gt;A2651,100,0)</f>
        <v>1.8125</v>
      </c>
      <c r="D2650" s="33">
        <f>INDEX('ZCB Curve - Payment Dates'!$D$2:$D$246,MATCH(B2650,'ZCB Curve - Payment Dates'!$A$2:$A$246,0))</f>
        <v>0.7999252334775927</v>
      </c>
      <c r="E2650" s="32">
        <f t="shared" si="41"/>
        <v>1.4498644856781369</v>
      </c>
    </row>
    <row r="2651" spans="1:5" x14ac:dyDescent="0.25">
      <c r="A2651" s="17">
        <v>289</v>
      </c>
      <c r="B2651" s="31">
        <v>48259</v>
      </c>
      <c r="C2651" s="32">
        <f>INDEX('Input Data'!$B:$B,A2651)/2+IF(A2651&lt;&gt;A2652,100,0)</f>
        <v>1.8125</v>
      </c>
      <c r="D2651" s="33">
        <f>INDEX('ZCB Curve - Payment Dates'!$D$2:$D$246,MATCH(B2651,'ZCB Curve - Payment Dates'!$A$2:$A$246,0))</f>
        <v>0.78121887027612602</v>
      </c>
      <c r="E2651" s="32">
        <f t="shared" si="41"/>
        <v>1.4159592023754783</v>
      </c>
    </row>
    <row r="2652" spans="1:5" x14ac:dyDescent="0.25">
      <c r="A2652" s="17">
        <v>289</v>
      </c>
      <c r="B2652" s="31">
        <v>48441</v>
      </c>
      <c r="C2652" s="32">
        <f>INDEX('Input Data'!$B:$B,A2652)/2+IF(A2652&lt;&gt;A2653,100,0)</f>
        <v>1.8125</v>
      </c>
      <c r="D2652" s="33">
        <f>INDEX('ZCB Curve - Payment Dates'!$D$2:$D$246,MATCH(B2652,'ZCB Curve - Payment Dates'!$A$2:$A$246,0))</f>
        <v>0.76298123459017864</v>
      </c>
      <c r="E2652" s="32">
        <f t="shared" si="41"/>
        <v>1.3829034876946988</v>
      </c>
    </row>
    <row r="2653" spans="1:5" x14ac:dyDescent="0.25">
      <c r="A2653" s="17">
        <v>289</v>
      </c>
      <c r="B2653" s="31">
        <v>48625</v>
      </c>
      <c r="C2653" s="32">
        <f>INDEX('Input Data'!$B:$B,A2653)/2+IF(A2653&lt;&gt;A2654,100,0)</f>
        <v>1.8125</v>
      </c>
      <c r="D2653" s="33">
        <f>INDEX('ZCB Curve - Payment Dates'!$D$2:$D$246,MATCH(B2653,'ZCB Curve - Payment Dates'!$A$2:$A$246,0))</f>
        <v>0.74476011611938586</v>
      </c>
      <c r="E2653" s="32">
        <f t="shared" si="41"/>
        <v>1.3498777104663868</v>
      </c>
    </row>
    <row r="2654" spans="1:5" x14ac:dyDescent="0.25">
      <c r="A2654" s="17">
        <v>289</v>
      </c>
      <c r="B2654" s="31">
        <v>48806</v>
      </c>
      <c r="C2654" s="32">
        <f>INDEX('Input Data'!$B:$B,A2654)/2+IF(A2654&lt;&gt;A2655,100,0)</f>
        <v>1.8125</v>
      </c>
      <c r="D2654" s="33">
        <f>INDEX('ZCB Curve - Payment Dates'!$D$2:$D$246,MATCH(B2654,'ZCB Curve - Payment Dates'!$A$2:$A$246,0))</f>
        <v>0.72701302496114584</v>
      </c>
      <c r="E2654" s="32">
        <f t="shared" si="41"/>
        <v>1.3177111077420769</v>
      </c>
    </row>
    <row r="2655" spans="1:5" x14ac:dyDescent="0.25">
      <c r="A2655" s="17">
        <v>289</v>
      </c>
      <c r="B2655" s="31">
        <v>48990</v>
      </c>
      <c r="C2655" s="32">
        <f>INDEX('Input Data'!$B:$B,A2655)/2+IF(A2655&lt;&gt;A2656,100,0)</f>
        <v>1.8125</v>
      </c>
      <c r="D2655" s="33">
        <f>INDEX('ZCB Curve - Payment Dates'!$D$2:$D$246,MATCH(B2655,'ZCB Curve - Payment Dates'!$A$2:$A$246,0))</f>
        <v>0.70912647031380449</v>
      </c>
      <c r="E2655" s="32">
        <f t="shared" si="41"/>
        <v>1.2852917274437707</v>
      </c>
    </row>
    <row r="2656" spans="1:5" x14ac:dyDescent="0.25">
      <c r="A2656" s="17">
        <v>289</v>
      </c>
      <c r="B2656" s="31">
        <v>49171</v>
      </c>
      <c r="C2656" s="32">
        <f>INDEX('Input Data'!$B:$B,A2656)/2+IF(A2656&lt;&gt;A2657,100,0)</f>
        <v>1.8125</v>
      </c>
      <c r="D2656" s="33">
        <f>INDEX('ZCB Curve - Payment Dates'!$D$2:$D$246,MATCH(B2656,'ZCB Curve - Payment Dates'!$A$2:$A$246,0))</f>
        <v>0.6916661505723215</v>
      </c>
      <c r="E2656" s="32">
        <f t="shared" si="41"/>
        <v>1.2536448979123327</v>
      </c>
    </row>
    <row r="2657" spans="1:5" x14ac:dyDescent="0.25">
      <c r="A2657" s="17">
        <v>289</v>
      </c>
      <c r="B2657" s="31">
        <v>49355</v>
      </c>
      <c r="C2657" s="32">
        <f>INDEX('Input Data'!$B:$B,A2657)/2+IF(A2657&lt;&gt;A2658,100,0)</f>
        <v>1.8125</v>
      </c>
      <c r="D2657" s="33">
        <f>INDEX('ZCB Curve - Payment Dates'!$D$2:$D$246,MATCH(B2657,'ZCB Curve - Payment Dates'!$A$2:$A$246,0))</f>
        <v>0.674047377898778</v>
      </c>
      <c r="E2657" s="32">
        <f t="shared" si="41"/>
        <v>1.2217108724415351</v>
      </c>
    </row>
    <row r="2658" spans="1:5" x14ac:dyDescent="0.25">
      <c r="A2658" s="17">
        <v>289</v>
      </c>
      <c r="B2658" s="31">
        <v>49536</v>
      </c>
      <c r="C2658" s="32">
        <f>INDEX('Input Data'!$B:$B,A2658)/2+IF(A2658&lt;&gt;A2659,100,0)</f>
        <v>1.8125</v>
      </c>
      <c r="D2658" s="33">
        <f>INDEX('ZCB Curve - Payment Dates'!$D$2:$D$246,MATCH(B2658,'ZCB Curve - Payment Dates'!$A$2:$A$246,0))</f>
        <v>0.65684432300638129</v>
      </c>
      <c r="E2658" s="32">
        <f t="shared" si="41"/>
        <v>1.1905303354490662</v>
      </c>
    </row>
    <row r="2659" spans="1:5" x14ac:dyDescent="0.25">
      <c r="A2659" s="17">
        <v>289</v>
      </c>
      <c r="B2659" s="31">
        <v>49720</v>
      </c>
      <c r="C2659" s="32">
        <f>INDEX('Input Data'!$B:$B,A2659)/2+IF(A2659&lt;&gt;A2660,100,0)</f>
        <v>1.8125</v>
      </c>
      <c r="D2659" s="33">
        <f>INDEX('ZCB Curve - Payment Dates'!$D$2:$D$246,MATCH(B2659,'ZCB Curve - Payment Dates'!$A$2:$A$246,0))</f>
        <v>0.63949604524993764</v>
      </c>
      <c r="E2659" s="32">
        <f t="shared" si="41"/>
        <v>1.1590865820155121</v>
      </c>
    </row>
    <row r="2660" spans="1:5" x14ac:dyDescent="0.25">
      <c r="A2660" s="17">
        <v>289</v>
      </c>
      <c r="B2660" s="31">
        <v>49902</v>
      </c>
      <c r="C2660" s="32">
        <f>INDEX('Input Data'!$B:$B,A2660)/2+IF(A2660&lt;&gt;A2661,100,0)</f>
        <v>1.8125</v>
      </c>
      <c r="D2660" s="33">
        <f>INDEX('ZCB Curve - Payment Dates'!$D$2:$D$246,MATCH(B2660,'ZCB Curve - Payment Dates'!$A$2:$A$246,0))</f>
        <v>0.62248862376822711</v>
      </c>
      <c r="E2660" s="32">
        <f t="shared" si="41"/>
        <v>1.1282606305799117</v>
      </c>
    </row>
    <row r="2661" spans="1:5" x14ac:dyDescent="0.25">
      <c r="A2661" s="17">
        <v>289</v>
      </c>
      <c r="B2661" s="31">
        <v>50086</v>
      </c>
      <c r="C2661" s="32">
        <f>INDEX('Input Data'!$B:$B,A2661)/2+IF(A2661&lt;&gt;A2662,100,0)</f>
        <v>1.8125</v>
      </c>
      <c r="D2661" s="33">
        <f>INDEX('ZCB Curve - Payment Dates'!$D$2:$D$246,MATCH(B2661,'ZCB Curve - Payment Dates'!$A$2:$A$246,0))</f>
        <v>0.60546490876014969</v>
      </c>
      <c r="E2661" s="32">
        <f t="shared" si="41"/>
        <v>1.0974051471277713</v>
      </c>
    </row>
    <row r="2662" spans="1:5" x14ac:dyDescent="0.25">
      <c r="A2662" s="17">
        <v>289</v>
      </c>
      <c r="B2662" s="31">
        <v>50267</v>
      </c>
      <c r="C2662" s="32">
        <f>INDEX('Input Data'!$B:$B,A2662)/2+IF(A2662&lt;&gt;A2663,100,0)</f>
        <v>1.8125</v>
      </c>
      <c r="D2662" s="33">
        <f>INDEX('ZCB Curve - Payment Dates'!$D$2:$D$246,MATCH(B2662,'ZCB Curve - Payment Dates'!$A$2:$A$246,0))</f>
        <v>0.58890683803346977</v>
      </c>
      <c r="E2662" s="32">
        <f t="shared" si="41"/>
        <v>1.0673936439356639</v>
      </c>
    </row>
    <row r="2663" spans="1:5" x14ac:dyDescent="0.25">
      <c r="A2663" s="17">
        <v>289</v>
      </c>
      <c r="B2663" s="31">
        <v>50451</v>
      </c>
      <c r="C2663" s="32">
        <f>INDEX('Input Data'!$B:$B,A2663)/2+IF(A2663&lt;&gt;A2664,100,0)</f>
        <v>1.8125</v>
      </c>
      <c r="D2663" s="33">
        <f>INDEX('ZCB Curve - Payment Dates'!$D$2:$D$246,MATCH(B2663,'ZCB Curve - Payment Dates'!$A$2:$A$246,0))</f>
        <v>0.57228983695479263</v>
      </c>
      <c r="E2663" s="32">
        <f t="shared" si="41"/>
        <v>1.0372753294805617</v>
      </c>
    </row>
    <row r="2664" spans="1:5" x14ac:dyDescent="0.25">
      <c r="A2664" s="17">
        <v>289</v>
      </c>
      <c r="B2664" s="31">
        <v>50632</v>
      </c>
      <c r="C2664" s="32">
        <f>INDEX('Input Data'!$B:$B,A2664)/2+IF(A2664&lt;&gt;A2665,100,0)</f>
        <v>1.8125</v>
      </c>
      <c r="D2664" s="33">
        <f>INDEX('ZCB Curve - Payment Dates'!$D$2:$D$246,MATCH(B2664,'ZCB Curve - Payment Dates'!$A$2:$A$246,0))</f>
        <v>0.55617795699202288</v>
      </c>
      <c r="E2664" s="32">
        <f t="shared" si="41"/>
        <v>1.0080725470480414</v>
      </c>
    </row>
    <row r="2665" spans="1:5" x14ac:dyDescent="0.25">
      <c r="A2665" s="17">
        <v>289</v>
      </c>
      <c r="B2665" s="31">
        <v>50816</v>
      </c>
      <c r="C2665" s="32">
        <f>INDEX('Input Data'!$B:$B,A2665)/2+IF(A2665&lt;&gt;A2666,100,0)</f>
        <v>1.8125</v>
      </c>
      <c r="D2665" s="33">
        <f>INDEX('ZCB Curve - Payment Dates'!$D$2:$D$246,MATCH(B2665,'ZCB Curve - Payment Dates'!$A$2:$A$246,0))</f>
        <v>0.54006240951211237</v>
      </c>
      <c r="E2665" s="32">
        <f t="shared" si="41"/>
        <v>0.97886311724070363</v>
      </c>
    </row>
    <row r="2666" spans="1:5" x14ac:dyDescent="0.25">
      <c r="A2666" s="17">
        <v>289</v>
      </c>
      <c r="B2666" s="31">
        <v>50997</v>
      </c>
      <c r="C2666" s="32">
        <f>INDEX('Input Data'!$B:$B,A2666)/2+IF(A2666&lt;&gt;A2667,100,0)</f>
        <v>1.8125</v>
      </c>
      <c r="D2666" s="33">
        <f>INDEX('ZCB Curve - Payment Dates'!$D$2:$D$246,MATCH(B2666,'ZCB Curve - Payment Dates'!$A$2:$A$246,0))</f>
        <v>0.52449040173194583</v>
      </c>
      <c r="E2666" s="32">
        <f t="shared" si="41"/>
        <v>0.95063885313915186</v>
      </c>
    </row>
    <row r="2667" spans="1:5" x14ac:dyDescent="0.25">
      <c r="A2667" s="17">
        <v>289</v>
      </c>
      <c r="B2667" s="31">
        <v>51181</v>
      </c>
      <c r="C2667" s="32">
        <f>INDEX('Input Data'!$B:$B,A2667)/2+IF(A2667&lt;&gt;A2668,100,0)</f>
        <v>1.8125</v>
      </c>
      <c r="D2667" s="33">
        <f>INDEX('ZCB Curve - Payment Dates'!$D$2:$D$246,MATCH(B2667,'ZCB Curve - Payment Dates'!$A$2:$A$246,0))</f>
        <v>0.5089691698468306</v>
      </c>
      <c r="E2667" s="32">
        <f t="shared" si="41"/>
        <v>0.92250662034738051</v>
      </c>
    </row>
    <row r="2668" spans="1:5" x14ac:dyDescent="0.25">
      <c r="A2668" s="17">
        <v>289</v>
      </c>
      <c r="B2668" s="31">
        <v>51363</v>
      </c>
      <c r="C2668" s="32">
        <f>INDEX('Input Data'!$B:$B,A2668)/2+IF(A2668&lt;&gt;A2669,100,0)</f>
        <v>1.8125</v>
      </c>
      <c r="D2668" s="33">
        <f>INDEX('ZCB Curve - Payment Dates'!$D$2:$D$246,MATCH(B2668,'ZCB Curve - Payment Dates'!$A$2:$A$246,0))</f>
        <v>0.49394036022330806</v>
      </c>
      <c r="E2668" s="32">
        <f t="shared" si="41"/>
        <v>0.89526690290474586</v>
      </c>
    </row>
    <row r="2669" spans="1:5" x14ac:dyDescent="0.25">
      <c r="A2669" s="17">
        <v>289</v>
      </c>
      <c r="B2669" s="31">
        <v>51547</v>
      </c>
      <c r="C2669" s="32">
        <f>INDEX('Input Data'!$B:$B,A2669)/2+IF(A2669&lt;&gt;A2670,100,0)</f>
        <v>1.8125</v>
      </c>
      <c r="D2669" s="33">
        <f>INDEX('ZCB Curve - Payment Dates'!$D$2:$D$246,MATCH(B2669,'ZCB Curve - Payment Dates'!$A$2:$A$246,0))</f>
        <v>0.47909718957588998</v>
      </c>
      <c r="E2669" s="32">
        <f t="shared" si="41"/>
        <v>0.86836365610630062</v>
      </c>
    </row>
    <row r="2670" spans="1:5" x14ac:dyDescent="0.25">
      <c r="A2670" s="17">
        <v>289</v>
      </c>
      <c r="B2670" s="31">
        <v>51728</v>
      </c>
      <c r="C2670" s="32">
        <f>INDEX('Input Data'!$B:$B,A2670)/2+IF(A2670&lt;&gt;A2671,100,0)</f>
        <v>1.8125</v>
      </c>
      <c r="D2670" s="33">
        <f>INDEX('ZCB Curve - Payment Dates'!$D$2:$D$246,MATCH(B2670,'ZCB Curve - Payment Dates'!$A$2:$A$246,0))</f>
        <v>0.46485329459616059</v>
      </c>
      <c r="E2670" s="32">
        <f t="shared" si="41"/>
        <v>0.84254659645554109</v>
      </c>
    </row>
    <row r="2671" spans="1:5" x14ac:dyDescent="0.25">
      <c r="A2671" s="17">
        <v>289</v>
      </c>
      <c r="B2671" s="31">
        <v>51912</v>
      </c>
      <c r="C2671" s="32">
        <f>INDEX('Input Data'!$B:$B,A2671)/2+IF(A2671&lt;&gt;A2672,100,0)</f>
        <v>1.8125</v>
      </c>
      <c r="D2671" s="33">
        <f>INDEX('ZCB Curve - Payment Dates'!$D$2:$D$246,MATCH(B2671,'ZCB Curve - Payment Dates'!$A$2:$A$246,0))</f>
        <v>0.45075168915212815</v>
      </c>
      <c r="E2671" s="32">
        <f t="shared" si="41"/>
        <v>0.81698743658823225</v>
      </c>
    </row>
    <row r="2672" spans="1:5" x14ac:dyDescent="0.25">
      <c r="A2672" s="17">
        <v>289</v>
      </c>
      <c r="B2672" s="31">
        <v>52093</v>
      </c>
      <c r="C2672" s="32">
        <f>INDEX('Input Data'!$B:$B,A2672)/2+IF(A2672&lt;&gt;A2673,100,0)</f>
        <v>1.8125</v>
      </c>
      <c r="D2672" s="33">
        <f>INDEX('ZCB Curve - Payment Dates'!$D$2:$D$246,MATCH(B2672,'ZCB Curve - Payment Dates'!$A$2:$A$246,0))</f>
        <v>0.43726259018094221</v>
      </c>
      <c r="E2672" s="32">
        <f t="shared" si="41"/>
        <v>0.79253844470295776</v>
      </c>
    </row>
    <row r="2673" spans="1:5" x14ac:dyDescent="0.25">
      <c r="A2673" s="17">
        <v>289</v>
      </c>
      <c r="B2673" s="31">
        <v>52277</v>
      </c>
      <c r="C2673" s="32">
        <f>INDEX('Input Data'!$B:$B,A2673)/2+IF(A2673&lt;&gt;A2674,100,0)</f>
        <v>1.8125</v>
      </c>
      <c r="D2673" s="33">
        <f>INDEX('ZCB Curve - Payment Dates'!$D$2:$D$246,MATCH(B2673,'ZCB Curve - Payment Dates'!$A$2:$A$246,0))</f>
        <v>0.4239492285351204</v>
      </c>
      <c r="E2673" s="32">
        <f t="shared" si="41"/>
        <v>0.76840797671990568</v>
      </c>
    </row>
    <row r="2674" spans="1:5" x14ac:dyDescent="0.25">
      <c r="A2674" s="17">
        <v>289</v>
      </c>
      <c r="B2674" s="31">
        <v>52458</v>
      </c>
      <c r="C2674" s="32">
        <f>INDEX('Input Data'!$B:$B,A2674)/2+IF(A2674&lt;&gt;A2675,100,0)</f>
        <v>101.8125</v>
      </c>
      <c r="D2674" s="33">
        <f>INDEX('ZCB Curve - Payment Dates'!$D$2:$D$246,MATCH(B2674,'ZCB Curve - Payment Dates'!$A$2:$A$246,0))</f>
        <v>0.4112516019468152</v>
      </c>
      <c r="E2674" s="32">
        <f t="shared" si="41"/>
        <v>41.870553723210122</v>
      </c>
    </row>
    <row r="2675" spans="1:5" x14ac:dyDescent="0.25">
      <c r="A2675" s="17">
        <v>290</v>
      </c>
      <c r="B2675" s="31">
        <v>46433</v>
      </c>
      <c r="C2675" s="32">
        <f>INDEX('Input Data'!$B:$B,A2675)/2+IF(A2675&lt;&gt;A2676,100,0)</f>
        <v>2.1875</v>
      </c>
      <c r="D2675" s="33">
        <f>INDEX('ZCB Curve - Payment Dates'!$D$2:$D$246,MATCH(B2675,'ZCB Curve - Payment Dates'!$A$2:$A$246,0))</f>
        <v>0.98242671792446301</v>
      </c>
      <c r="E2675" s="32">
        <f t="shared" si="41"/>
        <v>2.149058445459763</v>
      </c>
    </row>
    <row r="2676" spans="1:5" x14ac:dyDescent="0.25">
      <c r="A2676" s="17">
        <v>290</v>
      </c>
      <c r="B2676" s="31">
        <v>46614</v>
      </c>
      <c r="C2676" s="32">
        <f>INDEX('Input Data'!$B:$B,A2676)/2+IF(A2676&lt;&gt;A2677,100,0)</f>
        <v>2.1875</v>
      </c>
      <c r="D2676" s="33">
        <f>INDEX('ZCB Curve - Payment Dates'!$D$2:$D$246,MATCH(B2676,'ZCB Curve - Payment Dates'!$A$2:$A$246,0))</f>
        <v>0.96187948164765535</v>
      </c>
      <c r="E2676" s="32">
        <f t="shared" si="41"/>
        <v>2.1041113661042461</v>
      </c>
    </row>
    <row r="2677" spans="1:5" x14ac:dyDescent="0.25">
      <c r="A2677" s="17">
        <v>290</v>
      </c>
      <c r="B2677" s="31">
        <v>46798</v>
      </c>
      <c r="C2677" s="32">
        <f>INDEX('Input Data'!$B:$B,A2677)/2+IF(A2677&lt;&gt;A2678,100,0)</f>
        <v>2.1875</v>
      </c>
      <c r="D2677" s="33">
        <f>INDEX('ZCB Curve - Payment Dates'!$D$2:$D$246,MATCH(B2677,'ZCB Curve - Payment Dates'!$A$2:$A$246,0))</f>
        <v>0.94049096132648802</v>
      </c>
      <c r="E2677" s="32">
        <f t="shared" si="41"/>
        <v>2.0573239779016927</v>
      </c>
    </row>
    <row r="2678" spans="1:5" x14ac:dyDescent="0.25">
      <c r="A2678" s="17">
        <v>290</v>
      </c>
      <c r="B2678" s="31">
        <v>46980</v>
      </c>
      <c r="C2678" s="32">
        <f>INDEX('Input Data'!$B:$B,A2678)/2+IF(A2678&lt;&gt;A2679,100,0)</f>
        <v>2.1875</v>
      </c>
      <c r="D2678" s="33">
        <f>INDEX('ZCB Curve - Payment Dates'!$D$2:$D$246,MATCH(B2678,'ZCB Curve - Payment Dates'!$A$2:$A$246,0))</f>
        <v>0.91931844130238327</v>
      </c>
      <c r="E2678" s="32">
        <f t="shared" si="41"/>
        <v>2.0110090903489635</v>
      </c>
    </row>
    <row r="2679" spans="1:5" x14ac:dyDescent="0.25">
      <c r="A2679" s="17">
        <v>290</v>
      </c>
      <c r="B2679" s="31">
        <v>47164</v>
      </c>
      <c r="C2679" s="32">
        <f>INDEX('Input Data'!$B:$B,A2679)/2+IF(A2679&lt;&gt;A2680,100,0)</f>
        <v>2.1875</v>
      </c>
      <c r="D2679" s="33">
        <f>INDEX('ZCB Curve - Payment Dates'!$D$2:$D$246,MATCH(B2679,'ZCB Curve - Payment Dates'!$A$2:$A$246,0))</f>
        <v>0.89817430058086534</v>
      </c>
      <c r="E2679" s="32">
        <f t="shared" si="41"/>
        <v>1.9647562825206428</v>
      </c>
    </row>
    <row r="2680" spans="1:5" x14ac:dyDescent="0.25">
      <c r="A2680" s="17">
        <v>290</v>
      </c>
      <c r="B2680" s="31">
        <v>47345</v>
      </c>
      <c r="C2680" s="32">
        <f>INDEX('Input Data'!$B:$B,A2680)/2+IF(A2680&lt;&gt;A2681,100,0)</f>
        <v>2.1875</v>
      </c>
      <c r="D2680" s="33">
        <f>INDEX('ZCB Curve - Payment Dates'!$D$2:$D$246,MATCH(B2680,'ZCB Curve - Payment Dates'!$A$2:$A$246,0))</f>
        <v>0.87778421628860481</v>
      </c>
      <c r="E2680" s="32">
        <f t="shared" si="41"/>
        <v>1.9201529731313229</v>
      </c>
    </row>
    <row r="2681" spans="1:5" x14ac:dyDescent="0.25">
      <c r="A2681" s="17">
        <v>290</v>
      </c>
      <c r="B2681" s="31">
        <v>47529</v>
      </c>
      <c r="C2681" s="32">
        <f>INDEX('Input Data'!$B:$B,A2681)/2+IF(A2681&lt;&gt;A2682,100,0)</f>
        <v>2.1875</v>
      </c>
      <c r="D2681" s="33">
        <f>INDEX('ZCB Curve - Payment Dates'!$D$2:$D$246,MATCH(B2681,'ZCB Curve - Payment Dates'!$A$2:$A$246,0))</f>
        <v>0.85751015570959666</v>
      </c>
      <c r="E2681" s="32">
        <f t="shared" si="41"/>
        <v>1.8758034656147426</v>
      </c>
    </row>
    <row r="2682" spans="1:5" x14ac:dyDescent="0.25">
      <c r="A2682" s="17">
        <v>290</v>
      </c>
      <c r="B2682" s="31">
        <v>47710</v>
      </c>
      <c r="C2682" s="32">
        <f>INDEX('Input Data'!$B:$B,A2682)/2+IF(A2682&lt;&gt;A2683,100,0)</f>
        <v>2.1875</v>
      </c>
      <c r="D2682" s="33">
        <f>INDEX('ZCB Curve - Payment Dates'!$D$2:$D$246,MATCH(B2682,'ZCB Curve - Payment Dates'!$A$2:$A$246,0))</f>
        <v>0.83802423748211174</v>
      </c>
      <c r="E2682" s="32">
        <f t="shared" si="41"/>
        <v>1.8331780194921194</v>
      </c>
    </row>
    <row r="2683" spans="1:5" x14ac:dyDescent="0.25">
      <c r="A2683" s="17">
        <v>290</v>
      </c>
      <c r="B2683" s="31">
        <v>47894</v>
      </c>
      <c r="C2683" s="32">
        <f>INDEX('Input Data'!$B:$B,A2683)/2+IF(A2683&lt;&gt;A2684,100,0)</f>
        <v>2.1875</v>
      </c>
      <c r="D2683" s="33">
        <f>INDEX('ZCB Curve - Payment Dates'!$D$2:$D$246,MATCH(B2683,'ZCB Curve - Payment Dates'!$A$2:$A$246,0))</f>
        <v>0.8186305474741673</v>
      </c>
      <c r="E2683" s="32">
        <f t="shared" si="41"/>
        <v>1.7907543225997409</v>
      </c>
    </row>
    <row r="2684" spans="1:5" x14ac:dyDescent="0.25">
      <c r="A2684" s="17">
        <v>290</v>
      </c>
      <c r="B2684" s="31">
        <v>48075</v>
      </c>
      <c r="C2684" s="32">
        <f>INDEX('Input Data'!$B:$B,A2684)/2+IF(A2684&lt;&gt;A2685,100,0)</f>
        <v>2.1875</v>
      </c>
      <c r="D2684" s="33">
        <f>INDEX('ZCB Curve - Payment Dates'!$D$2:$D$246,MATCH(B2684,'ZCB Curve - Payment Dates'!$A$2:$A$246,0))</f>
        <v>0.7999252334775927</v>
      </c>
      <c r="E2684" s="32">
        <f t="shared" si="41"/>
        <v>1.7498364482322339</v>
      </c>
    </row>
    <row r="2685" spans="1:5" x14ac:dyDescent="0.25">
      <c r="A2685" s="17">
        <v>290</v>
      </c>
      <c r="B2685" s="31">
        <v>48259</v>
      </c>
      <c r="C2685" s="32">
        <f>INDEX('Input Data'!$B:$B,A2685)/2+IF(A2685&lt;&gt;A2686,100,0)</f>
        <v>2.1875</v>
      </c>
      <c r="D2685" s="33">
        <f>INDEX('ZCB Curve - Payment Dates'!$D$2:$D$246,MATCH(B2685,'ZCB Curve - Payment Dates'!$A$2:$A$246,0))</f>
        <v>0.78121887027612602</v>
      </c>
      <c r="E2685" s="32">
        <f t="shared" si="41"/>
        <v>1.7089162787290257</v>
      </c>
    </row>
    <row r="2686" spans="1:5" x14ac:dyDescent="0.25">
      <c r="A2686" s="17">
        <v>290</v>
      </c>
      <c r="B2686" s="31">
        <v>48441</v>
      </c>
      <c r="C2686" s="32">
        <f>INDEX('Input Data'!$B:$B,A2686)/2+IF(A2686&lt;&gt;A2687,100,0)</f>
        <v>2.1875</v>
      </c>
      <c r="D2686" s="33">
        <f>INDEX('ZCB Curve - Payment Dates'!$D$2:$D$246,MATCH(B2686,'ZCB Curve - Payment Dates'!$A$2:$A$246,0))</f>
        <v>0.76298123459017864</v>
      </c>
      <c r="E2686" s="32">
        <f t="shared" si="41"/>
        <v>1.6690214506660157</v>
      </c>
    </row>
    <row r="2687" spans="1:5" x14ac:dyDescent="0.25">
      <c r="A2687" s="17">
        <v>290</v>
      </c>
      <c r="B2687" s="31">
        <v>48625</v>
      </c>
      <c r="C2687" s="32">
        <f>INDEX('Input Data'!$B:$B,A2687)/2+IF(A2687&lt;&gt;A2688,100,0)</f>
        <v>2.1875</v>
      </c>
      <c r="D2687" s="33">
        <f>INDEX('ZCB Curve - Payment Dates'!$D$2:$D$246,MATCH(B2687,'ZCB Curve - Payment Dates'!$A$2:$A$246,0))</f>
        <v>0.74476011611938586</v>
      </c>
      <c r="E2687" s="32">
        <f t="shared" si="41"/>
        <v>1.6291627540111566</v>
      </c>
    </row>
    <row r="2688" spans="1:5" x14ac:dyDescent="0.25">
      <c r="A2688" s="17">
        <v>290</v>
      </c>
      <c r="B2688" s="31">
        <v>48806</v>
      </c>
      <c r="C2688" s="32">
        <f>INDEX('Input Data'!$B:$B,A2688)/2+IF(A2688&lt;&gt;A2689,100,0)</f>
        <v>2.1875</v>
      </c>
      <c r="D2688" s="33">
        <f>INDEX('ZCB Curve - Payment Dates'!$D$2:$D$246,MATCH(B2688,'ZCB Curve - Payment Dates'!$A$2:$A$246,0))</f>
        <v>0.72701302496114584</v>
      </c>
      <c r="E2688" s="32">
        <f t="shared" si="41"/>
        <v>1.5903409921025065</v>
      </c>
    </row>
    <row r="2689" spans="1:5" x14ac:dyDescent="0.25">
      <c r="A2689" s="17">
        <v>290</v>
      </c>
      <c r="B2689" s="31">
        <v>48990</v>
      </c>
      <c r="C2689" s="32">
        <f>INDEX('Input Data'!$B:$B,A2689)/2+IF(A2689&lt;&gt;A2690,100,0)</f>
        <v>2.1875</v>
      </c>
      <c r="D2689" s="33">
        <f>INDEX('ZCB Curve - Payment Dates'!$D$2:$D$246,MATCH(B2689,'ZCB Curve - Payment Dates'!$A$2:$A$246,0))</f>
        <v>0.70912647031380449</v>
      </c>
      <c r="E2689" s="32">
        <f t="shared" si="41"/>
        <v>1.5512141538114472</v>
      </c>
    </row>
    <row r="2690" spans="1:5" x14ac:dyDescent="0.25">
      <c r="A2690" s="17">
        <v>290</v>
      </c>
      <c r="B2690" s="31">
        <v>49171</v>
      </c>
      <c r="C2690" s="32">
        <f>INDEX('Input Data'!$B:$B,A2690)/2+IF(A2690&lt;&gt;A2691,100,0)</f>
        <v>2.1875</v>
      </c>
      <c r="D2690" s="33">
        <f>INDEX('ZCB Curve - Payment Dates'!$D$2:$D$246,MATCH(B2690,'ZCB Curve - Payment Dates'!$A$2:$A$246,0))</f>
        <v>0.6916661505723215</v>
      </c>
      <c r="E2690" s="32">
        <f t="shared" ref="E2690:E2753" si="42">C2690*D2690</f>
        <v>1.5130197043769533</v>
      </c>
    </row>
    <row r="2691" spans="1:5" x14ac:dyDescent="0.25">
      <c r="A2691" s="17">
        <v>290</v>
      </c>
      <c r="B2691" s="31">
        <v>49355</v>
      </c>
      <c r="C2691" s="32">
        <f>INDEX('Input Data'!$B:$B,A2691)/2+IF(A2691&lt;&gt;A2692,100,0)</f>
        <v>2.1875</v>
      </c>
      <c r="D2691" s="33">
        <f>INDEX('ZCB Curve - Payment Dates'!$D$2:$D$246,MATCH(B2691,'ZCB Curve - Payment Dates'!$A$2:$A$246,0))</f>
        <v>0.674047377898778</v>
      </c>
      <c r="E2691" s="32">
        <f t="shared" si="42"/>
        <v>1.4744786391535769</v>
      </c>
    </row>
    <row r="2692" spans="1:5" x14ac:dyDescent="0.25">
      <c r="A2692" s="17">
        <v>290</v>
      </c>
      <c r="B2692" s="31">
        <v>49536</v>
      </c>
      <c r="C2692" s="32">
        <f>INDEX('Input Data'!$B:$B,A2692)/2+IF(A2692&lt;&gt;A2693,100,0)</f>
        <v>2.1875</v>
      </c>
      <c r="D2692" s="33">
        <f>INDEX('ZCB Curve - Payment Dates'!$D$2:$D$246,MATCH(B2692,'ZCB Curve - Payment Dates'!$A$2:$A$246,0))</f>
        <v>0.65684432300638129</v>
      </c>
      <c r="E2692" s="32">
        <f t="shared" si="42"/>
        <v>1.436846956576459</v>
      </c>
    </row>
    <row r="2693" spans="1:5" x14ac:dyDescent="0.25">
      <c r="A2693" s="17">
        <v>290</v>
      </c>
      <c r="B2693" s="31">
        <v>49720</v>
      </c>
      <c r="C2693" s="32">
        <f>INDEX('Input Data'!$B:$B,A2693)/2+IF(A2693&lt;&gt;A2694,100,0)</f>
        <v>2.1875</v>
      </c>
      <c r="D2693" s="33">
        <f>INDEX('ZCB Curve - Payment Dates'!$D$2:$D$246,MATCH(B2693,'ZCB Curve - Payment Dates'!$A$2:$A$246,0))</f>
        <v>0.63949604524993764</v>
      </c>
      <c r="E2693" s="32">
        <f t="shared" si="42"/>
        <v>1.3988975989842385</v>
      </c>
    </row>
    <row r="2694" spans="1:5" x14ac:dyDescent="0.25">
      <c r="A2694" s="17">
        <v>290</v>
      </c>
      <c r="B2694" s="31">
        <v>49902</v>
      </c>
      <c r="C2694" s="32">
        <f>INDEX('Input Data'!$B:$B,A2694)/2+IF(A2694&lt;&gt;A2695,100,0)</f>
        <v>2.1875</v>
      </c>
      <c r="D2694" s="33">
        <f>INDEX('ZCB Curve - Payment Dates'!$D$2:$D$246,MATCH(B2694,'ZCB Curve - Payment Dates'!$A$2:$A$246,0))</f>
        <v>0.62248862376822711</v>
      </c>
      <c r="E2694" s="32">
        <f t="shared" si="42"/>
        <v>1.3616938644929968</v>
      </c>
    </row>
    <row r="2695" spans="1:5" x14ac:dyDescent="0.25">
      <c r="A2695" s="17">
        <v>290</v>
      </c>
      <c r="B2695" s="31">
        <v>50086</v>
      </c>
      <c r="C2695" s="32">
        <f>INDEX('Input Data'!$B:$B,A2695)/2+IF(A2695&lt;&gt;A2696,100,0)</f>
        <v>2.1875</v>
      </c>
      <c r="D2695" s="33">
        <f>INDEX('ZCB Curve - Payment Dates'!$D$2:$D$246,MATCH(B2695,'ZCB Curve - Payment Dates'!$A$2:$A$246,0))</f>
        <v>0.60546490876014969</v>
      </c>
      <c r="E2695" s="32">
        <f t="shared" si="42"/>
        <v>1.3244544879128275</v>
      </c>
    </row>
    <row r="2696" spans="1:5" x14ac:dyDescent="0.25">
      <c r="A2696" s="17">
        <v>290</v>
      </c>
      <c r="B2696" s="31">
        <v>50267</v>
      </c>
      <c r="C2696" s="32">
        <f>INDEX('Input Data'!$B:$B,A2696)/2+IF(A2696&lt;&gt;A2697,100,0)</f>
        <v>2.1875</v>
      </c>
      <c r="D2696" s="33">
        <f>INDEX('ZCB Curve - Payment Dates'!$D$2:$D$246,MATCH(B2696,'ZCB Curve - Payment Dates'!$A$2:$A$246,0))</f>
        <v>0.58890683803346977</v>
      </c>
      <c r="E2696" s="32">
        <f t="shared" si="42"/>
        <v>1.2882337081982151</v>
      </c>
    </row>
    <row r="2697" spans="1:5" x14ac:dyDescent="0.25">
      <c r="A2697" s="17">
        <v>290</v>
      </c>
      <c r="B2697" s="31">
        <v>50451</v>
      </c>
      <c r="C2697" s="32">
        <f>INDEX('Input Data'!$B:$B,A2697)/2+IF(A2697&lt;&gt;A2698,100,0)</f>
        <v>2.1875</v>
      </c>
      <c r="D2697" s="33">
        <f>INDEX('ZCB Curve - Payment Dates'!$D$2:$D$246,MATCH(B2697,'ZCB Curve - Payment Dates'!$A$2:$A$246,0))</f>
        <v>0.57228983695479263</v>
      </c>
      <c r="E2697" s="32">
        <f t="shared" si="42"/>
        <v>1.2518840183386089</v>
      </c>
    </row>
    <row r="2698" spans="1:5" x14ac:dyDescent="0.25">
      <c r="A2698" s="17">
        <v>290</v>
      </c>
      <c r="B2698" s="31">
        <v>50632</v>
      </c>
      <c r="C2698" s="32">
        <f>INDEX('Input Data'!$B:$B,A2698)/2+IF(A2698&lt;&gt;A2699,100,0)</f>
        <v>2.1875</v>
      </c>
      <c r="D2698" s="33">
        <f>INDEX('ZCB Curve - Payment Dates'!$D$2:$D$246,MATCH(B2698,'ZCB Curve - Payment Dates'!$A$2:$A$246,0))</f>
        <v>0.55617795699202288</v>
      </c>
      <c r="E2698" s="32">
        <f t="shared" si="42"/>
        <v>1.2166392809200501</v>
      </c>
    </row>
    <row r="2699" spans="1:5" x14ac:dyDescent="0.25">
      <c r="A2699" s="17">
        <v>290</v>
      </c>
      <c r="B2699" s="31">
        <v>50816</v>
      </c>
      <c r="C2699" s="32">
        <f>INDEX('Input Data'!$B:$B,A2699)/2+IF(A2699&lt;&gt;A2700,100,0)</f>
        <v>2.1875</v>
      </c>
      <c r="D2699" s="33">
        <f>INDEX('ZCB Curve - Payment Dates'!$D$2:$D$246,MATCH(B2699,'ZCB Curve - Payment Dates'!$A$2:$A$246,0))</f>
        <v>0.54006240951211237</v>
      </c>
      <c r="E2699" s="32">
        <f t="shared" si="42"/>
        <v>1.1813865208077459</v>
      </c>
    </row>
    <row r="2700" spans="1:5" x14ac:dyDescent="0.25">
      <c r="A2700" s="17">
        <v>290</v>
      </c>
      <c r="B2700" s="31">
        <v>50997</v>
      </c>
      <c r="C2700" s="32">
        <f>INDEX('Input Data'!$B:$B,A2700)/2+IF(A2700&lt;&gt;A2701,100,0)</f>
        <v>2.1875</v>
      </c>
      <c r="D2700" s="33">
        <f>INDEX('ZCB Curve - Payment Dates'!$D$2:$D$246,MATCH(B2700,'ZCB Curve - Payment Dates'!$A$2:$A$246,0))</f>
        <v>0.52449040173194583</v>
      </c>
      <c r="E2700" s="32">
        <f t="shared" si="42"/>
        <v>1.1473227537886315</v>
      </c>
    </row>
    <row r="2701" spans="1:5" x14ac:dyDescent="0.25">
      <c r="A2701" s="17">
        <v>290</v>
      </c>
      <c r="B2701" s="31">
        <v>51181</v>
      </c>
      <c r="C2701" s="32">
        <f>INDEX('Input Data'!$B:$B,A2701)/2+IF(A2701&lt;&gt;A2702,100,0)</f>
        <v>2.1875</v>
      </c>
      <c r="D2701" s="33">
        <f>INDEX('ZCB Curve - Payment Dates'!$D$2:$D$246,MATCH(B2701,'ZCB Curve - Payment Dates'!$A$2:$A$246,0))</f>
        <v>0.5089691698468306</v>
      </c>
      <c r="E2701" s="32">
        <f t="shared" si="42"/>
        <v>1.113370059039942</v>
      </c>
    </row>
    <row r="2702" spans="1:5" x14ac:dyDescent="0.25">
      <c r="A2702" s="17">
        <v>290</v>
      </c>
      <c r="B2702" s="31">
        <v>51363</v>
      </c>
      <c r="C2702" s="32">
        <f>INDEX('Input Data'!$B:$B,A2702)/2+IF(A2702&lt;&gt;A2703,100,0)</f>
        <v>2.1875</v>
      </c>
      <c r="D2702" s="33">
        <f>INDEX('ZCB Curve - Payment Dates'!$D$2:$D$246,MATCH(B2702,'ZCB Curve - Payment Dates'!$A$2:$A$246,0))</f>
        <v>0.49394036022330806</v>
      </c>
      <c r="E2702" s="32">
        <f t="shared" si="42"/>
        <v>1.0804945379884865</v>
      </c>
    </row>
    <row r="2703" spans="1:5" x14ac:dyDescent="0.25">
      <c r="A2703" s="17">
        <v>290</v>
      </c>
      <c r="B2703" s="31">
        <v>51547</v>
      </c>
      <c r="C2703" s="32">
        <f>INDEX('Input Data'!$B:$B,A2703)/2+IF(A2703&lt;&gt;A2704,100,0)</f>
        <v>2.1875</v>
      </c>
      <c r="D2703" s="33">
        <f>INDEX('ZCB Curve - Payment Dates'!$D$2:$D$246,MATCH(B2703,'ZCB Curve - Payment Dates'!$A$2:$A$246,0))</f>
        <v>0.47909718957588998</v>
      </c>
      <c r="E2703" s="32">
        <f t="shared" si="42"/>
        <v>1.0480251021972593</v>
      </c>
    </row>
    <row r="2704" spans="1:5" x14ac:dyDescent="0.25">
      <c r="A2704" s="17">
        <v>290</v>
      </c>
      <c r="B2704" s="31">
        <v>51728</v>
      </c>
      <c r="C2704" s="32">
        <f>INDEX('Input Data'!$B:$B,A2704)/2+IF(A2704&lt;&gt;A2705,100,0)</f>
        <v>2.1875</v>
      </c>
      <c r="D2704" s="33">
        <f>INDEX('ZCB Curve - Payment Dates'!$D$2:$D$246,MATCH(B2704,'ZCB Curve - Payment Dates'!$A$2:$A$246,0))</f>
        <v>0.46485329459616059</v>
      </c>
      <c r="E2704" s="32">
        <f t="shared" si="42"/>
        <v>1.0168665819291014</v>
      </c>
    </row>
    <row r="2705" spans="1:5" x14ac:dyDescent="0.25">
      <c r="A2705" s="17">
        <v>290</v>
      </c>
      <c r="B2705" s="31">
        <v>51912</v>
      </c>
      <c r="C2705" s="32">
        <f>INDEX('Input Data'!$B:$B,A2705)/2+IF(A2705&lt;&gt;A2706,100,0)</f>
        <v>2.1875</v>
      </c>
      <c r="D2705" s="33">
        <f>INDEX('ZCB Curve - Payment Dates'!$D$2:$D$246,MATCH(B2705,'ZCB Curve - Payment Dates'!$A$2:$A$246,0))</f>
        <v>0.45075168915212815</v>
      </c>
      <c r="E2705" s="32">
        <f t="shared" si="42"/>
        <v>0.98601932002028037</v>
      </c>
    </row>
    <row r="2706" spans="1:5" x14ac:dyDescent="0.25">
      <c r="A2706" s="17">
        <v>290</v>
      </c>
      <c r="B2706" s="31">
        <v>52093</v>
      </c>
      <c r="C2706" s="32">
        <f>INDEX('Input Data'!$B:$B,A2706)/2+IF(A2706&lt;&gt;A2707,100,0)</f>
        <v>2.1875</v>
      </c>
      <c r="D2706" s="33">
        <f>INDEX('ZCB Curve - Payment Dates'!$D$2:$D$246,MATCH(B2706,'ZCB Curve - Payment Dates'!$A$2:$A$246,0))</f>
        <v>0.43726259018094221</v>
      </c>
      <c r="E2706" s="32">
        <f t="shared" si="42"/>
        <v>0.95651191602081109</v>
      </c>
    </row>
    <row r="2707" spans="1:5" x14ac:dyDescent="0.25">
      <c r="A2707" s="17">
        <v>290</v>
      </c>
      <c r="B2707" s="31">
        <v>52277</v>
      </c>
      <c r="C2707" s="32">
        <f>INDEX('Input Data'!$B:$B,A2707)/2+IF(A2707&lt;&gt;A2708,100,0)</f>
        <v>2.1875</v>
      </c>
      <c r="D2707" s="33">
        <f>INDEX('ZCB Curve - Payment Dates'!$D$2:$D$246,MATCH(B2707,'ZCB Curve - Payment Dates'!$A$2:$A$246,0))</f>
        <v>0.4239492285351204</v>
      </c>
      <c r="E2707" s="32">
        <f t="shared" si="42"/>
        <v>0.92738893742057593</v>
      </c>
    </row>
    <row r="2708" spans="1:5" x14ac:dyDescent="0.25">
      <c r="A2708" s="17">
        <v>290</v>
      </c>
      <c r="B2708" s="31">
        <v>52458</v>
      </c>
      <c r="C2708" s="32">
        <f>INDEX('Input Data'!$B:$B,A2708)/2+IF(A2708&lt;&gt;A2709,100,0)</f>
        <v>102.1875</v>
      </c>
      <c r="D2708" s="33">
        <f>INDEX('ZCB Curve - Payment Dates'!$D$2:$D$246,MATCH(B2708,'ZCB Curve - Payment Dates'!$A$2:$A$246,0))</f>
        <v>0.4112516019468152</v>
      </c>
      <c r="E2708" s="32">
        <f t="shared" si="42"/>
        <v>42.024773073940182</v>
      </c>
    </row>
    <row r="2709" spans="1:5" x14ac:dyDescent="0.25">
      <c r="A2709" s="17">
        <v>291</v>
      </c>
      <c r="B2709" s="31">
        <v>46341</v>
      </c>
      <c r="C2709" s="32">
        <f>INDEX('Input Data'!$B:$B,A2709)/2+IF(A2709&lt;&gt;A2710,100,0)</f>
        <v>1.875</v>
      </c>
      <c r="D2709" s="33">
        <f>INDEX('ZCB Curve - Payment Dates'!$D$2:$D$246,MATCH(B2709,'ZCB Curve - Payment Dates'!$A$2:$A$246,0))</f>
        <v>0.99245367292309439</v>
      </c>
      <c r="E2709" s="32">
        <f t="shared" si="42"/>
        <v>1.860850636730802</v>
      </c>
    </row>
    <row r="2710" spans="1:5" x14ac:dyDescent="0.25">
      <c r="A2710" s="17">
        <v>291</v>
      </c>
      <c r="B2710" s="31">
        <v>46522</v>
      </c>
      <c r="C2710" s="32">
        <f>INDEX('Input Data'!$B:$B,A2710)/2+IF(A2710&lt;&gt;A2711,100,0)</f>
        <v>1.875</v>
      </c>
      <c r="D2710" s="33">
        <f>INDEX('ZCB Curve - Payment Dates'!$D$2:$D$246,MATCH(B2710,'ZCB Curve - Payment Dates'!$A$2:$A$246,0))</f>
        <v>0.97242179559611874</v>
      </c>
      <c r="E2710" s="32">
        <f t="shared" si="42"/>
        <v>1.8232908667427226</v>
      </c>
    </row>
    <row r="2711" spans="1:5" x14ac:dyDescent="0.25">
      <c r="A2711" s="17">
        <v>291</v>
      </c>
      <c r="B2711" s="31">
        <v>46706</v>
      </c>
      <c r="C2711" s="32">
        <f>INDEX('Input Data'!$B:$B,A2711)/2+IF(A2711&lt;&gt;A2712,100,0)</f>
        <v>1.875</v>
      </c>
      <c r="D2711" s="33">
        <f>INDEX('ZCB Curve - Payment Dates'!$D$2:$D$246,MATCH(B2711,'ZCB Curve - Payment Dates'!$A$2:$A$246,0))</f>
        <v>0.95121018311627348</v>
      </c>
      <c r="E2711" s="32">
        <f t="shared" si="42"/>
        <v>1.7835190933430127</v>
      </c>
    </row>
    <row r="2712" spans="1:5" x14ac:dyDescent="0.25">
      <c r="A2712" s="17">
        <v>291</v>
      </c>
      <c r="B2712" s="31">
        <v>46888</v>
      </c>
      <c r="C2712" s="32">
        <f>INDEX('Input Data'!$B:$B,A2712)/2+IF(A2712&lt;&gt;A2713,100,0)</f>
        <v>1.875</v>
      </c>
      <c r="D2712" s="33">
        <f>INDEX('ZCB Curve - Payment Dates'!$D$2:$D$246,MATCH(B2712,'ZCB Curve - Payment Dates'!$A$2:$A$246,0))</f>
        <v>0.93000025435083566</v>
      </c>
      <c r="E2712" s="32">
        <f t="shared" si="42"/>
        <v>1.7437504769078169</v>
      </c>
    </row>
    <row r="2713" spans="1:5" x14ac:dyDescent="0.25">
      <c r="A2713" s="17">
        <v>291</v>
      </c>
      <c r="B2713" s="31">
        <v>47072</v>
      </c>
      <c r="C2713" s="32">
        <f>INDEX('Input Data'!$B:$B,A2713)/2+IF(A2713&lt;&gt;A2714,100,0)</f>
        <v>1.875</v>
      </c>
      <c r="D2713" s="33">
        <f>INDEX('ZCB Curve - Payment Dates'!$D$2:$D$246,MATCH(B2713,'ZCB Curve - Payment Dates'!$A$2:$A$246,0))</f>
        <v>0.90870125167038918</v>
      </c>
      <c r="E2713" s="32">
        <f t="shared" si="42"/>
        <v>1.7038148468819796</v>
      </c>
    </row>
    <row r="2714" spans="1:5" x14ac:dyDescent="0.25">
      <c r="A2714" s="17">
        <v>291</v>
      </c>
      <c r="B2714" s="31">
        <v>47253</v>
      </c>
      <c r="C2714" s="32">
        <f>INDEX('Input Data'!$B:$B,A2714)/2+IF(A2714&lt;&gt;A2715,100,0)</f>
        <v>1.875</v>
      </c>
      <c r="D2714" s="33">
        <f>INDEX('ZCB Curve - Payment Dates'!$D$2:$D$246,MATCH(B2714,'ZCB Curve - Payment Dates'!$A$2:$A$246,0))</f>
        <v>0.88809325063638844</v>
      </c>
      <c r="E2714" s="32">
        <f t="shared" si="42"/>
        <v>1.6651748449432284</v>
      </c>
    </row>
    <row r="2715" spans="1:5" x14ac:dyDescent="0.25">
      <c r="A2715" s="17">
        <v>291</v>
      </c>
      <c r="B2715" s="31">
        <v>47437</v>
      </c>
      <c r="C2715" s="32">
        <f>INDEX('Input Data'!$B:$B,A2715)/2+IF(A2715&lt;&gt;A2716,100,0)</f>
        <v>1.875</v>
      </c>
      <c r="D2715" s="33">
        <f>INDEX('ZCB Curve - Payment Dates'!$D$2:$D$246,MATCH(B2715,'ZCB Curve - Payment Dates'!$A$2:$A$246,0))</f>
        <v>0.86758824089536279</v>
      </c>
      <c r="E2715" s="32">
        <f t="shared" si="42"/>
        <v>1.6267279516788054</v>
      </c>
    </row>
    <row r="2716" spans="1:5" x14ac:dyDescent="0.25">
      <c r="A2716" s="17">
        <v>291</v>
      </c>
      <c r="B2716" s="31">
        <v>47618</v>
      </c>
      <c r="C2716" s="32">
        <f>INDEX('Input Data'!$B:$B,A2716)/2+IF(A2716&lt;&gt;A2717,100,0)</f>
        <v>1.875</v>
      </c>
      <c r="D2716" s="33">
        <f>INDEX('ZCB Curve - Payment Dates'!$D$2:$D$246,MATCH(B2716,'ZCB Curve - Payment Dates'!$A$2:$A$246,0))</f>
        <v>0.84787416911783064</v>
      </c>
      <c r="E2716" s="32">
        <f t="shared" si="42"/>
        <v>1.5897640670959325</v>
      </c>
    </row>
    <row r="2717" spans="1:5" x14ac:dyDescent="0.25">
      <c r="A2717" s="17">
        <v>291</v>
      </c>
      <c r="B2717" s="31">
        <v>47802</v>
      </c>
      <c r="C2717" s="32">
        <f>INDEX('Input Data'!$B:$B,A2717)/2+IF(A2717&lt;&gt;A2718,100,0)</f>
        <v>1.875</v>
      </c>
      <c r="D2717" s="33">
        <f>INDEX('ZCB Curve - Payment Dates'!$D$2:$D$246,MATCH(B2717,'ZCB Curve - Payment Dates'!$A$2:$A$246,0))</f>
        <v>0.82827715028796722</v>
      </c>
      <c r="E2717" s="32">
        <f t="shared" si="42"/>
        <v>1.5530196567899386</v>
      </c>
    </row>
    <row r="2718" spans="1:5" x14ac:dyDescent="0.25">
      <c r="A2718" s="17">
        <v>291</v>
      </c>
      <c r="B2718" s="31">
        <v>47983</v>
      </c>
      <c r="C2718" s="32">
        <f>INDEX('Input Data'!$B:$B,A2718)/2+IF(A2718&lt;&gt;A2719,100,0)</f>
        <v>1.875</v>
      </c>
      <c r="D2718" s="33">
        <f>INDEX('ZCB Curve - Payment Dates'!$D$2:$D$246,MATCH(B2718,'ZCB Curve - Payment Dates'!$A$2:$A$246,0))</f>
        <v>0.80939067484273564</v>
      </c>
      <c r="E2718" s="32">
        <f t="shared" si="42"/>
        <v>1.5176075153301294</v>
      </c>
    </row>
    <row r="2719" spans="1:5" x14ac:dyDescent="0.25">
      <c r="A2719" s="17">
        <v>291</v>
      </c>
      <c r="B2719" s="31">
        <v>48167</v>
      </c>
      <c r="C2719" s="32">
        <f>INDEX('Input Data'!$B:$B,A2719)/2+IF(A2719&lt;&gt;A2720,100,0)</f>
        <v>1.875</v>
      </c>
      <c r="D2719" s="33">
        <f>INDEX('ZCB Curve - Payment Dates'!$D$2:$D$246,MATCH(B2719,'ZCB Curve - Payment Dates'!$A$2:$A$246,0))</f>
        <v>0.79053567842581962</v>
      </c>
      <c r="E2719" s="32">
        <f t="shared" si="42"/>
        <v>1.4822543970484119</v>
      </c>
    </row>
    <row r="2720" spans="1:5" x14ac:dyDescent="0.25">
      <c r="A2720" s="17">
        <v>291</v>
      </c>
      <c r="B2720" s="31">
        <v>48349</v>
      </c>
      <c r="C2720" s="32">
        <f>INDEX('Input Data'!$B:$B,A2720)/2+IF(A2720&lt;&gt;A2721,100,0)</f>
        <v>1.875</v>
      </c>
      <c r="D2720" s="33">
        <f>INDEX('ZCB Curve - Payment Dates'!$D$2:$D$246,MATCH(B2720,'ZCB Curve - Payment Dates'!$A$2:$A$246,0))</f>
        <v>0.77217305702007488</v>
      </c>
      <c r="E2720" s="32">
        <f t="shared" si="42"/>
        <v>1.4478244819126405</v>
      </c>
    </row>
    <row r="2721" spans="1:5" x14ac:dyDescent="0.25">
      <c r="A2721" s="17">
        <v>291</v>
      </c>
      <c r="B2721" s="31">
        <v>48533</v>
      </c>
      <c r="C2721" s="32">
        <f>INDEX('Input Data'!$B:$B,A2721)/2+IF(A2721&lt;&gt;A2722,100,0)</f>
        <v>1.875</v>
      </c>
      <c r="D2721" s="33">
        <f>INDEX('ZCB Curve - Payment Dates'!$D$2:$D$246,MATCH(B2721,'ZCB Curve - Payment Dates'!$A$2:$A$246,0))</f>
        <v>0.75384766072076514</v>
      </c>
      <c r="E2721" s="32">
        <f t="shared" si="42"/>
        <v>1.4134643638514346</v>
      </c>
    </row>
    <row r="2722" spans="1:5" x14ac:dyDescent="0.25">
      <c r="A2722" s="17">
        <v>291</v>
      </c>
      <c r="B2722" s="31">
        <v>48714</v>
      </c>
      <c r="C2722" s="32">
        <f>INDEX('Input Data'!$B:$B,A2722)/2+IF(A2722&lt;&gt;A2723,100,0)</f>
        <v>1.875</v>
      </c>
      <c r="D2722" s="33">
        <f>INDEX('ZCB Curve - Payment Dates'!$D$2:$D$246,MATCH(B2722,'ZCB Curve - Payment Dates'!$A$2:$A$246,0))</f>
        <v>0.73601491848746747</v>
      </c>
      <c r="E2722" s="32">
        <f t="shared" si="42"/>
        <v>1.3800279721640014</v>
      </c>
    </row>
    <row r="2723" spans="1:5" x14ac:dyDescent="0.25">
      <c r="A2723" s="17">
        <v>291</v>
      </c>
      <c r="B2723" s="31">
        <v>48898</v>
      </c>
      <c r="C2723" s="32">
        <f>INDEX('Input Data'!$B:$B,A2723)/2+IF(A2723&lt;&gt;A2724,100,0)</f>
        <v>1.875</v>
      </c>
      <c r="D2723" s="33">
        <f>INDEX('ZCB Curve - Payment Dates'!$D$2:$D$246,MATCH(B2723,'ZCB Curve - Payment Dates'!$A$2:$A$246,0))</f>
        <v>0.71805338140354003</v>
      </c>
      <c r="E2723" s="32">
        <f t="shared" si="42"/>
        <v>1.3463500901316376</v>
      </c>
    </row>
    <row r="2724" spans="1:5" x14ac:dyDescent="0.25">
      <c r="A2724" s="17">
        <v>291</v>
      </c>
      <c r="B2724" s="31">
        <v>49079</v>
      </c>
      <c r="C2724" s="32">
        <f>INDEX('Input Data'!$B:$B,A2724)/2+IF(A2724&lt;&gt;A2725,100,0)</f>
        <v>1.875</v>
      </c>
      <c r="D2724" s="33">
        <f>INDEX('ZCB Curve - Payment Dates'!$D$2:$D$246,MATCH(B2724,'ZCB Curve - Payment Dates'!$A$2:$A$246,0))</f>
        <v>0.70052630492471468</v>
      </c>
      <c r="E2724" s="32">
        <f t="shared" si="42"/>
        <v>1.31348682173384</v>
      </c>
    </row>
    <row r="2725" spans="1:5" x14ac:dyDescent="0.25">
      <c r="A2725" s="17">
        <v>291</v>
      </c>
      <c r="B2725" s="31">
        <v>49263</v>
      </c>
      <c r="C2725" s="32">
        <f>INDEX('Input Data'!$B:$B,A2725)/2+IF(A2725&lt;&gt;A2726,100,0)</f>
        <v>1.875</v>
      </c>
      <c r="D2725" s="33">
        <f>INDEX('ZCB Curve - Payment Dates'!$D$2:$D$246,MATCH(B2725,'ZCB Curve - Payment Dates'!$A$2:$A$246,0))</f>
        <v>0.68284221202539863</v>
      </c>
      <c r="E2725" s="32">
        <f t="shared" si="42"/>
        <v>1.2803291475476224</v>
      </c>
    </row>
    <row r="2726" spans="1:5" x14ac:dyDescent="0.25">
      <c r="A2726" s="17">
        <v>291</v>
      </c>
      <c r="B2726" s="31">
        <v>49444</v>
      </c>
      <c r="C2726" s="32">
        <f>INDEX('Input Data'!$B:$B,A2726)/2+IF(A2726&lt;&gt;A2727,100,0)</f>
        <v>1.875</v>
      </c>
      <c r="D2726" s="33">
        <f>INDEX('ZCB Curve - Payment Dates'!$D$2:$D$246,MATCH(B2726,'ZCB Curve - Payment Dates'!$A$2:$A$246,0))</f>
        <v>0.66557347415228496</v>
      </c>
      <c r="E2726" s="32">
        <f t="shared" si="42"/>
        <v>1.2479502640355342</v>
      </c>
    </row>
    <row r="2727" spans="1:5" x14ac:dyDescent="0.25">
      <c r="A2727" s="17">
        <v>291</v>
      </c>
      <c r="B2727" s="31">
        <v>49628</v>
      </c>
      <c r="C2727" s="32">
        <f>INDEX('Input Data'!$B:$B,A2727)/2+IF(A2727&lt;&gt;A2728,100,0)</f>
        <v>1.875</v>
      </c>
      <c r="D2727" s="33">
        <f>INDEX('ZCB Curve - Payment Dates'!$D$2:$D$246,MATCH(B2727,'ZCB Curve - Payment Dates'!$A$2:$A$246,0))</f>
        <v>0.64815361918127823</v>
      </c>
      <c r="E2727" s="32">
        <f t="shared" si="42"/>
        <v>1.2152880359648968</v>
      </c>
    </row>
    <row r="2728" spans="1:5" x14ac:dyDescent="0.25">
      <c r="A2728" s="17">
        <v>291</v>
      </c>
      <c r="B2728" s="31">
        <v>49810</v>
      </c>
      <c r="C2728" s="32">
        <f>INDEX('Input Data'!$B:$B,A2728)/2+IF(A2728&lt;&gt;A2729,100,0)</f>
        <v>1.875</v>
      </c>
      <c r="D2728" s="33">
        <f>INDEX('ZCB Curve - Payment Dates'!$D$2:$D$246,MATCH(B2728,'ZCB Curve - Payment Dates'!$A$2:$A$246,0))</f>
        <v>0.63106457078577471</v>
      </c>
      <c r="E2728" s="32">
        <f t="shared" si="42"/>
        <v>1.1832460702233276</v>
      </c>
    </row>
    <row r="2729" spans="1:5" x14ac:dyDescent="0.25">
      <c r="A2729" s="17">
        <v>291</v>
      </c>
      <c r="B2729" s="31">
        <v>49994</v>
      </c>
      <c r="C2729" s="32">
        <f>INDEX('Input Data'!$B:$B,A2729)/2+IF(A2729&lt;&gt;A2730,100,0)</f>
        <v>1.875</v>
      </c>
      <c r="D2729" s="33">
        <f>INDEX('ZCB Curve - Payment Dates'!$D$2:$D$246,MATCH(B2729,'ZCB Curve - Payment Dates'!$A$2:$A$246,0))</f>
        <v>0.61395227923184648</v>
      </c>
      <c r="E2729" s="32">
        <f t="shared" si="42"/>
        <v>1.1511605235597122</v>
      </c>
    </row>
    <row r="2730" spans="1:5" x14ac:dyDescent="0.25">
      <c r="A2730" s="17">
        <v>291</v>
      </c>
      <c r="B2730" s="31">
        <v>50175</v>
      </c>
      <c r="C2730" s="32">
        <f>INDEX('Input Data'!$B:$B,A2730)/2+IF(A2730&lt;&gt;A2731,100,0)</f>
        <v>1.875</v>
      </c>
      <c r="D2730" s="33">
        <f>INDEX('ZCB Curve - Payment Dates'!$D$2:$D$246,MATCH(B2730,'ZCB Curve - Payment Dates'!$A$2:$A$246,0))</f>
        <v>0.5972963482314616</v>
      </c>
      <c r="E2730" s="32">
        <f t="shared" si="42"/>
        <v>1.1199306529339905</v>
      </c>
    </row>
    <row r="2731" spans="1:5" x14ac:dyDescent="0.25">
      <c r="A2731" s="17">
        <v>291</v>
      </c>
      <c r="B2731" s="31">
        <v>50359</v>
      </c>
      <c r="C2731" s="32">
        <f>INDEX('Input Data'!$B:$B,A2731)/2+IF(A2731&lt;&gt;A2732,100,0)</f>
        <v>1.875</v>
      </c>
      <c r="D2731" s="33">
        <f>INDEX('ZCB Curve - Payment Dates'!$D$2:$D$246,MATCH(B2731,'ZCB Curve - Payment Dates'!$A$2:$A$246,0))</f>
        <v>0.58056812006155756</v>
      </c>
      <c r="E2731" s="32">
        <f t="shared" si="42"/>
        <v>1.0885652251154205</v>
      </c>
    </row>
    <row r="2732" spans="1:5" x14ac:dyDescent="0.25">
      <c r="A2732" s="17">
        <v>291</v>
      </c>
      <c r="B2732" s="31">
        <v>50540</v>
      </c>
      <c r="C2732" s="32">
        <f>INDEX('Input Data'!$B:$B,A2732)/2+IF(A2732&lt;&gt;A2733,100,0)</f>
        <v>1.875</v>
      </c>
      <c r="D2732" s="33">
        <f>INDEX('ZCB Curve - Payment Dates'!$D$2:$D$246,MATCH(B2732,'ZCB Curve - Payment Dates'!$A$2:$A$246,0))</f>
        <v>0.56433491315969797</v>
      </c>
      <c r="E2732" s="32">
        <f t="shared" si="42"/>
        <v>1.0581279621744337</v>
      </c>
    </row>
    <row r="2733" spans="1:5" x14ac:dyDescent="0.25">
      <c r="A2733" s="17">
        <v>291</v>
      </c>
      <c r="B2733" s="31">
        <v>50724</v>
      </c>
      <c r="C2733" s="32">
        <f>INDEX('Input Data'!$B:$B,A2733)/2+IF(A2733&lt;&gt;A2734,100,0)</f>
        <v>1.875</v>
      </c>
      <c r="D2733" s="33">
        <f>INDEX('ZCB Curve - Payment Dates'!$D$2:$D$246,MATCH(B2733,'ZCB Curve - Payment Dates'!$A$2:$A$246,0))</f>
        <v>0.54808398139057424</v>
      </c>
      <c r="E2733" s="32">
        <f t="shared" si="42"/>
        <v>1.0276574651073267</v>
      </c>
    </row>
    <row r="2734" spans="1:5" x14ac:dyDescent="0.25">
      <c r="A2734" s="17">
        <v>291</v>
      </c>
      <c r="B2734" s="31">
        <v>50905</v>
      </c>
      <c r="C2734" s="32">
        <f>INDEX('Input Data'!$B:$B,A2734)/2+IF(A2734&lt;&gt;A2735,100,0)</f>
        <v>1.875</v>
      </c>
      <c r="D2734" s="33">
        <f>INDEX('ZCB Curve - Payment Dates'!$D$2:$D$246,MATCH(B2734,'ZCB Curve - Payment Dates'!$A$2:$A$246,0))</f>
        <v>0.5323673246083096</v>
      </c>
      <c r="E2734" s="32">
        <f t="shared" si="42"/>
        <v>0.99818873364058047</v>
      </c>
    </row>
    <row r="2735" spans="1:5" x14ac:dyDescent="0.25">
      <c r="A2735" s="17">
        <v>291</v>
      </c>
      <c r="B2735" s="31">
        <v>51089</v>
      </c>
      <c r="C2735" s="32">
        <f>INDEX('Input Data'!$B:$B,A2735)/2+IF(A2735&lt;&gt;A2736,100,0)</f>
        <v>1.875</v>
      </c>
      <c r="D2735" s="33">
        <f>INDEX('ZCB Curve - Payment Dates'!$D$2:$D$246,MATCH(B2735,'ZCB Curve - Payment Dates'!$A$2:$A$246,0))</f>
        <v>0.51668806431098135</v>
      </c>
      <c r="E2735" s="32">
        <f t="shared" si="42"/>
        <v>0.96879012058309</v>
      </c>
    </row>
    <row r="2736" spans="1:5" x14ac:dyDescent="0.25">
      <c r="A2736" s="17">
        <v>291</v>
      </c>
      <c r="B2736" s="31">
        <v>51271</v>
      </c>
      <c r="C2736" s="32">
        <f>INDEX('Input Data'!$B:$B,A2736)/2+IF(A2736&lt;&gt;A2737,100,0)</f>
        <v>1.875</v>
      </c>
      <c r="D2736" s="33">
        <f>INDEX('ZCB Curve - Payment Dates'!$D$2:$D$246,MATCH(B2736,'ZCB Curve - Payment Dates'!$A$2:$A$246,0))</f>
        <v>0.50149590020417278</v>
      </c>
      <c r="E2736" s="32">
        <f t="shared" si="42"/>
        <v>0.94030481288282397</v>
      </c>
    </row>
    <row r="2737" spans="1:5" x14ac:dyDescent="0.25">
      <c r="A2737" s="17">
        <v>291</v>
      </c>
      <c r="B2737" s="31">
        <v>51455</v>
      </c>
      <c r="C2737" s="32">
        <f>INDEX('Input Data'!$B:$B,A2737)/2+IF(A2737&lt;&gt;A2738,100,0)</f>
        <v>1.875</v>
      </c>
      <c r="D2737" s="33">
        <f>INDEX('ZCB Curve - Payment Dates'!$D$2:$D$246,MATCH(B2737,'ZCB Curve - Payment Dates'!$A$2:$A$246,0))</f>
        <v>0.48647538074270091</v>
      </c>
      <c r="E2737" s="32">
        <f t="shared" si="42"/>
        <v>0.91214133889256421</v>
      </c>
    </row>
    <row r="2738" spans="1:5" x14ac:dyDescent="0.25">
      <c r="A2738" s="17">
        <v>291</v>
      </c>
      <c r="B2738" s="31">
        <v>51636</v>
      </c>
      <c r="C2738" s="32">
        <f>INDEX('Input Data'!$B:$B,A2738)/2+IF(A2738&lt;&gt;A2739,100,0)</f>
        <v>1.875</v>
      </c>
      <c r="D2738" s="33">
        <f>INDEX('ZCB Curve - Payment Dates'!$D$2:$D$246,MATCH(B2738,'ZCB Curve - Payment Dates'!$A$2:$A$246,0))</f>
        <v>0.47204918703719451</v>
      </c>
      <c r="E2738" s="32">
        <f t="shared" si="42"/>
        <v>0.88509222569473966</v>
      </c>
    </row>
    <row r="2739" spans="1:5" x14ac:dyDescent="0.25">
      <c r="A2739" s="17">
        <v>291</v>
      </c>
      <c r="B2739" s="31">
        <v>51820</v>
      </c>
      <c r="C2739" s="32">
        <f>INDEX('Input Data'!$B:$B,A2739)/2+IF(A2739&lt;&gt;A2740,100,0)</f>
        <v>1.875</v>
      </c>
      <c r="D2739" s="33">
        <f>INDEX('ZCB Curve - Payment Dates'!$D$2:$D$246,MATCH(B2739,'ZCB Curve - Payment Dates'!$A$2:$A$246,0))</f>
        <v>0.45775548669345245</v>
      </c>
      <c r="E2739" s="32">
        <f t="shared" si="42"/>
        <v>0.85829153755022336</v>
      </c>
    </row>
    <row r="2740" spans="1:5" x14ac:dyDescent="0.25">
      <c r="A2740" s="17">
        <v>291</v>
      </c>
      <c r="B2740" s="31">
        <v>52001</v>
      </c>
      <c r="C2740" s="32">
        <f>INDEX('Input Data'!$B:$B,A2740)/2+IF(A2740&lt;&gt;A2741,100,0)</f>
        <v>1.875</v>
      </c>
      <c r="D2740" s="33">
        <f>INDEX('ZCB Curve - Payment Dates'!$D$2:$D$246,MATCH(B2740,'ZCB Curve - Payment Dates'!$A$2:$A$246,0))</f>
        <v>0.44407192118484318</v>
      </c>
      <c r="E2740" s="32">
        <f t="shared" si="42"/>
        <v>0.83263485222158096</v>
      </c>
    </row>
    <row r="2741" spans="1:5" x14ac:dyDescent="0.25">
      <c r="A2741" s="17">
        <v>291</v>
      </c>
      <c r="B2741" s="31">
        <v>52185</v>
      </c>
      <c r="C2741" s="32">
        <f>INDEX('Input Data'!$B:$B,A2741)/2+IF(A2741&lt;&gt;A2742,100,0)</f>
        <v>1.875</v>
      </c>
      <c r="D2741" s="33">
        <f>INDEX('ZCB Curve - Payment Dates'!$D$2:$D$246,MATCH(B2741,'ZCB Curve - Payment Dates'!$A$2:$A$246,0))</f>
        <v>0.43055647946672393</v>
      </c>
      <c r="E2741" s="32">
        <f t="shared" si="42"/>
        <v>0.80729339900010733</v>
      </c>
    </row>
    <row r="2742" spans="1:5" x14ac:dyDescent="0.25">
      <c r="A2742" s="17">
        <v>291</v>
      </c>
      <c r="B2742" s="31">
        <v>52366</v>
      </c>
      <c r="C2742" s="32">
        <f>INDEX('Input Data'!$B:$B,A2742)/2+IF(A2742&lt;&gt;A2743,100,0)</f>
        <v>1.875</v>
      </c>
      <c r="D2742" s="33">
        <f>INDEX('ZCB Curve - Payment Dates'!$D$2:$D$246,MATCH(B2742,'ZCB Curve - Payment Dates'!$A$2:$A$246,0))</f>
        <v>0.41765686229470528</v>
      </c>
      <c r="E2742" s="32">
        <f t="shared" si="42"/>
        <v>0.78310661680257243</v>
      </c>
    </row>
    <row r="2743" spans="1:5" x14ac:dyDescent="0.25">
      <c r="A2743" s="17">
        <v>291</v>
      </c>
      <c r="B2743" s="31">
        <v>52550</v>
      </c>
      <c r="C2743" s="32">
        <f>INDEX('Input Data'!$B:$B,A2743)/2+IF(A2743&lt;&gt;A2744,100,0)</f>
        <v>101.875</v>
      </c>
      <c r="D2743" s="33">
        <f>INDEX('ZCB Curve - Payment Dates'!$D$2:$D$246,MATCH(B2743,'ZCB Curve - Payment Dates'!$A$2:$A$246,0))</f>
        <v>0.40495237741553414</v>
      </c>
      <c r="E2743" s="32">
        <f t="shared" si="42"/>
        <v>41.254523449207539</v>
      </c>
    </row>
    <row r="2744" spans="1:5" x14ac:dyDescent="0.25">
      <c r="A2744" s="17">
        <v>292</v>
      </c>
      <c r="B2744" s="31">
        <v>46341</v>
      </c>
      <c r="C2744" s="32">
        <f>INDEX('Input Data'!$B:$B,A2744)/2+IF(A2744&lt;&gt;A2745,100,0)</f>
        <v>2.375</v>
      </c>
      <c r="D2744" s="33">
        <f>INDEX('ZCB Curve - Payment Dates'!$D$2:$D$246,MATCH(B2744,'ZCB Curve - Payment Dates'!$A$2:$A$246,0))</f>
        <v>0.99245367292309439</v>
      </c>
      <c r="E2744" s="32">
        <f t="shared" si="42"/>
        <v>2.3570774731923492</v>
      </c>
    </row>
    <row r="2745" spans="1:5" x14ac:dyDescent="0.25">
      <c r="A2745" s="17">
        <v>292</v>
      </c>
      <c r="B2745" s="31">
        <v>46522</v>
      </c>
      <c r="C2745" s="32">
        <f>INDEX('Input Data'!$B:$B,A2745)/2+IF(A2745&lt;&gt;A2746,100,0)</f>
        <v>2.375</v>
      </c>
      <c r="D2745" s="33">
        <f>INDEX('ZCB Curve - Payment Dates'!$D$2:$D$246,MATCH(B2745,'ZCB Curve - Payment Dates'!$A$2:$A$246,0))</f>
        <v>0.97242179559611874</v>
      </c>
      <c r="E2745" s="32">
        <f t="shared" si="42"/>
        <v>2.3095017645407818</v>
      </c>
    </row>
    <row r="2746" spans="1:5" x14ac:dyDescent="0.25">
      <c r="A2746" s="17">
        <v>292</v>
      </c>
      <c r="B2746" s="31">
        <v>46706</v>
      </c>
      <c r="C2746" s="32">
        <f>INDEX('Input Data'!$B:$B,A2746)/2+IF(A2746&lt;&gt;A2747,100,0)</f>
        <v>2.375</v>
      </c>
      <c r="D2746" s="33">
        <f>INDEX('ZCB Curve - Payment Dates'!$D$2:$D$246,MATCH(B2746,'ZCB Curve - Payment Dates'!$A$2:$A$246,0))</f>
        <v>0.95121018311627348</v>
      </c>
      <c r="E2746" s="32">
        <f t="shared" si="42"/>
        <v>2.2591241849011494</v>
      </c>
    </row>
    <row r="2747" spans="1:5" x14ac:dyDescent="0.25">
      <c r="A2747" s="17">
        <v>292</v>
      </c>
      <c r="B2747" s="31">
        <v>46888</v>
      </c>
      <c r="C2747" s="32">
        <f>INDEX('Input Data'!$B:$B,A2747)/2+IF(A2747&lt;&gt;A2748,100,0)</f>
        <v>2.375</v>
      </c>
      <c r="D2747" s="33">
        <f>INDEX('ZCB Curve - Payment Dates'!$D$2:$D$246,MATCH(B2747,'ZCB Curve - Payment Dates'!$A$2:$A$246,0))</f>
        <v>0.93000025435083566</v>
      </c>
      <c r="E2747" s="32">
        <f t="shared" si="42"/>
        <v>2.2087506040832348</v>
      </c>
    </row>
    <row r="2748" spans="1:5" x14ac:dyDescent="0.25">
      <c r="A2748" s="17">
        <v>292</v>
      </c>
      <c r="B2748" s="31">
        <v>47072</v>
      </c>
      <c r="C2748" s="32">
        <f>INDEX('Input Data'!$B:$B,A2748)/2+IF(A2748&lt;&gt;A2749,100,0)</f>
        <v>2.375</v>
      </c>
      <c r="D2748" s="33">
        <f>INDEX('ZCB Curve - Payment Dates'!$D$2:$D$246,MATCH(B2748,'ZCB Curve - Payment Dates'!$A$2:$A$246,0))</f>
        <v>0.90870125167038918</v>
      </c>
      <c r="E2748" s="32">
        <f t="shared" si="42"/>
        <v>2.1581654727171742</v>
      </c>
    </row>
    <row r="2749" spans="1:5" x14ac:dyDescent="0.25">
      <c r="A2749" s="17">
        <v>292</v>
      </c>
      <c r="B2749" s="31">
        <v>47253</v>
      </c>
      <c r="C2749" s="32">
        <f>INDEX('Input Data'!$B:$B,A2749)/2+IF(A2749&lt;&gt;A2750,100,0)</f>
        <v>2.375</v>
      </c>
      <c r="D2749" s="33">
        <f>INDEX('ZCB Curve - Payment Dates'!$D$2:$D$246,MATCH(B2749,'ZCB Curve - Payment Dates'!$A$2:$A$246,0))</f>
        <v>0.88809325063638844</v>
      </c>
      <c r="E2749" s="32">
        <f t="shared" si="42"/>
        <v>2.1092214702614225</v>
      </c>
    </row>
    <row r="2750" spans="1:5" x14ac:dyDescent="0.25">
      <c r="A2750" s="17">
        <v>292</v>
      </c>
      <c r="B2750" s="31">
        <v>47437</v>
      </c>
      <c r="C2750" s="32">
        <f>INDEX('Input Data'!$B:$B,A2750)/2+IF(A2750&lt;&gt;A2751,100,0)</f>
        <v>2.375</v>
      </c>
      <c r="D2750" s="33">
        <f>INDEX('ZCB Curve - Payment Dates'!$D$2:$D$246,MATCH(B2750,'ZCB Curve - Payment Dates'!$A$2:$A$246,0))</f>
        <v>0.86758824089536279</v>
      </c>
      <c r="E2750" s="32">
        <f t="shared" si="42"/>
        <v>2.0605220721264867</v>
      </c>
    </row>
    <row r="2751" spans="1:5" x14ac:dyDescent="0.25">
      <c r="A2751" s="17">
        <v>292</v>
      </c>
      <c r="B2751" s="31">
        <v>47618</v>
      </c>
      <c r="C2751" s="32">
        <f>INDEX('Input Data'!$B:$B,A2751)/2+IF(A2751&lt;&gt;A2752,100,0)</f>
        <v>2.375</v>
      </c>
      <c r="D2751" s="33">
        <f>INDEX('ZCB Curve - Payment Dates'!$D$2:$D$246,MATCH(B2751,'ZCB Curve - Payment Dates'!$A$2:$A$246,0))</f>
        <v>0.84787416911783064</v>
      </c>
      <c r="E2751" s="32">
        <f t="shared" si="42"/>
        <v>2.013701151654848</v>
      </c>
    </row>
    <row r="2752" spans="1:5" x14ac:dyDescent="0.25">
      <c r="A2752" s="17">
        <v>292</v>
      </c>
      <c r="B2752" s="31">
        <v>47802</v>
      </c>
      <c r="C2752" s="32">
        <f>INDEX('Input Data'!$B:$B,A2752)/2+IF(A2752&lt;&gt;A2753,100,0)</f>
        <v>2.375</v>
      </c>
      <c r="D2752" s="33">
        <f>INDEX('ZCB Curve - Payment Dates'!$D$2:$D$246,MATCH(B2752,'ZCB Curve - Payment Dates'!$A$2:$A$246,0))</f>
        <v>0.82827715028796722</v>
      </c>
      <c r="E2752" s="32">
        <f t="shared" si="42"/>
        <v>1.9671582319339223</v>
      </c>
    </row>
    <row r="2753" spans="1:5" x14ac:dyDescent="0.25">
      <c r="A2753" s="17">
        <v>292</v>
      </c>
      <c r="B2753" s="31">
        <v>47983</v>
      </c>
      <c r="C2753" s="32">
        <f>INDEX('Input Data'!$B:$B,A2753)/2+IF(A2753&lt;&gt;A2754,100,0)</f>
        <v>2.375</v>
      </c>
      <c r="D2753" s="33">
        <f>INDEX('ZCB Curve - Payment Dates'!$D$2:$D$246,MATCH(B2753,'ZCB Curve - Payment Dates'!$A$2:$A$246,0))</f>
        <v>0.80939067484273564</v>
      </c>
      <c r="E2753" s="32">
        <f t="shared" si="42"/>
        <v>1.9223028527514971</v>
      </c>
    </row>
    <row r="2754" spans="1:5" x14ac:dyDescent="0.25">
      <c r="A2754" s="17">
        <v>292</v>
      </c>
      <c r="B2754" s="31">
        <v>48167</v>
      </c>
      <c r="C2754" s="32">
        <f>INDEX('Input Data'!$B:$B,A2754)/2+IF(A2754&lt;&gt;A2755,100,0)</f>
        <v>2.375</v>
      </c>
      <c r="D2754" s="33">
        <f>INDEX('ZCB Curve - Payment Dates'!$D$2:$D$246,MATCH(B2754,'ZCB Curve - Payment Dates'!$A$2:$A$246,0))</f>
        <v>0.79053567842581962</v>
      </c>
      <c r="E2754" s="32">
        <f t="shared" ref="E2754:E2817" si="43">C2754*D2754</f>
        <v>1.8775222362613215</v>
      </c>
    </row>
    <row r="2755" spans="1:5" x14ac:dyDescent="0.25">
      <c r="A2755" s="17">
        <v>292</v>
      </c>
      <c r="B2755" s="31">
        <v>48349</v>
      </c>
      <c r="C2755" s="32">
        <f>INDEX('Input Data'!$B:$B,A2755)/2+IF(A2755&lt;&gt;A2756,100,0)</f>
        <v>2.375</v>
      </c>
      <c r="D2755" s="33">
        <f>INDEX('ZCB Curve - Payment Dates'!$D$2:$D$246,MATCH(B2755,'ZCB Curve - Payment Dates'!$A$2:$A$246,0))</f>
        <v>0.77217305702007488</v>
      </c>
      <c r="E2755" s="32">
        <f t="shared" si="43"/>
        <v>1.8339110104226779</v>
      </c>
    </row>
    <row r="2756" spans="1:5" x14ac:dyDescent="0.25">
      <c r="A2756" s="17">
        <v>292</v>
      </c>
      <c r="B2756" s="31">
        <v>48533</v>
      </c>
      <c r="C2756" s="32">
        <f>INDEX('Input Data'!$B:$B,A2756)/2+IF(A2756&lt;&gt;A2757,100,0)</f>
        <v>2.375</v>
      </c>
      <c r="D2756" s="33">
        <f>INDEX('ZCB Curve - Payment Dates'!$D$2:$D$246,MATCH(B2756,'ZCB Curve - Payment Dates'!$A$2:$A$246,0))</f>
        <v>0.75384766072076514</v>
      </c>
      <c r="E2756" s="32">
        <f t="shared" si="43"/>
        <v>1.7903881942118172</v>
      </c>
    </row>
    <row r="2757" spans="1:5" x14ac:dyDescent="0.25">
      <c r="A2757" s="17">
        <v>292</v>
      </c>
      <c r="B2757" s="31">
        <v>48714</v>
      </c>
      <c r="C2757" s="32">
        <f>INDEX('Input Data'!$B:$B,A2757)/2+IF(A2757&lt;&gt;A2758,100,0)</f>
        <v>2.375</v>
      </c>
      <c r="D2757" s="33">
        <f>INDEX('ZCB Curve - Payment Dates'!$D$2:$D$246,MATCH(B2757,'ZCB Curve - Payment Dates'!$A$2:$A$246,0))</f>
        <v>0.73601491848746747</v>
      </c>
      <c r="E2757" s="32">
        <f t="shared" si="43"/>
        <v>1.7480354314077353</v>
      </c>
    </row>
    <row r="2758" spans="1:5" x14ac:dyDescent="0.25">
      <c r="A2758" s="17">
        <v>292</v>
      </c>
      <c r="B2758" s="31">
        <v>48898</v>
      </c>
      <c r="C2758" s="32">
        <f>INDEX('Input Data'!$B:$B,A2758)/2+IF(A2758&lt;&gt;A2759,100,0)</f>
        <v>2.375</v>
      </c>
      <c r="D2758" s="33">
        <f>INDEX('ZCB Curve - Payment Dates'!$D$2:$D$246,MATCH(B2758,'ZCB Curve - Payment Dates'!$A$2:$A$246,0))</f>
        <v>0.71805338140354003</v>
      </c>
      <c r="E2758" s="32">
        <f t="shared" si="43"/>
        <v>1.7053767808334075</v>
      </c>
    </row>
    <row r="2759" spans="1:5" x14ac:dyDescent="0.25">
      <c r="A2759" s="17">
        <v>292</v>
      </c>
      <c r="B2759" s="31">
        <v>49079</v>
      </c>
      <c r="C2759" s="32">
        <f>INDEX('Input Data'!$B:$B,A2759)/2+IF(A2759&lt;&gt;A2760,100,0)</f>
        <v>2.375</v>
      </c>
      <c r="D2759" s="33">
        <f>INDEX('ZCB Curve - Payment Dates'!$D$2:$D$246,MATCH(B2759,'ZCB Curve - Payment Dates'!$A$2:$A$246,0))</f>
        <v>0.70052630492471468</v>
      </c>
      <c r="E2759" s="32">
        <f t="shared" si="43"/>
        <v>1.6637499741961974</v>
      </c>
    </row>
    <row r="2760" spans="1:5" x14ac:dyDescent="0.25">
      <c r="A2760" s="17">
        <v>292</v>
      </c>
      <c r="B2760" s="31">
        <v>49263</v>
      </c>
      <c r="C2760" s="32">
        <f>INDEX('Input Data'!$B:$B,A2760)/2+IF(A2760&lt;&gt;A2761,100,0)</f>
        <v>2.375</v>
      </c>
      <c r="D2760" s="33">
        <f>INDEX('ZCB Curve - Payment Dates'!$D$2:$D$246,MATCH(B2760,'ZCB Curve - Payment Dates'!$A$2:$A$246,0))</f>
        <v>0.68284221202539863</v>
      </c>
      <c r="E2760" s="32">
        <f t="shared" si="43"/>
        <v>1.6217502535603217</v>
      </c>
    </row>
    <row r="2761" spans="1:5" x14ac:dyDescent="0.25">
      <c r="A2761" s="17">
        <v>292</v>
      </c>
      <c r="B2761" s="31">
        <v>49444</v>
      </c>
      <c r="C2761" s="32">
        <f>INDEX('Input Data'!$B:$B,A2761)/2+IF(A2761&lt;&gt;A2762,100,0)</f>
        <v>2.375</v>
      </c>
      <c r="D2761" s="33">
        <f>INDEX('ZCB Curve - Payment Dates'!$D$2:$D$246,MATCH(B2761,'ZCB Curve - Payment Dates'!$A$2:$A$246,0))</f>
        <v>0.66557347415228496</v>
      </c>
      <c r="E2761" s="32">
        <f t="shared" si="43"/>
        <v>1.5807370011116768</v>
      </c>
    </row>
    <row r="2762" spans="1:5" x14ac:dyDescent="0.25">
      <c r="A2762" s="17">
        <v>292</v>
      </c>
      <c r="B2762" s="31">
        <v>49628</v>
      </c>
      <c r="C2762" s="32">
        <f>INDEX('Input Data'!$B:$B,A2762)/2+IF(A2762&lt;&gt;A2763,100,0)</f>
        <v>2.375</v>
      </c>
      <c r="D2762" s="33">
        <f>INDEX('ZCB Curve - Payment Dates'!$D$2:$D$246,MATCH(B2762,'ZCB Curve - Payment Dates'!$A$2:$A$246,0))</f>
        <v>0.64815361918127823</v>
      </c>
      <c r="E2762" s="32">
        <f t="shared" si="43"/>
        <v>1.5393648455555358</v>
      </c>
    </row>
    <row r="2763" spans="1:5" x14ac:dyDescent="0.25">
      <c r="A2763" s="17">
        <v>292</v>
      </c>
      <c r="B2763" s="31">
        <v>49810</v>
      </c>
      <c r="C2763" s="32">
        <f>INDEX('Input Data'!$B:$B,A2763)/2+IF(A2763&lt;&gt;A2764,100,0)</f>
        <v>2.375</v>
      </c>
      <c r="D2763" s="33">
        <f>INDEX('ZCB Curve - Payment Dates'!$D$2:$D$246,MATCH(B2763,'ZCB Curve - Payment Dates'!$A$2:$A$246,0))</f>
        <v>0.63106457078577471</v>
      </c>
      <c r="E2763" s="32">
        <f t="shared" si="43"/>
        <v>1.4987783556162149</v>
      </c>
    </row>
    <row r="2764" spans="1:5" x14ac:dyDescent="0.25">
      <c r="A2764" s="17">
        <v>292</v>
      </c>
      <c r="B2764" s="31">
        <v>49994</v>
      </c>
      <c r="C2764" s="32">
        <f>INDEX('Input Data'!$B:$B,A2764)/2+IF(A2764&lt;&gt;A2765,100,0)</f>
        <v>2.375</v>
      </c>
      <c r="D2764" s="33">
        <f>INDEX('ZCB Curve - Payment Dates'!$D$2:$D$246,MATCH(B2764,'ZCB Curve - Payment Dates'!$A$2:$A$246,0))</f>
        <v>0.61395227923184648</v>
      </c>
      <c r="E2764" s="32">
        <f t="shared" si="43"/>
        <v>1.4581366631756354</v>
      </c>
    </row>
    <row r="2765" spans="1:5" x14ac:dyDescent="0.25">
      <c r="A2765" s="17">
        <v>292</v>
      </c>
      <c r="B2765" s="31">
        <v>50175</v>
      </c>
      <c r="C2765" s="32">
        <f>INDEX('Input Data'!$B:$B,A2765)/2+IF(A2765&lt;&gt;A2766,100,0)</f>
        <v>2.375</v>
      </c>
      <c r="D2765" s="33">
        <f>INDEX('ZCB Curve - Payment Dates'!$D$2:$D$246,MATCH(B2765,'ZCB Curve - Payment Dates'!$A$2:$A$246,0))</f>
        <v>0.5972963482314616</v>
      </c>
      <c r="E2765" s="32">
        <f t="shared" si="43"/>
        <v>1.4185788270497213</v>
      </c>
    </row>
    <row r="2766" spans="1:5" x14ac:dyDescent="0.25">
      <c r="A2766" s="17">
        <v>292</v>
      </c>
      <c r="B2766" s="31">
        <v>50359</v>
      </c>
      <c r="C2766" s="32">
        <f>INDEX('Input Data'!$B:$B,A2766)/2+IF(A2766&lt;&gt;A2767,100,0)</f>
        <v>2.375</v>
      </c>
      <c r="D2766" s="33">
        <f>INDEX('ZCB Curve - Payment Dates'!$D$2:$D$246,MATCH(B2766,'ZCB Curve - Payment Dates'!$A$2:$A$246,0))</f>
        <v>0.58056812006155756</v>
      </c>
      <c r="E2766" s="32">
        <f t="shared" si="43"/>
        <v>1.3788492851461993</v>
      </c>
    </row>
    <row r="2767" spans="1:5" x14ac:dyDescent="0.25">
      <c r="A2767" s="17">
        <v>292</v>
      </c>
      <c r="B2767" s="31">
        <v>50540</v>
      </c>
      <c r="C2767" s="32">
        <f>INDEX('Input Data'!$B:$B,A2767)/2+IF(A2767&lt;&gt;A2768,100,0)</f>
        <v>2.375</v>
      </c>
      <c r="D2767" s="33">
        <f>INDEX('ZCB Curve - Payment Dates'!$D$2:$D$246,MATCH(B2767,'ZCB Curve - Payment Dates'!$A$2:$A$246,0))</f>
        <v>0.56433491315969797</v>
      </c>
      <c r="E2767" s="32">
        <f t="shared" si="43"/>
        <v>1.3402954187542826</v>
      </c>
    </row>
    <row r="2768" spans="1:5" x14ac:dyDescent="0.25">
      <c r="A2768" s="17">
        <v>292</v>
      </c>
      <c r="B2768" s="31">
        <v>50724</v>
      </c>
      <c r="C2768" s="32">
        <f>INDEX('Input Data'!$B:$B,A2768)/2+IF(A2768&lt;&gt;A2769,100,0)</f>
        <v>2.375</v>
      </c>
      <c r="D2768" s="33">
        <f>INDEX('ZCB Curve - Payment Dates'!$D$2:$D$246,MATCH(B2768,'ZCB Curve - Payment Dates'!$A$2:$A$246,0))</f>
        <v>0.54808398139057424</v>
      </c>
      <c r="E2768" s="32">
        <f t="shared" si="43"/>
        <v>1.3016994558026138</v>
      </c>
    </row>
    <row r="2769" spans="1:5" x14ac:dyDescent="0.25">
      <c r="A2769" s="17">
        <v>292</v>
      </c>
      <c r="B2769" s="31">
        <v>50905</v>
      </c>
      <c r="C2769" s="32">
        <f>INDEX('Input Data'!$B:$B,A2769)/2+IF(A2769&lt;&gt;A2770,100,0)</f>
        <v>2.375</v>
      </c>
      <c r="D2769" s="33">
        <f>INDEX('ZCB Curve - Payment Dates'!$D$2:$D$246,MATCH(B2769,'ZCB Curve - Payment Dates'!$A$2:$A$246,0))</f>
        <v>0.5323673246083096</v>
      </c>
      <c r="E2769" s="32">
        <f t="shared" si="43"/>
        <v>1.2643723959447353</v>
      </c>
    </row>
    <row r="2770" spans="1:5" x14ac:dyDescent="0.25">
      <c r="A2770" s="17">
        <v>292</v>
      </c>
      <c r="B2770" s="31">
        <v>51089</v>
      </c>
      <c r="C2770" s="32">
        <f>INDEX('Input Data'!$B:$B,A2770)/2+IF(A2770&lt;&gt;A2771,100,0)</f>
        <v>2.375</v>
      </c>
      <c r="D2770" s="33">
        <f>INDEX('ZCB Curve - Payment Dates'!$D$2:$D$246,MATCH(B2770,'ZCB Curve - Payment Dates'!$A$2:$A$246,0))</f>
        <v>0.51668806431098135</v>
      </c>
      <c r="E2770" s="32">
        <f t="shared" si="43"/>
        <v>1.2271341527385806</v>
      </c>
    </row>
    <row r="2771" spans="1:5" x14ac:dyDescent="0.25">
      <c r="A2771" s="17">
        <v>292</v>
      </c>
      <c r="B2771" s="31">
        <v>51271</v>
      </c>
      <c r="C2771" s="32">
        <f>INDEX('Input Data'!$B:$B,A2771)/2+IF(A2771&lt;&gt;A2772,100,0)</f>
        <v>2.375</v>
      </c>
      <c r="D2771" s="33">
        <f>INDEX('ZCB Curve - Payment Dates'!$D$2:$D$246,MATCH(B2771,'ZCB Curve - Payment Dates'!$A$2:$A$246,0))</f>
        <v>0.50149590020417278</v>
      </c>
      <c r="E2771" s="32">
        <f t="shared" si="43"/>
        <v>1.1910527629849104</v>
      </c>
    </row>
    <row r="2772" spans="1:5" x14ac:dyDescent="0.25">
      <c r="A2772" s="17">
        <v>292</v>
      </c>
      <c r="B2772" s="31">
        <v>51455</v>
      </c>
      <c r="C2772" s="32">
        <f>INDEX('Input Data'!$B:$B,A2772)/2+IF(A2772&lt;&gt;A2773,100,0)</f>
        <v>2.375</v>
      </c>
      <c r="D2772" s="33">
        <f>INDEX('ZCB Curve - Payment Dates'!$D$2:$D$246,MATCH(B2772,'ZCB Curve - Payment Dates'!$A$2:$A$246,0))</f>
        <v>0.48647538074270091</v>
      </c>
      <c r="E2772" s="32">
        <f t="shared" si="43"/>
        <v>1.1553790292639148</v>
      </c>
    </row>
    <row r="2773" spans="1:5" x14ac:dyDescent="0.25">
      <c r="A2773" s="17">
        <v>292</v>
      </c>
      <c r="B2773" s="31">
        <v>51636</v>
      </c>
      <c r="C2773" s="32">
        <f>INDEX('Input Data'!$B:$B,A2773)/2+IF(A2773&lt;&gt;A2774,100,0)</f>
        <v>2.375</v>
      </c>
      <c r="D2773" s="33">
        <f>INDEX('ZCB Curve - Payment Dates'!$D$2:$D$246,MATCH(B2773,'ZCB Curve - Payment Dates'!$A$2:$A$246,0))</f>
        <v>0.47204918703719451</v>
      </c>
      <c r="E2773" s="32">
        <f t="shared" si="43"/>
        <v>1.1211168192133369</v>
      </c>
    </row>
    <row r="2774" spans="1:5" x14ac:dyDescent="0.25">
      <c r="A2774" s="17">
        <v>292</v>
      </c>
      <c r="B2774" s="31">
        <v>51820</v>
      </c>
      <c r="C2774" s="32">
        <f>INDEX('Input Data'!$B:$B,A2774)/2+IF(A2774&lt;&gt;A2775,100,0)</f>
        <v>2.375</v>
      </c>
      <c r="D2774" s="33">
        <f>INDEX('ZCB Curve - Payment Dates'!$D$2:$D$246,MATCH(B2774,'ZCB Curve - Payment Dates'!$A$2:$A$246,0))</f>
        <v>0.45775548669345245</v>
      </c>
      <c r="E2774" s="32">
        <f t="shared" si="43"/>
        <v>1.0871692808969495</v>
      </c>
    </row>
    <row r="2775" spans="1:5" x14ac:dyDescent="0.25">
      <c r="A2775" s="17">
        <v>292</v>
      </c>
      <c r="B2775" s="31">
        <v>52001</v>
      </c>
      <c r="C2775" s="32">
        <f>INDEX('Input Data'!$B:$B,A2775)/2+IF(A2775&lt;&gt;A2776,100,0)</f>
        <v>2.375</v>
      </c>
      <c r="D2775" s="33">
        <f>INDEX('ZCB Curve - Payment Dates'!$D$2:$D$246,MATCH(B2775,'ZCB Curve - Payment Dates'!$A$2:$A$246,0))</f>
        <v>0.44407192118484318</v>
      </c>
      <c r="E2775" s="32">
        <f t="shared" si="43"/>
        <v>1.0546708128140025</v>
      </c>
    </row>
    <row r="2776" spans="1:5" x14ac:dyDescent="0.25">
      <c r="A2776" s="17">
        <v>292</v>
      </c>
      <c r="B2776" s="31">
        <v>52185</v>
      </c>
      <c r="C2776" s="32">
        <f>INDEX('Input Data'!$B:$B,A2776)/2+IF(A2776&lt;&gt;A2777,100,0)</f>
        <v>2.375</v>
      </c>
      <c r="D2776" s="33">
        <f>INDEX('ZCB Curve - Payment Dates'!$D$2:$D$246,MATCH(B2776,'ZCB Curve - Payment Dates'!$A$2:$A$246,0))</f>
        <v>0.43055647946672393</v>
      </c>
      <c r="E2776" s="32">
        <f t="shared" si="43"/>
        <v>1.0225716387334693</v>
      </c>
    </row>
    <row r="2777" spans="1:5" x14ac:dyDescent="0.25">
      <c r="A2777" s="17">
        <v>292</v>
      </c>
      <c r="B2777" s="31">
        <v>52366</v>
      </c>
      <c r="C2777" s="32">
        <f>INDEX('Input Data'!$B:$B,A2777)/2+IF(A2777&lt;&gt;A2778,100,0)</f>
        <v>2.375</v>
      </c>
      <c r="D2777" s="33">
        <f>INDEX('ZCB Curve - Payment Dates'!$D$2:$D$246,MATCH(B2777,'ZCB Curve - Payment Dates'!$A$2:$A$246,0))</f>
        <v>0.41765686229470528</v>
      </c>
      <c r="E2777" s="32">
        <f t="shared" si="43"/>
        <v>0.99193504794992504</v>
      </c>
    </row>
    <row r="2778" spans="1:5" x14ac:dyDescent="0.25">
      <c r="A2778" s="17">
        <v>292</v>
      </c>
      <c r="B2778" s="31">
        <v>52550</v>
      </c>
      <c r="C2778" s="32">
        <f>INDEX('Input Data'!$B:$B,A2778)/2+IF(A2778&lt;&gt;A2779,100,0)</f>
        <v>102.375</v>
      </c>
      <c r="D2778" s="33">
        <f>INDEX('ZCB Curve - Payment Dates'!$D$2:$D$246,MATCH(B2778,'ZCB Curve - Payment Dates'!$A$2:$A$246,0))</f>
        <v>0.40495237741553414</v>
      </c>
      <c r="E2778" s="32">
        <f t="shared" si="43"/>
        <v>41.45699963791531</v>
      </c>
    </row>
    <row r="2779" spans="1:5" x14ac:dyDescent="0.25">
      <c r="A2779" s="17">
        <v>293</v>
      </c>
      <c r="B2779" s="31">
        <v>46433</v>
      </c>
      <c r="C2779" s="32">
        <f>INDEX('Input Data'!$B:$B,A2779)/2+IF(A2779&lt;&gt;A2780,100,0)</f>
        <v>1.8125</v>
      </c>
      <c r="D2779" s="33">
        <f>INDEX('ZCB Curve - Payment Dates'!$D$2:$D$246,MATCH(B2779,'ZCB Curve - Payment Dates'!$A$2:$A$246,0))</f>
        <v>0.98242671792446301</v>
      </c>
      <c r="E2779" s="32">
        <f t="shared" si="43"/>
        <v>1.7806484262380893</v>
      </c>
    </row>
    <row r="2780" spans="1:5" x14ac:dyDescent="0.25">
      <c r="A2780" s="17">
        <v>293</v>
      </c>
      <c r="B2780" s="31">
        <v>46614</v>
      </c>
      <c r="C2780" s="32">
        <f>INDEX('Input Data'!$B:$B,A2780)/2+IF(A2780&lt;&gt;A2781,100,0)</f>
        <v>1.8125</v>
      </c>
      <c r="D2780" s="33">
        <f>INDEX('ZCB Curve - Payment Dates'!$D$2:$D$246,MATCH(B2780,'ZCB Curve - Payment Dates'!$A$2:$A$246,0))</f>
        <v>0.96187948164765535</v>
      </c>
      <c r="E2780" s="32">
        <f t="shared" si="43"/>
        <v>1.7434065604863753</v>
      </c>
    </row>
    <row r="2781" spans="1:5" x14ac:dyDescent="0.25">
      <c r="A2781" s="17">
        <v>293</v>
      </c>
      <c r="B2781" s="31">
        <v>46798</v>
      </c>
      <c r="C2781" s="32">
        <f>INDEX('Input Data'!$B:$B,A2781)/2+IF(A2781&lt;&gt;A2782,100,0)</f>
        <v>1.8125</v>
      </c>
      <c r="D2781" s="33">
        <f>INDEX('ZCB Curve - Payment Dates'!$D$2:$D$246,MATCH(B2781,'ZCB Curve - Payment Dates'!$A$2:$A$246,0))</f>
        <v>0.94049096132648802</v>
      </c>
      <c r="E2781" s="32">
        <f t="shared" si="43"/>
        <v>1.7046398674042595</v>
      </c>
    </row>
    <row r="2782" spans="1:5" x14ac:dyDescent="0.25">
      <c r="A2782" s="17">
        <v>293</v>
      </c>
      <c r="B2782" s="31">
        <v>46980</v>
      </c>
      <c r="C2782" s="32">
        <f>INDEX('Input Data'!$B:$B,A2782)/2+IF(A2782&lt;&gt;A2783,100,0)</f>
        <v>1.8125</v>
      </c>
      <c r="D2782" s="33">
        <f>INDEX('ZCB Curve - Payment Dates'!$D$2:$D$246,MATCH(B2782,'ZCB Curve - Payment Dates'!$A$2:$A$246,0))</f>
        <v>0.91931844130238327</v>
      </c>
      <c r="E2782" s="32">
        <f t="shared" si="43"/>
        <v>1.6662646748605696</v>
      </c>
    </row>
    <row r="2783" spans="1:5" x14ac:dyDescent="0.25">
      <c r="A2783" s="17">
        <v>293</v>
      </c>
      <c r="B2783" s="31">
        <v>47164</v>
      </c>
      <c r="C2783" s="32">
        <f>INDEX('Input Data'!$B:$B,A2783)/2+IF(A2783&lt;&gt;A2784,100,0)</f>
        <v>1.8125</v>
      </c>
      <c r="D2783" s="33">
        <f>INDEX('ZCB Curve - Payment Dates'!$D$2:$D$246,MATCH(B2783,'ZCB Curve - Payment Dates'!$A$2:$A$246,0))</f>
        <v>0.89817430058086534</v>
      </c>
      <c r="E2783" s="32">
        <f t="shared" si="43"/>
        <v>1.6279409198028185</v>
      </c>
    </row>
    <row r="2784" spans="1:5" x14ac:dyDescent="0.25">
      <c r="A2784" s="17">
        <v>293</v>
      </c>
      <c r="B2784" s="31">
        <v>47345</v>
      </c>
      <c r="C2784" s="32">
        <f>INDEX('Input Data'!$B:$B,A2784)/2+IF(A2784&lt;&gt;A2785,100,0)</f>
        <v>1.8125</v>
      </c>
      <c r="D2784" s="33">
        <f>INDEX('ZCB Curve - Payment Dates'!$D$2:$D$246,MATCH(B2784,'ZCB Curve - Payment Dates'!$A$2:$A$246,0))</f>
        <v>0.87778421628860481</v>
      </c>
      <c r="E2784" s="32">
        <f t="shared" si="43"/>
        <v>1.5909838920230963</v>
      </c>
    </row>
    <row r="2785" spans="1:5" x14ac:dyDescent="0.25">
      <c r="A2785" s="17">
        <v>293</v>
      </c>
      <c r="B2785" s="31">
        <v>47529</v>
      </c>
      <c r="C2785" s="32">
        <f>INDEX('Input Data'!$B:$B,A2785)/2+IF(A2785&lt;&gt;A2786,100,0)</f>
        <v>1.8125</v>
      </c>
      <c r="D2785" s="33">
        <f>INDEX('ZCB Curve - Payment Dates'!$D$2:$D$246,MATCH(B2785,'ZCB Curve - Payment Dates'!$A$2:$A$246,0))</f>
        <v>0.85751015570959666</v>
      </c>
      <c r="E2785" s="32">
        <f t="shared" si="43"/>
        <v>1.554237157223644</v>
      </c>
    </row>
    <row r="2786" spans="1:5" x14ac:dyDescent="0.25">
      <c r="A2786" s="17">
        <v>293</v>
      </c>
      <c r="B2786" s="31">
        <v>47710</v>
      </c>
      <c r="C2786" s="32">
        <f>INDEX('Input Data'!$B:$B,A2786)/2+IF(A2786&lt;&gt;A2787,100,0)</f>
        <v>1.8125</v>
      </c>
      <c r="D2786" s="33">
        <f>INDEX('ZCB Curve - Payment Dates'!$D$2:$D$246,MATCH(B2786,'ZCB Curve - Payment Dates'!$A$2:$A$246,0))</f>
        <v>0.83802423748211174</v>
      </c>
      <c r="E2786" s="32">
        <f t="shared" si="43"/>
        <v>1.5189189304363275</v>
      </c>
    </row>
    <row r="2787" spans="1:5" x14ac:dyDescent="0.25">
      <c r="A2787" s="17">
        <v>293</v>
      </c>
      <c r="B2787" s="31">
        <v>47894</v>
      </c>
      <c r="C2787" s="32">
        <f>INDEX('Input Data'!$B:$B,A2787)/2+IF(A2787&lt;&gt;A2788,100,0)</f>
        <v>1.8125</v>
      </c>
      <c r="D2787" s="33">
        <f>INDEX('ZCB Curve - Payment Dates'!$D$2:$D$246,MATCH(B2787,'ZCB Curve - Payment Dates'!$A$2:$A$246,0))</f>
        <v>0.8186305474741673</v>
      </c>
      <c r="E2787" s="32">
        <f t="shared" si="43"/>
        <v>1.4837678672969283</v>
      </c>
    </row>
    <row r="2788" spans="1:5" x14ac:dyDescent="0.25">
      <c r="A2788" s="17">
        <v>293</v>
      </c>
      <c r="B2788" s="31">
        <v>48075</v>
      </c>
      <c r="C2788" s="32">
        <f>INDEX('Input Data'!$B:$B,A2788)/2+IF(A2788&lt;&gt;A2789,100,0)</f>
        <v>1.8125</v>
      </c>
      <c r="D2788" s="33">
        <f>INDEX('ZCB Curve - Payment Dates'!$D$2:$D$246,MATCH(B2788,'ZCB Curve - Payment Dates'!$A$2:$A$246,0))</f>
        <v>0.7999252334775927</v>
      </c>
      <c r="E2788" s="32">
        <f t="shared" si="43"/>
        <v>1.4498644856781369</v>
      </c>
    </row>
    <row r="2789" spans="1:5" x14ac:dyDescent="0.25">
      <c r="A2789" s="17">
        <v>293</v>
      </c>
      <c r="B2789" s="31">
        <v>48259</v>
      </c>
      <c r="C2789" s="32">
        <f>INDEX('Input Data'!$B:$B,A2789)/2+IF(A2789&lt;&gt;A2790,100,0)</f>
        <v>1.8125</v>
      </c>
      <c r="D2789" s="33">
        <f>INDEX('ZCB Curve - Payment Dates'!$D$2:$D$246,MATCH(B2789,'ZCB Curve - Payment Dates'!$A$2:$A$246,0))</f>
        <v>0.78121887027612602</v>
      </c>
      <c r="E2789" s="32">
        <f t="shared" si="43"/>
        <v>1.4159592023754783</v>
      </c>
    </row>
    <row r="2790" spans="1:5" x14ac:dyDescent="0.25">
      <c r="A2790" s="17">
        <v>293</v>
      </c>
      <c r="B2790" s="31">
        <v>48441</v>
      </c>
      <c r="C2790" s="32">
        <f>INDEX('Input Data'!$B:$B,A2790)/2+IF(A2790&lt;&gt;A2791,100,0)</f>
        <v>1.8125</v>
      </c>
      <c r="D2790" s="33">
        <f>INDEX('ZCB Curve - Payment Dates'!$D$2:$D$246,MATCH(B2790,'ZCB Curve - Payment Dates'!$A$2:$A$246,0))</f>
        <v>0.76298123459017864</v>
      </c>
      <c r="E2790" s="32">
        <f t="shared" si="43"/>
        <v>1.3829034876946988</v>
      </c>
    </row>
    <row r="2791" spans="1:5" x14ac:dyDescent="0.25">
      <c r="A2791" s="17">
        <v>293</v>
      </c>
      <c r="B2791" s="31">
        <v>48625</v>
      </c>
      <c r="C2791" s="32">
        <f>INDEX('Input Data'!$B:$B,A2791)/2+IF(A2791&lt;&gt;A2792,100,0)</f>
        <v>1.8125</v>
      </c>
      <c r="D2791" s="33">
        <f>INDEX('ZCB Curve - Payment Dates'!$D$2:$D$246,MATCH(B2791,'ZCB Curve - Payment Dates'!$A$2:$A$246,0))</f>
        <v>0.74476011611938586</v>
      </c>
      <c r="E2791" s="32">
        <f t="shared" si="43"/>
        <v>1.3498777104663868</v>
      </c>
    </row>
    <row r="2792" spans="1:5" x14ac:dyDescent="0.25">
      <c r="A2792" s="17">
        <v>293</v>
      </c>
      <c r="B2792" s="31">
        <v>48806</v>
      </c>
      <c r="C2792" s="32">
        <f>INDEX('Input Data'!$B:$B,A2792)/2+IF(A2792&lt;&gt;A2793,100,0)</f>
        <v>1.8125</v>
      </c>
      <c r="D2792" s="33">
        <f>INDEX('ZCB Curve - Payment Dates'!$D$2:$D$246,MATCH(B2792,'ZCB Curve - Payment Dates'!$A$2:$A$246,0))</f>
        <v>0.72701302496114584</v>
      </c>
      <c r="E2792" s="32">
        <f t="shared" si="43"/>
        <v>1.3177111077420769</v>
      </c>
    </row>
    <row r="2793" spans="1:5" x14ac:dyDescent="0.25">
      <c r="A2793" s="17">
        <v>293</v>
      </c>
      <c r="B2793" s="31">
        <v>48990</v>
      </c>
      <c r="C2793" s="32">
        <f>INDEX('Input Data'!$B:$B,A2793)/2+IF(A2793&lt;&gt;A2794,100,0)</f>
        <v>1.8125</v>
      </c>
      <c r="D2793" s="33">
        <f>INDEX('ZCB Curve - Payment Dates'!$D$2:$D$246,MATCH(B2793,'ZCB Curve - Payment Dates'!$A$2:$A$246,0))</f>
        <v>0.70912647031380449</v>
      </c>
      <c r="E2793" s="32">
        <f t="shared" si="43"/>
        <v>1.2852917274437707</v>
      </c>
    </row>
    <row r="2794" spans="1:5" x14ac:dyDescent="0.25">
      <c r="A2794" s="17">
        <v>293</v>
      </c>
      <c r="B2794" s="31">
        <v>49171</v>
      </c>
      <c r="C2794" s="32">
        <f>INDEX('Input Data'!$B:$B,A2794)/2+IF(A2794&lt;&gt;A2795,100,0)</f>
        <v>1.8125</v>
      </c>
      <c r="D2794" s="33">
        <f>INDEX('ZCB Curve - Payment Dates'!$D$2:$D$246,MATCH(B2794,'ZCB Curve - Payment Dates'!$A$2:$A$246,0))</f>
        <v>0.6916661505723215</v>
      </c>
      <c r="E2794" s="32">
        <f t="shared" si="43"/>
        <v>1.2536448979123327</v>
      </c>
    </row>
    <row r="2795" spans="1:5" x14ac:dyDescent="0.25">
      <c r="A2795" s="17">
        <v>293</v>
      </c>
      <c r="B2795" s="31">
        <v>49355</v>
      </c>
      <c r="C2795" s="32">
        <f>INDEX('Input Data'!$B:$B,A2795)/2+IF(A2795&lt;&gt;A2796,100,0)</f>
        <v>1.8125</v>
      </c>
      <c r="D2795" s="33">
        <f>INDEX('ZCB Curve - Payment Dates'!$D$2:$D$246,MATCH(B2795,'ZCB Curve - Payment Dates'!$A$2:$A$246,0))</f>
        <v>0.674047377898778</v>
      </c>
      <c r="E2795" s="32">
        <f t="shared" si="43"/>
        <v>1.2217108724415351</v>
      </c>
    </row>
    <row r="2796" spans="1:5" x14ac:dyDescent="0.25">
      <c r="A2796" s="17">
        <v>293</v>
      </c>
      <c r="B2796" s="31">
        <v>49536</v>
      </c>
      <c r="C2796" s="32">
        <f>INDEX('Input Data'!$B:$B,A2796)/2+IF(A2796&lt;&gt;A2797,100,0)</f>
        <v>1.8125</v>
      </c>
      <c r="D2796" s="33">
        <f>INDEX('ZCB Curve - Payment Dates'!$D$2:$D$246,MATCH(B2796,'ZCB Curve - Payment Dates'!$A$2:$A$246,0))</f>
        <v>0.65684432300638129</v>
      </c>
      <c r="E2796" s="32">
        <f t="shared" si="43"/>
        <v>1.1905303354490662</v>
      </c>
    </row>
    <row r="2797" spans="1:5" x14ac:dyDescent="0.25">
      <c r="A2797" s="17">
        <v>293</v>
      </c>
      <c r="B2797" s="31">
        <v>49720</v>
      </c>
      <c r="C2797" s="32">
        <f>INDEX('Input Data'!$B:$B,A2797)/2+IF(A2797&lt;&gt;A2798,100,0)</f>
        <v>1.8125</v>
      </c>
      <c r="D2797" s="33">
        <f>INDEX('ZCB Curve - Payment Dates'!$D$2:$D$246,MATCH(B2797,'ZCB Curve - Payment Dates'!$A$2:$A$246,0))</f>
        <v>0.63949604524993764</v>
      </c>
      <c r="E2797" s="32">
        <f t="shared" si="43"/>
        <v>1.1590865820155121</v>
      </c>
    </row>
    <row r="2798" spans="1:5" x14ac:dyDescent="0.25">
      <c r="A2798" s="17">
        <v>293</v>
      </c>
      <c r="B2798" s="31">
        <v>49902</v>
      </c>
      <c r="C2798" s="32">
        <f>INDEX('Input Data'!$B:$B,A2798)/2+IF(A2798&lt;&gt;A2799,100,0)</f>
        <v>1.8125</v>
      </c>
      <c r="D2798" s="33">
        <f>INDEX('ZCB Curve - Payment Dates'!$D$2:$D$246,MATCH(B2798,'ZCB Curve - Payment Dates'!$A$2:$A$246,0))</f>
        <v>0.62248862376822711</v>
      </c>
      <c r="E2798" s="32">
        <f t="shared" si="43"/>
        <v>1.1282606305799117</v>
      </c>
    </row>
    <row r="2799" spans="1:5" x14ac:dyDescent="0.25">
      <c r="A2799" s="17">
        <v>293</v>
      </c>
      <c r="B2799" s="31">
        <v>50086</v>
      </c>
      <c r="C2799" s="32">
        <f>INDEX('Input Data'!$B:$B,A2799)/2+IF(A2799&lt;&gt;A2800,100,0)</f>
        <v>1.8125</v>
      </c>
      <c r="D2799" s="33">
        <f>INDEX('ZCB Curve - Payment Dates'!$D$2:$D$246,MATCH(B2799,'ZCB Curve - Payment Dates'!$A$2:$A$246,0))</f>
        <v>0.60546490876014969</v>
      </c>
      <c r="E2799" s="32">
        <f t="shared" si="43"/>
        <v>1.0974051471277713</v>
      </c>
    </row>
    <row r="2800" spans="1:5" x14ac:dyDescent="0.25">
      <c r="A2800" s="17">
        <v>293</v>
      </c>
      <c r="B2800" s="31">
        <v>50267</v>
      </c>
      <c r="C2800" s="32">
        <f>INDEX('Input Data'!$B:$B,A2800)/2+IF(A2800&lt;&gt;A2801,100,0)</f>
        <v>1.8125</v>
      </c>
      <c r="D2800" s="33">
        <f>INDEX('ZCB Curve - Payment Dates'!$D$2:$D$246,MATCH(B2800,'ZCB Curve - Payment Dates'!$A$2:$A$246,0))</f>
        <v>0.58890683803346977</v>
      </c>
      <c r="E2800" s="32">
        <f t="shared" si="43"/>
        <v>1.0673936439356639</v>
      </c>
    </row>
    <row r="2801" spans="1:5" x14ac:dyDescent="0.25">
      <c r="A2801" s="17">
        <v>293</v>
      </c>
      <c r="B2801" s="31">
        <v>50451</v>
      </c>
      <c r="C2801" s="32">
        <f>INDEX('Input Data'!$B:$B,A2801)/2+IF(A2801&lt;&gt;A2802,100,0)</f>
        <v>1.8125</v>
      </c>
      <c r="D2801" s="33">
        <f>INDEX('ZCB Curve - Payment Dates'!$D$2:$D$246,MATCH(B2801,'ZCB Curve - Payment Dates'!$A$2:$A$246,0))</f>
        <v>0.57228983695479263</v>
      </c>
      <c r="E2801" s="32">
        <f t="shared" si="43"/>
        <v>1.0372753294805617</v>
      </c>
    </row>
    <row r="2802" spans="1:5" x14ac:dyDescent="0.25">
      <c r="A2802" s="17">
        <v>293</v>
      </c>
      <c r="B2802" s="31">
        <v>50632</v>
      </c>
      <c r="C2802" s="32">
        <f>INDEX('Input Data'!$B:$B,A2802)/2+IF(A2802&lt;&gt;A2803,100,0)</f>
        <v>1.8125</v>
      </c>
      <c r="D2802" s="33">
        <f>INDEX('ZCB Curve - Payment Dates'!$D$2:$D$246,MATCH(B2802,'ZCB Curve - Payment Dates'!$A$2:$A$246,0))</f>
        <v>0.55617795699202288</v>
      </c>
      <c r="E2802" s="32">
        <f t="shared" si="43"/>
        <v>1.0080725470480414</v>
      </c>
    </row>
    <row r="2803" spans="1:5" x14ac:dyDescent="0.25">
      <c r="A2803" s="17">
        <v>293</v>
      </c>
      <c r="B2803" s="31">
        <v>50816</v>
      </c>
      <c r="C2803" s="32">
        <f>INDEX('Input Data'!$B:$B,A2803)/2+IF(A2803&lt;&gt;A2804,100,0)</f>
        <v>1.8125</v>
      </c>
      <c r="D2803" s="33">
        <f>INDEX('ZCB Curve - Payment Dates'!$D$2:$D$246,MATCH(B2803,'ZCB Curve - Payment Dates'!$A$2:$A$246,0))</f>
        <v>0.54006240951211237</v>
      </c>
      <c r="E2803" s="32">
        <f t="shared" si="43"/>
        <v>0.97886311724070363</v>
      </c>
    </row>
    <row r="2804" spans="1:5" x14ac:dyDescent="0.25">
      <c r="A2804" s="17">
        <v>293</v>
      </c>
      <c r="B2804" s="31">
        <v>50997</v>
      </c>
      <c r="C2804" s="32">
        <f>INDEX('Input Data'!$B:$B,A2804)/2+IF(A2804&lt;&gt;A2805,100,0)</f>
        <v>1.8125</v>
      </c>
      <c r="D2804" s="33">
        <f>INDEX('ZCB Curve - Payment Dates'!$D$2:$D$246,MATCH(B2804,'ZCB Curve - Payment Dates'!$A$2:$A$246,0))</f>
        <v>0.52449040173194583</v>
      </c>
      <c r="E2804" s="32">
        <f t="shared" si="43"/>
        <v>0.95063885313915186</v>
      </c>
    </row>
    <row r="2805" spans="1:5" x14ac:dyDescent="0.25">
      <c r="A2805" s="17">
        <v>293</v>
      </c>
      <c r="B2805" s="31">
        <v>51181</v>
      </c>
      <c r="C2805" s="32">
        <f>INDEX('Input Data'!$B:$B,A2805)/2+IF(A2805&lt;&gt;A2806,100,0)</f>
        <v>1.8125</v>
      </c>
      <c r="D2805" s="33">
        <f>INDEX('ZCB Curve - Payment Dates'!$D$2:$D$246,MATCH(B2805,'ZCB Curve - Payment Dates'!$A$2:$A$246,0))</f>
        <v>0.5089691698468306</v>
      </c>
      <c r="E2805" s="32">
        <f t="shared" si="43"/>
        <v>0.92250662034738051</v>
      </c>
    </row>
    <row r="2806" spans="1:5" x14ac:dyDescent="0.25">
      <c r="A2806" s="17">
        <v>293</v>
      </c>
      <c r="B2806" s="31">
        <v>51363</v>
      </c>
      <c r="C2806" s="32">
        <f>INDEX('Input Data'!$B:$B,A2806)/2+IF(A2806&lt;&gt;A2807,100,0)</f>
        <v>1.8125</v>
      </c>
      <c r="D2806" s="33">
        <f>INDEX('ZCB Curve - Payment Dates'!$D$2:$D$246,MATCH(B2806,'ZCB Curve - Payment Dates'!$A$2:$A$246,0))</f>
        <v>0.49394036022330806</v>
      </c>
      <c r="E2806" s="32">
        <f t="shared" si="43"/>
        <v>0.89526690290474586</v>
      </c>
    </row>
    <row r="2807" spans="1:5" x14ac:dyDescent="0.25">
      <c r="A2807" s="17">
        <v>293</v>
      </c>
      <c r="B2807" s="31">
        <v>51547</v>
      </c>
      <c r="C2807" s="32">
        <f>INDEX('Input Data'!$B:$B,A2807)/2+IF(A2807&lt;&gt;A2808,100,0)</f>
        <v>1.8125</v>
      </c>
      <c r="D2807" s="33">
        <f>INDEX('ZCB Curve - Payment Dates'!$D$2:$D$246,MATCH(B2807,'ZCB Curve - Payment Dates'!$A$2:$A$246,0))</f>
        <v>0.47909718957588998</v>
      </c>
      <c r="E2807" s="32">
        <f t="shared" si="43"/>
        <v>0.86836365610630062</v>
      </c>
    </row>
    <row r="2808" spans="1:5" x14ac:dyDescent="0.25">
      <c r="A2808" s="17">
        <v>293</v>
      </c>
      <c r="B2808" s="31">
        <v>51728</v>
      </c>
      <c r="C2808" s="32">
        <f>INDEX('Input Data'!$B:$B,A2808)/2+IF(A2808&lt;&gt;A2809,100,0)</f>
        <v>1.8125</v>
      </c>
      <c r="D2808" s="33">
        <f>INDEX('ZCB Curve - Payment Dates'!$D$2:$D$246,MATCH(B2808,'ZCB Curve - Payment Dates'!$A$2:$A$246,0))</f>
        <v>0.46485329459616059</v>
      </c>
      <c r="E2808" s="32">
        <f t="shared" si="43"/>
        <v>0.84254659645554109</v>
      </c>
    </row>
    <row r="2809" spans="1:5" x14ac:dyDescent="0.25">
      <c r="A2809" s="17">
        <v>293</v>
      </c>
      <c r="B2809" s="31">
        <v>51912</v>
      </c>
      <c r="C2809" s="32">
        <f>INDEX('Input Data'!$B:$B,A2809)/2+IF(A2809&lt;&gt;A2810,100,0)</f>
        <v>1.8125</v>
      </c>
      <c r="D2809" s="33">
        <f>INDEX('ZCB Curve - Payment Dates'!$D$2:$D$246,MATCH(B2809,'ZCB Curve - Payment Dates'!$A$2:$A$246,0))</f>
        <v>0.45075168915212815</v>
      </c>
      <c r="E2809" s="32">
        <f t="shared" si="43"/>
        <v>0.81698743658823225</v>
      </c>
    </row>
    <row r="2810" spans="1:5" x14ac:dyDescent="0.25">
      <c r="A2810" s="17">
        <v>293</v>
      </c>
      <c r="B2810" s="31">
        <v>52093</v>
      </c>
      <c r="C2810" s="32">
        <f>INDEX('Input Data'!$B:$B,A2810)/2+IF(A2810&lt;&gt;A2811,100,0)</f>
        <v>1.8125</v>
      </c>
      <c r="D2810" s="33">
        <f>INDEX('ZCB Curve - Payment Dates'!$D$2:$D$246,MATCH(B2810,'ZCB Curve - Payment Dates'!$A$2:$A$246,0))</f>
        <v>0.43726259018094221</v>
      </c>
      <c r="E2810" s="32">
        <f t="shared" si="43"/>
        <v>0.79253844470295776</v>
      </c>
    </row>
    <row r="2811" spans="1:5" x14ac:dyDescent="0.25">
      <c r="A2811" s="17">
        <v>293</v>
      </c>
      <c r="B2811" s="31">
        <v>52277</v>
      </c>
      <c r="C2811" s="32">
        <f>INDEX('Input Data'!$B:$B,A2811)/2+IF(A2811&lt;&gt;A2812,100,0)</f>
        <v>1.8125</v>
      </c>
      <c r="D2811" s="33">
        <f>INDEX('ZCB Curve - Payment Dates'!$D$2:$D$246,MATCH(B2811,'ZCB Curve - Payment Dates'!$A$2:$A$246,0))</f>
        <v>0.4239492285351204</v>
      </c>
      <c r="E2811" s="32">
        <f t="shared" si="43"/>
        <v>0.76840797671990568</v>
      </c>
    </row>
    <row r="2812" spans="1:5" x14ac:dyDescent="0.25">
      <c r="A2812" s="17">
        <v>293</v>
      </c>
      <c r="B2812" s="31">
        <v>52458</v>
      </c>
      <c r="C2812" s="32">
        <f>INDEX('Input Data'!$B:$B,A2812)/2+IF(A2812&lt;&gt;A2813,100,0)</f>
        <v>1.8125</v>
      </c>
      <c r="D2812" s="33">
        <f>INDEX('ZCB Curve - Payment Dates'!$D$2:$D$246,MATCH(B2812,'ZCB Curve - Payment Dates'!$A$2:$A$246,0))</f>
        <v>0.4112516019468152</v>
      </c>
      <c r="E2812" s="32">
        <f t="shared" si="43"/>
        <v>0.74539352852860252</v>
      </c>
    </row>
    <row r="2813" spans="1:5" x14ac:dyDescent="0.25">
      <c r="A2813" s="17">
        <v>293</v>
      </c>
      <c r="B2813" s="31">
        <v>52642</v>
      </c>
      <c r="C2813" s="32">
        <f>INDEX('Input Data'!$B:$B,A2813)/2+IF(A2813&lt;&gt;A2814,100,0)</f>
        <v>101.8125</v>
      </c>
      <c r="D2813" s="33">
        <f>INDEX('ZCB Curve - Payment Dates'!$D$2:$D$246,MATCH(B2813,'ZCB Curve - Payment Dates'!$A$2:$A$246,0))</f>
        <v>0.39875459879352759</v>
      </c>
      <c r="E2813" s="32">
        <f t="shared" si="43"/>
        <v>40.59820258966603</v>
      </c>
    </row>
    <row r="2814" spans="1:5" x14ac:dyDescent="0.25">
      <c r="A2814" s="17">
        <v>294</v>
      </c>
      <c r="B2814" s="31">
        <v>46433</v>
      </c>
      <c r="C2814" s="32">
        <f>INDEX('Input Data'!$B:$B,A2814)/2+IF(A2814&lt;&gt;A2815,100,0)</f>
        <v>2.25</v>
      </c>
      <c r="D2814" s="33">
        <f>INDEX('ZCB Curve - Payment Dates'!$D$2:$D$246,MATCH(B2814,'ZCB Curve - Payment Dates'!$A$2:$A$246,0))</f>
        <v>0.98242671792446301</v>
      </c>
      <c r="E2814" s="32">
        <f t="shared" si="43"/>
        <v>2.2104601153300418</v>
      </c>
    </row>
    <row r="2815" spans="1:5" x14ac:dyDescent="0.25">
      <c r="A2815" s="17">
        <v>294</v>
      </c>
      <c r="B2815" s="31">
        <v>46614</v>
      </c>
      <c r="C2815" s="32">
        <f>INDEX('Input Data'!$B:$B,A2815)/2+IF(A2815&lt;&gt;A2816,100,0)</f>
        <v>2.25</v>
      </c>
      <c r="D2815" s="33">
        <f>INDEX('ZCB Curve - Payment Dates'!$D$2:$D$246,MATCH(B2815,'ZCB Curve - Payment Dates'!$A$2:$A$246,0))</f>
        <v>0.96187948164765535</v>
      </c>
      <c r="E2815" s="32">
        <f t="shared" si="43"/>
        <v>2.1642288337072246</v>
      </c>
    </row>
    <row r="2816" spans="1:5" x14ac:dyDescent="0.25">
      <c r="A2816" s="17">
        <v>294</v>
      </c>
      <c r="B2816" s="31">
        <v>46798</v>
      </c>
      <c r="C2816" s="32">
        <f>INDEX('Input Data'!$B:$B,A2816)/2+IF(A2816&lt;&gt;A2817,100,0)</f>
        <v>2.25</v>
      </c>
      <c r="D2816" s="33">
        <f>INDEX('ZCB Curve - Payment Dates'!$D$2:$D$246,MATCH(B2816,'ZCB Curve - Payment Dates'!$A$2:$A$246,0))</f>
        <v>0.94049096132648802</v>
      </c>
      <c r="E2816" s="32">
        <f t="shared" si="43"/>
        <v>2.1161046629845979</v>
      </c>
    </row>
    <row r="2817" spans="1:5" x14ac:dyDescent="0.25">
      <c r="A2817" s="17">
        <v>294</v>
      </c>
      <c r="B2817" s="31">
        <v>46980</v>
      </c>
      <c r="C2817" s="32">
        <f>INDEX('Input Data'!$B:$B,A2817)/2+IF(A2817&lt;&gt;A2818,100,0)</f>
        <v>2.25</v>
      </c>
      <c r="D2817" s="33">
        <f>INDEX('ZCB Curve - Payment Dates'!$D$2:$D$246,MATCH(B2817,'ZCB Curve - Payment Dates'!$A$2:$A$246,0))</f>
        <v>0.91931844130238327</v>
      </c>
      <c r="E2817" s="32">
        <f t="shared" si="43"/>
        <v>2.0684664929303622</v>
      </c>
    </row>
    <row r="2818" spans="1:5" x14ac:dyDescent="0.25">
      <c r="A2818" s="17">
        <v>294</v>
      </c>
      <c r="B2818" s="31">
        <v>47164</v>
      </c>
      <c r="C2818" s="32">
        <f>INDEX('Input Data'!$B:$B,A2818)/2+IF(A2818&lt;&gt;A2819,100,0)</f>
        <v>2.25</v>
      </c>
      <c r="D2818" s="33">
        <f>INDEX('ZCB Curve - Payment Dates'!$D$2:$D$246,MATCH(B2818,'ZCB Curve - Payment Dates'!$A$2:$A$246,0))</f>
        <v>0.89817430058086534</v>
      </c>
      <c r="E2818" s="32">
        <f t="shared" ref="E2818:E2881" si="44">C2818*D2818</f>
        <v>2.0208921763069472</v>
      </c>
    </row>
    <row r="2819" spans="1:5" x14ac:dyDescent="0.25">
      <c r="A2819" s="17">
        <v>294</v>
      </c>
      <c r="B2819" s="31">
        <v>47345</v>
      </c>
      <c r="C2819" s="32">
        <f>INDEX('Input Data'!$B:$B,A2819)/2+IF(A2819&lt;&gt;A2820,100,0)</f>
        <v>2.25</v>
      </c>
      <c r="D2819" s="33">
        <f>INDEX('ZCB Curve - Payment Dates'!$D$2:$D$246,MATCH(B2819,'ZCB Curve - Payment Dates'!$A$2:$A$246,0))</f>
        <v>0.87778421628860481</v>
      </c>
      <c r="E2819" s="32">
        <f t="shared" si="44"/>
        <v>1.9750144866493609</v>
      </c>
    </row>
    <row r="2820" spans="1:5" x14ac:dyDescent="0.25">
      <c r="A2820" s="17">
        <v>294</v>
      </c>
      <c r="B2820" s="31">
        <v>47529</v>
      </c>
      <c r="C2820" s="32">
        <f>INDEX('Input Data'!$B:$B,A2820)/2+IF(A2820&lt;&gt;A2821,100,0)</f>
        <v>2.25</v>
      </c>
      <c r="D2820" s="33">
        <f>INDEX('ZCB Curve - Payment Dates'!$D$2:$D$246,MATCH(B2820,'ZCB Curve - Payment Dates'!$A$2:$A$246,0))</f>
        <v>0.85751015570959666</v>
      </c>
      <c r="E2820" s="32">
        <f t="shared" si="44"/>
        <v>1.9293978503465925</v>
      </c>
    </row>
    <row r="2821" spans="1:5" x14ac:dyDescent="0.25">
      <c r="A2821" s="17">
        <v>294</v>
      </c>
      <c r="B2821" s="31">
        <v>47710</v>
      </c>
      <c r="C2821" s="32">
        <f>INDEX('Input Data'!$B:$B,A2821)/2+IF(A2821&lt;&gt;A2822,100,0)</f>
        <v>2.25</v>
      </c>
      <c r="D2821" s="33">
        <f>INDEX('ZCB Curve - Payment Dates'!$D$2:$D$246,MATCH(B2821,'ZCB Curve - Payment Dates'!$A$2:$A$246,0))</f>
        <v>0.83802423748211174</v>
      </c>
      <c r="E2821" s="32">
        <f t="shared" si="44"/>
        <v>1.8855545343347515</v>
      </c>
    </row>
    <row r="2822" spans="1:5" x14ac:dyDescent="0.25">
      <c r="A2822" s="17">
        <v>294</v>
      </c>
      <c r="B2822" s="31">
        <v>47894</v>
      </c>
      <c r="C2822" s="32">
        <f>INDEX('Input Data'!$B:$B,A2822)/2+IF(A2822&lt;&gt;A2823,100,0)</f>
        <v>2.25</v>
      </c>
      <c r="D2822" s="33">
        <f>INDEX('ZCB Curve - Payment Dates'!$D$2:$D$246,MATCH(B2822,'ZCB Curve - Payment Dates'!$A$2:$A$246,0))</f>
        <v>0.8186305474741673</v>
      </c>
      <c r="E2822" s="32">
        <f t="shared" si="44"/>
        <v>1.8419187318168764</v>
      </c>
    </row>
    <row r="2823" spans="1:5" x14ac:dyDescent="0.25">
      <c r="A2823" s="17">
        <v>294</v>
      </c>
      <c r="B2823" s="31">
        <v>48075</v>
      </c>
      <c r="C2823" s="32">
        <f>INDEX('Input Data'!$B:$B,A2823)/2+IF(A2823&lt;&gt;A2824,100,0)</f>
        <v>2.25</v>
      </c>
      <c r="D2823" s="33">
        <f>INDEX('ZCB Curve - Payment Dates'!$D$2:$D$246,MATCH(B2823,'ZCB Curve - Payment Dates'!$A$2:$A$246,0))</f>
        <v>0.7999252334775927</v>
      </c>
      <c r="E2823" s="32">
        <f t="shared" si="44"/>
        <v>1.7998317753245836</v>
      </c>
    </row>
    <row r="2824" spans="1:5" x14ac:dyDescent="0.25">
      <c r="A2824" s="17">
        <v>294</v>
      </c>
      <c r="B2824" s="31">
        <v>48259</v>
      </c>
      <c r="C2824" s="32">
        <f>INDEX('Input Data'!$B:$B,A2824)/2+IF(A2824&lt;&gt;A2825,100,0)</f>
        <v>2.25</v>
      </c>
      <c r="D2824" s="33">
        <f>INDEX('ZCB Curve - Payment Dates'!$D$2:$D$246,MATCH(B2824,'ZCB Curve - Payment Dates'!$A$2:$A$246,0))</f>
        <v>0.78121887027612602</v>
      </c>
      <c r="E2824" s="32">
        <f t="shared" si="44"/>
        <v>1.7577424581212835</v>
      </c>
    </row>
    <row r="2825" spans="1:5" x14ac:dyDescent="0.25">
      <c r="A2825" s="17">
        <v>294</v>
      </c>
      <c r="B2825" s="31">
        <v>48441</v>
      </c>
      <c r="C2825" s="32">
        <f>INDEX('Input Data'!$B:$B,A2825)/2+IF(A2825&lt;&gt;A2826,100,0)</f>
        <v>2.25</v>
      </c>
      <c r="D2825" s="33">
        <f>INDEX('ZCB Curve - Payment Dates'!$D$2:$D$246,MATCH(B2825,'ZCB Curve - Payment Dates'!$A$2:$A$246,0))</f>
        <v>0.76298123459017864</v>
      </c>
      <c r="E2825" s="32">
        <f t="shared" si="44"/>
        <v>1.7167077778279018</v>
      </c>
    </row>
    <row r="2826" spans="1:5" x14ac:dyDescent="0.25">
      <c r="A2826" s="17">
        <v>294</v>
      </c>
      <c r="B2826" s="31">
        <v>48625</v>
      </c>
      <c r="C2826" s="32">
        <f>INDEX('Input Data'!$B:$B,A2826)/2+IF(A2826&lt;&gt;A2827,100,0)</f>
        <v>2.25</v>
      </c>
      <c r="D2826" s="33">
        <f>INDEX('ZCB Curve - Payment Dates'!$D$2:$D$246,MATCH(B2826,'ZCB Curve - Payment Dates'!$A$2:$A$246,0))</f>
        <v>0.74476011611938586</v>
      </c>
      <c r="E2826" s="32">
        <f t="shared" si="44"/>
        <v>1.6757102612686181</v>
      </c>
    </row>
    <row r="2827" spans="1:5" x14ac:dyDescent="0.25">
      <c r="A2827" s="17">
        <v>294</v>
      </c>
      <c r="B2827" s="31">
        <v>48806</v>
      </c>
      <c r="C2827" s="32">
        <f>INDEX('Input Data'!$B:$B,A2827)/2+IF(A2827&lt;&gt;A2828,100,0)</f>
        <v>2.25</v>
      </c>
      <c r="D2827" s="33">
        <f>INDEX('ZCB Curve - Payment Dates'!$D$2:$D$246,MATCH(B2827,'ZCB Curve - Payment Dates'!$A$2:$A$246,0))</f>
        <v>0.72701302496114584</v>
      </c>
      <c r="E2827" s="32">
        <f t="shared" si="44"/>
        <v>1.6357793061625781</v>
      </c>
    </row>
    <row r="2828" spans="1:5" x14ac:dyDescent="0.25">
      <c r="A2828" s="17">
        <v>294</v>
      </c>
      <c r="B2828" s="31">
        <v>48990</v>
      </c>
      <c r="C2828" s="32">
        <f>INDEX('Input Data'!$B:$B,A2828)/2+IF(A2828&lt;&gt;A2829,100,0)</f>
        <v>2.25</v>
      </c>
      <c r="D2828" s="33">
        <f>INDEX('ZCB Curve - Payment Dates'!$D$2:$D$246,MATCH(B2828,'ZCB Curve - Payment Dates'!$A$2:$A$246,0))</f>
        <v>0.70912647031380449</v>
      </c>
      <c r="E2828" s="32">
        <f t="shared" si="44"/>
        <v>1.59553455820606</v>
      </c>
    </row>
    <row r="2829" spans="1:5" x14ac:dyDescent="0.25">
      <c r="A2829" s="17">
        <v>294</v>
      </c>
      <c r="B2829" s="31">
        <v>49171</v>
      </c>
      <c r="C2829" s="32">
        <f>INDEX('Input Data'!$B:$B,A2829)/2+IF(A2829&lt;&gt;A2830,100,0)</f>
        <v>2.25</v>
      </c>
      <c r="D2829" s="33">
        <f>INDEX('ZCB Curve - Payment Dates'!$D$2:$D$246,MATCH(B2829,'ZCB Curve - Payment Dates'!$A$2:$A$246,0))</f>
        <v>0.6916661505723215</v>
      </c>
      <c r="E2829" s="32">
        <f t="shared" si="44"/>
        <v>1.5562488387877234</v>
      </c>
    </row>
    <row r="2830" spans="1:5" x14ac:dyDescent="0.25">
      <c r="A2830" s="17">
        <v>294</v>
      </c>
      <c r="B2830" s="31">
        <v>49355</v>
      </c>
      <c r="C2830" s="32">
        <f>INDEX('Input Data'!$B:$B,A2830)/2+IF(A2830&lt;&gt;A2831,100,0)</f>
        <v>2.25</v>
      </c>
      <c r="D2830" s="33">
        <f>INDEX('ZCB Curve - Payment Dates'!$D$2:$D$246,MATCH(B2830,'ZCB Curve - Payment Dates'!$A$2:$A$246,0))</f>
        <v>0.674047377898778</v>
      </c>
      <c r="E2830" s="32">
        <f t="shared" si="44"/>
        <v>1.5166066002722505</v>
      </c>
    </row>
    <row r="2831" spans="1:5" x14ac:dyDescent="0.25">
      <c r="A2831" s="17">
        <v>294</v>
      </c>
      <c r="B2831" s="31">
        <v>49536</v>
      </c>
      <c r="C2831" s="32">
        <f>INDEX('Input Data'!$B:$B,A2831)/2+IF(A2831&lt;&gt;A2832,100,0)</f>
        <v>2.25</v>
      </c>
      <c r="D2831" s="33">
        <f>INDEX('ZCB Curve - Payment Dates'!$D$2:$D$246,MATCH(B2831,'ZCB Curve - Payment Dates'!$A$2:$A$246,0))</f>
        <v>0.65684432300638129</v>
      </c>
      <c r="E2831" s="32">
        <f t="shared" si="44"/>
        <v>1.4778997267643579</v>
      </c>
    </row>
    <row r="2832" spans="1:5" x14ac:dyDescent="0.25">
      <c r="A2832" s="17">
        <v>294</v>
      </c>
      <c r="B2832" s="31">
        <v>49720</v>
      </c>
      <c r="C2832" s="32">
        <f>INDEX('Input Data'!$B:$B,A2832)/2+IF(A2832&lt;&gt;A2833,100,0)</f>
        <v>2.25</v>
      </c>
      <c r="D2832" s="33">
        <f>INDEX('ZCB Curve - Payment Dates'!$D$2:$D$246,MATCH(B2832,'ZCB Curve - Payment Dates'!$A$2:$A$246,0))</f>
        <v>0.63949604524993764</v>
      </c>
      <c r="E2832" s="32">
        <f t="shared" si="44"/>
        <v>1.4388661018123596</v>
      </c>
    </row>
    <row r="2833" spans="1:5" x14ac:dyDescent="0.25">
      <c r="A2833" s="17">
        <v>294</v>
      </c>
      <c r="B2833" s="31">
        <v>49902</v>
      </c>
      <c r="C2833" s="32">
        <f>INDEX('Input Data'!$B:$B,A2833)/2+IF(A2833&lt;&gt;A2834,100,0)</f>
        <v>2.25</v>
      </c>
      <c r="D2833" s="33">
        <f>INDEX('ZCB Curve - Payment Dates'!$D$2:$D$246,MATCH(B2833,'ZCB Curve - Payment Dates'!$A$2:$A$246,0))</f>
        <v>0.62248862376822711</v>
      </c>
      <c r="E2833" s="32">
        <f t="shared" si="44"/>
        <v>1.400599403478511</v>
      </c>
    </row>
    <row r="2834" spans="1:5" x14ac:dyDescent="0.25">
      <c r="A2834" s="17">
        <v>294</v>
      </c>
      <c r="B2834" s="31">
        <v>50086</v>
      </c>
      <c r="C2834" s="32">
        <f>INDEX('Input Data'!$B:$B,A2834)/2+IF(A2834&lt;&gt;A2835,100,0)</f>
        <v>2.25</v>
      </c>
      <c r="D2834" s="33">
        <f>INDEX('ZCB Curve - Payment Dates'!$D$2:$D$246,MATCH(B2834,'ZCB Curve - Payment Dates'!$A$2:$A$246,0))</f>
        <v>0.60546490876014969</v>
      </c>
      <c r="E2834" s="32">
        <f t="shared" si="44"/>
        <v>1.3622960447103367</v>
      </c>
    </row>
    <row r="2835" spans="1:5" x14ac:dyDescent="0.25">
      <c r="A2835" s="17">
        <v>294</v>
      </c>
      <c r="B2835" s="31">
        <v>50267</v>
      </c>
      <c r="C2835" s="32">
        <f>INDEX('Input Data'!$B:$B,A2835)/2+IF(A2835&lt;&gt;A2836,100,0)</f>
        <v>2.25</v>
      </c>
      <c r="D2835" s="33">
        <f>INDEX('ZCB Curve - Payment Dates'!$D$2:$D$246,MATCH(B2835,'ZCB Curve - Payment Dates'!$A$2:$A$246,0))</f>
        <v>0.58890683803346977</v>
      </c>
      <c r="E2835" s="32">
        <f t="shared" si="44"/>
        <v>1.325040385575307</v>
      </c>
    </row>
    <row r="2836" spans="1:5" x14ac:dyDescent="0.25">
      <c r="A2836" s="17">
        <v>294</v>
      </c>
      <c r="B2836" s="31">
        <v>50451</v>
      </c>
      <c r="C2836" s="32">
        <f>INDEX('Input Data'!$B:$B,A2836)/2+IF(A2836&lt;&gt;A2837,100,0)</f>
        <v>2.25</v>
      </c>
      <c r="D2836" s="33">
        <f>INDEX('ZCB Curve - Payment Dates'!$D$2:$D$246,MATCH(B2836,'ZCB Curve - Payment Dates'!$A$2:$A$246,0))</f>
        <v>0.57228983695479263</v>
      </c>
      <c r="E2836" s="32">
        <f t="shared" si="44"/>
        <v>1.2876521331482835</v>
      </c>
    </row>
    <row r="2837" spans="1:5" x14ac:dyDescent="0.25">
      <c r="A2837" s="17">
        <v>294</v>
      </c>
      <c r="B2837" s="31">
        <v>50632</v>
      </c>
      <c r="C2837" s="32">
        <f>INDEX('Input Data'!$B:$B,A2837)/2+IF(A2837&lt;&gt;A2838,100,0)</f>
        <v>2.25</v>
      </c>
      <c r="D2837" s="33">
        <f>INDEX('ZCB Curve - Payment Dates'!$D$2:$D$246,MATCH(B2837,'ZCB Curve - Payment Dates'!$A$2:$A$246,0))</f>
        <v>0.55617795699202288</v>
      </c>
      <c r="E2837" s="32">
        <f t="shared" si="44"/>
        <v>1.2514004032320516</v>
      </c>
    </row>
    <row r="2838" spans="1:5" x14ac:dyDescent="0.25">
      <c r="A2838" s="17">
        <v>294</v>
      </c>
      <c r="B2838" s="31">
        <v>50816</v>
      </c>
      <c r="C2838" s="32">
        <f>INDEX('Input Data'!$B:$B,A2838)/2+IF(A2838&lt;&gt;A2839,100,0)</f>
        <v>2.25</v>
      </c>
      <c r="D2838" s="33">
        <f>INDEX('ZCB Curve - Payment Dates'!$D$2:$D$246,MATCH(B2838,'ZCB Curve - Payment Dates'!$A$2:$A$246,0))</f>
        <v>0.54006240951211237</v>
      </c>
      <c r="E2838" s="32">
        <f t="shared" si="44"/>
        <v>1.2151404214022528</v>
      </c>
    </row>
    <row r="2839" spans="1:5" x14ac:dyDescent="0.25">
      <c r="A2839" s="17">
        <v>294</v>
      </c>
      <c r="B2839" s="31">
        <v>50997</v>
      </c>
      <c r="C2839" s="32">
        <f>INDEX('Input Data'!$B:$B,A2839)/2+IF(A2839&lt;&gt;A2840,100,0)</f>
        <v>2.25</v>
      </c>
      <c r="D2839" s="33">
        <f>INDEX('ZCB Curve - Payment Dates'!$D$2:$D$246,MATCH(B2839,'ZCB Curve - Payment Dates'!$A$2:$A$246,0))</f>
        <v>0.52449040173194583</v>
      </c>
      <c r="E2839" s="32">
        <f t="shared" si="44"/>
        <v>1.1801034038968781</v>
      </c>
    </row>
    <row r="2840" spans="1:5" x14ac:dyDescent="0.25">
      <c r="A2840" s="17">
        <v>294</v>
      </c>
      <c r="B2840" s="31">
        <v>51181</v>
      </c>
      <c r="C2840" s="32">
        <f>INDEX('Input Data'!$B:$B,A2840)/2+IF(A2840&lt;&gt;A2841,100,0)</f>
        <v>2.25</v>
      </c>
      <c r="D2840" s="33">
        <f>INDEX('ZCB Curve - Payment Dates'!$D$2:$D$246,MATCH(B2840,'ZCB Curve - Payment Dates'!$A$2:$A$246,0))</f>
        <v>0.5089691698468306</v>
      </c>
      <c r="E2840" s="32">
        <f t="shared" si="44"/>
        <v>1.1451806321553688</v>
      </c>
    </row>
    <row r="2841" spans="1:5" x14ac:dyDescent="0.25">
      <c r="A2841" s="17">
        <v>294</v>
      </c>
      <c r="B2841" s="31">
        <v>51363</v>
      </c>
      <c r="C2841" s="32">
        <f>INDEX('Input Data'!$B:$B,A2841)/2+IF(A2841&lt;&gt;A2842,100,0)</f>
        <v>2.25</v>
      </c>
      <c r="D2841" s="33">
        <f>INDEX('ZCB Curve - Payment Dates'!$D$2:$D$246,MATCH(B2841,'ZCB Curve - Payment Dates'!$A$2:$A$246,0))</f>
        <v>0.49394036022330806</v>
      </c>
      <c r="E2841" s="32">
        <f t="shared" si="44"/>
        <v>1.1113658105024431</v>
      </c>
    </row>
    <row r="2842" spans="1:5" x14ac:dyDescent="0.25">
      <c r="A2842" s="17">
        <v>294</v>
      </c>
      <c r="B2842" s="31">
        <v>51547</v>
      </c>
      <c r="C2842" s="32">
        <f>INDEX('Input Data'!$B:$B,A2842)/2+IF(A2842&lt;&gt;A2843,100,0)</f>
        <v>2.25</v>
      </c>
      <c r="D2842" s="33">
        <f>INDEX('ZCB Curve - Payment Dates'!$D$2:$D$246,MATCH(B2842,'ZCB Curve - Payment Dates'!$A$2:$A$246,0))</f>
        <v>0.47909718957588998</v>
      </c>
      <c r="E2842" s="32">
        <f t="shared" si="44"/>
        <v>1.0779686765457526</v>
      </c>
    </row>
    <row r="2843" spans="1:5" x14ac:dyDescent="0.25">
      <c r="A2843" s="17">
        <v>294</v>
      </c>
      <c r="B2843" s="31">
        <v>51728</v>
      </c>
      <c r="C2843" s="32">
        <f>INDEX('Input Data'!$B:$B,A2843)/2+IF(A2843&lt;&gt;A2844,100,0)</f>
        <v>2.25</v>
      </c>
      <c r="D2843" s="33">
        <f>INDEX('ZCB Curve - Payment Dates'!$D$2:$D$246,MATCH(B2843,'ZCB Curve - Payment Dates'!$A$2:$A$246,0))</f>
        <v>0.46485329459616059</v>
      </c>
      <c r="E2843" s="32">
        <f t="shared" si="44"/>
        <v>1.0459199128413614</v>
      </c>
    </row>
    <row r="2844" spans="1:5" x14ac:dyDescent="0.25">
      <c r="A2844" s="17">
        <v>294</v>
      </c>
      <c r="B2844" s="31">
        <v>51912</v>
      </c>
      <c r="C2844" s="32">
        <f>INDEX('Input Data'!$B:$B,A2844)/2+IF(A2844&lt;&gt;A2845,100,0)</f>
        <v>2.25</v>
      </c>
      <c r="D2844" s="33">
        <f>INDEX('ZCB Curve - Payment Dates'!$D$2:$D$246,MATCH(B2844,'ZCB Curve - Payment Dates'!$A$2:$A$246,0))</f>
        <v>0.45075168915212815</v>
      </c>
      <c r="E2844" s="32">
        <f t="shared" si="44"/>
        <v>1.0141913005922882</v>
      </c>
    </row>
    <row r="2845" spans="1:5" x14ac:dyDescent="0.25">
      <c r="A2845" s="17">
        <v>294</v>
      </c>
      <c r="B2845" s="31">
        <v>52093</v>
      </c>
      <c r="C2845" s="32">
        <f>INDEX('Input Data'!$B:$B,A2845)/2+IF(A2845&lt;&gt;A2846,100,0)</f>
        <v>2.25</v>
      </c>
      <c r="D2845" s="33">
        <f>INDEX('ZCB Curve - Payment Dates'!$D$2:$D$246,MATCH(B2845,'ZCB Curve - Payment Dates'!$A$2:$A$246,0))</f>
        <v>0.43726259018094221</v>
      </c>
      <c r="E2845" s="32">
        <f t="shared" si="44"/>
        <v>0.98384082790712002</v>
      </c>
    </row>
    <row r="2846" spans="1:5" x14ac:dyDescent="0.25">
      <c r="A2846" s="17">
        <v>294</v>
      </c>
      <c r="B2846" s="31">
        <v>52277</v>
      </c>
      <c r="C2846" s="32">
        <f>INDEX('Input Data'!$B:$B,A2846)/2+IF(A2846&lt;&gt;A2847,100,0)</f>
        <v>2.25</v>
      </c>
      <c r="D2846" s="33">
        <f>INDEX('ZCB Curve - Payment Dates'!$D$2:$D$246,MATCH(B2846,'ZCB Curve - Payment Dates'!$A$2:$A$246,0))</f>
        <v>0.4239492285351204</v>
      </c>
      <c r="E2846" s="32">
        <f t="shared" si="44"/>
        <v>0.95388576420402094</v>
      </c>
    </row>
    <row r="2847" spans="1:5" x14ac:dyDescent="0.25">
      <c r="A2847" s="17">
        <v>294</v>
      </c>
      <c r="B2847" s="31">
        <v>52458</v>
      </c>
      <c r="C2847" s="32">
        <f>INDEX('Input Data'!$B:$B,A2847)/2+IF(A2847&lt;&gt;A2848,100,0)</f>
        <v>2.25</v>
      </c>
      <c r="D2847" s="33">
        <f>INDEX('ZCB Curve - Payment Dates'!$D$2:$D$246,MATCH(B2847,'ZCB Curve - Payment Dates'!$A$2:$A$246,0))</f>
        <v>0.4112516019468152</v>
      </c>
      <c r="E2847" s="32">
        <f t="shared" si="44"/>
        <v>0.92531610438033418</v>
      </c>
    </row>
    <row r="2848" spans="1:5" x14ac:dyDescent="0.25">
      <c r="A2848" s="17">
        <v>294</v>
      </c>
      <c r="B2848" s="31">
        <v>52642</v>
      </c>
      <c r="C2848" s="32">
        <f>INDEX('Input Data'!$B:$B,A2848)/2+IF(A2848&lt;&gt;A2849,100,0)</f>
        <v>102.25</v>
      </c>
      <c r="D2848" s="33">
        <f>INDEX('ZCB Curve - Payment Dates'!$D$2:$D$246,MATCH(B2848,'ZCB Curve - Payment Dates'!$A$2:$A$246,0))</f>
        <v>0.39875459879352759</v>
      </c>
      <c r="E2848" s="32">
        <f t="shared" si="44"/>
        <v>40.772657726638194</v>
      </c>
    </row>
    <row r="2849" spans="1:5" x14ac:dyDescent="0.25">
      <c r="A2849" s="17">
        <v>295</v>
      </c>
      <c r="B2849" s="31">
        <v>46341</v>
      </c>
      <c r="C2849" s="32">
        <f>INDEX('Input Data'!$B:$B,A2849)/2+IF(A2849&lt;&gt;A2850,100,0)</f>
        <v>1.6875</v>
      </c>
      <c r="D2849" s="33">
        <f>INDEX('ZCB Curve - Payment Dates'!$D$2:$D$246,MATCH(B2849,'ZCB Curve - Payment Dates'!$A$2:$A$246,0))</f>
        <v>0.99245367292309439</v>
      </c>
      <c r="E2849" s="32">
        <f t="shared" si="44"/>
        <v>1.6747655730577218</v>
      </c>
    </row>
    <row r="2850" spans="1:5" x14ac:dyDescent="0.25">
      <c r="A2850" s="17">
        <v>295</v>
      </c>
      <c r="B2850" s="31">
        <v>46522</v>
      </c>
      <c r="C2850" s="32">
        <f>INDEX('Input Data'!$B:$B,A2850)/2+IF(A2850&lt;&gt;A2851,100,0)</f>
        <v>1.6875</v>
      </c>
      <c r="D2850" s="33">
        <f>INDEX('ZCB Curve - Payment Dates'!$D$2:$D$246,MATCH(B2850,'ZCB Curve - Payment Dates'!$A$2:$A$246,0))</f>
        <v>0.97242179559611874</v>
      </c>
      <c r="E2850" s="32">
        <f t="shared" si="44"/>
        <v>1.6409617800684504</v>
      </c>
    </row>
    <row r="2851" spans="1:5" x14ac:dyDescent="0.25">
      <c r="A2851" s="17">
        <v>295</v>
      </c>
      <c r="B2851" s="31">
        <v>46706</v>
      </c>
      <c r="C2851" s="32">
        <f>INDEX('Input Data'!$B:$B,A2851)/2+IF(A2851&lt;&gt;A2852,100,0)</f>
        <v>1.6875</v>
      </c>
      <c r="D2851" s="33">
        <f>INDEX('ZCB Curve - Payment Dates'!$D$2:$D$246,MATCH(B2851,'ZCB Curve - Payment Dates'!$A$2:$A$246,0))</f>
        <v>0.95121018311627348</v>
      </c>
      <c r="E2851" s="32">
        <f t="shared" si="44"/>
        <v>1.6051671840087114</v>
      </c>
    </row>
    <row r="2852" spans="1:5" x14ac:dyDescent="0.25">
      <c r="A2852" s="17">
        <v>295</v>
      </c>
      <c r="B2852" s="31">
        <v>46888</v>
      </c>
      <c r="C2852" s="32">
        <f>INDEX('Input Data'!$B:$B,A2852)/2+IF(A2852&lt;&gt;A2853,100,0)</f>
        <v>1.6875</v>
      </c>
      <c r="D2852" s="33">
        <f>INDEX('ZCB Curve - Payment Dates'!$D$2:$D$246,MATCH(B2852,'ZCB Curve - Payment Dates'!$A$2:$A$246,0))</f>
        <v>0.93000025435083566</v>
      </c>
      <c r="E2852" s="32">
        <f t="shared" si="44"/>
        <v>1.5693754292170352</v>
      </c>
    </row>
    <row r="2853" spans="1:5" x14ac:dyDescent="0.25">
      <c r="A2853" s="17">
        <v>295</v>
      </c>
      <c r="B2853" s="31">
        <v>47072</v>
      </c>
      <c r="C2853" s="32">
        <f>INDEX('Input Data'!$B:$B,A2853)/2+IF(A2853&lt;&gt;A2854,100,0)</f>
        <v>1.6875</v>
      </c>
      <c r="D2853" s="33">
        <f>INDEX('ZCB Curve - Payment Dates'!$D$2:$D$246,MATCH(B2853,'ZCB Curve - Payment Dates'!$A$2:$A$246,0))</f>
        <v>0.90870125167038918</v>
      </c>
      <c r="E2853" s="32">
        <f t="shared" si="44"/>
        <v>1.5334333621937817</v>
      </c>
    </row>
    <row r="2854" spans="1:5" x14ac:dyDescent="0.25">
      <c r="A2854" s="17">
        <v>295</v>
      </c>
      <c r="B2854" s="31">
        <v>47253</v>
      </c>
      <c r="C2854" s="32">
        <f>INDEX('Input Data'!$B:$B,A2854)/2+IF(A2854&lt;&gt;A2855,100,0)</f>
        <v>1.6875</v>
      </c>
      <c r="D2854" s="33">
        <f>INDEX('ZCB Curve - Payment Dates'!$D$2:$D$246,MATCH(B2854,'ZCB Curve - Payment Dates'!$A$2:$A$246,0))</f>
        <v>0.88809325063638844</v>
      </c>
      <c r="E2854" s="32">
        <f t="shared" si="44"/>
        <v>1.4986573604489055</v>
      </c>
    </row>
    <row r="2855" spans="1:5" x14ac:dyDescent="0.25">
      <c r="A2855" s="17">
        <v>295</v>
      </c>
      <c r="B2855" s="31">
        <v>47437</v>
      </c>
      <c r="C2855" s="32">
        <f>INDEX('Input Data'!$B:$B,A2855)/2+IF(A2855&lt;&gt;A2856,100,0)</f>
        <v>1.6875</v>
      </c>
      <c r="D2855" s="33">
        <f>INDEX('ZCB Curve - Payment Dates'!$D$2:$D$246,MATCH(B2855,'ZCB Curve - Payment Dates'!$A$2:$A$246,0))</f>
        <v>0.86758824089536279</v>
      </c>
      <c r="E2855" s="32">
        <f t="shared" si="44"/>
        <v>1.4640551565109248</v>
      </c>
    </row>
    <row r="2856" spans="1:5" x14ac:dyDescent="0.25">
      <c r="A2856" s="17">
        <v>295</v>
      </c>
      <c r="B2856" s="31">
        <v>47618</v>
      </c>
      <c r="C2856" s="32">
        <f>INDEX('Input Data'!$B:$B,A2856)/2+IF(A2856&lt;&gt;A2857,100,0)</f>
        <v>1.6875</v>
      </c>
      <c r="D2856" s="33">
        <f>INDEX('ZCB Curve - Payment Dates'!$D$2:$D$246,MATCH(B2856,'ZCB Curve - Payment Dates'!$A$2:$A$246,0))</f>
        <v>0.84787416911783064</v>
      </c>
      <c r="E2856" s="32">
        <f t="shared" si="44"/>
        <v>1.4307876603863392</v>
      </c>
    </row>
    <row r="2857" spans="1:5" x14ac:dyDescent="0.25">
      <c r="A2857" s="17">
        <v>295</v>
      </c>
      <c r="B2857" s="31">
        <v>47802</v>
      </c>
      <c r="C2857" s="32">
        <f>INDEX('Input Data'!$B:$B,A2857)/2+IF(A2857&lt;&gt;A2858,100,0)</f>
        <v>1.6875</v>
      </c>
      <c r="D2857" s="33">
        <f>INDEX('ZCB Curve - Payment Dates'!$D$2:$D$246,MATCH(B2857,'ZCB Curve - Payment Dates'!$A$2:$A$246,0))</f>
        <v>0.82827715028796722</v>
      </c>
      <c r="E2857" s="32">
        <f t="shared" si="44"/>
        <v>1.3977176911109448</v>
      </c>
    </row>
    <row r="2858" spans="1:5" x14ac:dyDescent="0.25">
      <c r="A2858" s="17">
        <v>295</v>
      </c>
      <c r="B2858" s="31">
        <v>47983</v>
      </c>
      <c r="C2858" s="32">
        <f>INDEX('Input Data'!$B:$B,A2858)/2+IF(A2858&lt;&gt;A2859,100,0)</f>
        <v>1.6875</v>
      </c>
      <c r="D2858" s="33">
        <f>INDEX('ZCB Curve - Payment Dates'!$D$2:$D$246,MATCH(B2858,'ZCB Curve - Payment Dates'!$A$2:$A$246,0))</f>
        <v>0.80939067484273564</v>
      </c>
      <c r="E2858" s="32">
        <f t="shared" si="44"/>
        <v>1.3658467637971163</v>
      </c>
    </row>
    <row r="2859" spans="1:5" x14ac:dyDescent="0.25">
      <c r="A2859" s="17">
        <v>295</v>
      </c>
      <c r="B2859" s="31">
        <v>48167</v>
      </c>
      <c r="C2859" s="32">
        <f>INDEX('Input Data'!$B:$B,A2859)/2+IF(A2859&lt;&gt;A2860,100,0)</f>
        <v>1.6875</v>
      </c>
      <c r="D2859" s="33">
        <f>INDEX('ZCB Curve - Payment Dates'!$D$2:$D$246,MATCH(B2859,'ZCB Curve - Payment Dates'!$A$2:$A$246,0))</f>
        <v>0.79053567842581962</v>
      </c>
      <c r="E2859" s="32">
        <f t="shared" si="44"/>
        <v>1.3340289573435706</v>
      </c>
    </row>
    <row r="2860" spans="1:5" x14ac:dyDescent="0.25">
      <c r="A2860" s="17">
        <v>295</v>
      </c>
      <c r="B2860" s="31">
        <v>48349</v>
      </c>
      <c r="C2860" s="32">
        <f>INDEX('Input Data'!$B:$B,A2860)/2+IF(A2860&lt;&gt;A2861,100,0)</f>
        <v>1.6875</v>
      </c>
      <c r="D2860" s="33">
        <f>INDEX('ZCB Curve - Payment Dates'!$D$2:$D$246,MATCH(B2860,'ZCB Curve - Payment Dates'!$A$2:$A$246,0))</f>
        <v>0.77217305702007488</v>
      </c>
      <c r="E2860" s="32">
        <f t="shared" si="44"/>
        <v>1.3030420337213764</v>
      </c>
    </row>
    <row r="2861" spans="1:5" x14ac:dyDescent="0.25">
      <c r="A2861" s="17">
        <v>295</v>
      </c>
      <c r="B2861" s="31">
        <v>48533</v>
      </c>
      <c r="C2861" s="32">
        <f>INDEX('Input Data'!$B:$B,A2861)/2+IF(A2861&lt;&gt;A2862,100,0)</f>
        <v>1.6875</v>
      </c>
      <c r="D2861" s="33">
        <f>INDEX('ZCB Curve - Payment Dates'!$D$2:$D$246,MATCH(B2861,'ZCB Curve - Payment Dates'!$A$2:$A$246,0))</f>
        <v>0.75384766072076514</v>
      </c>
      <c r="E2861" s="32">
        <f t="shared" si="44"/>
        <v>1.2721179274662913</v>
      </c>
    </row>
    <row r="2862" spans="1:5" x14ac:dyDescent="0.25">
      <c r="A2862" s="17">
        <v>295</v>
      </c>
      <c r="B2862" s="31">
        <v>48714</v>
      </c>
      <c r="C2862" s="32">
        <f>INDEX('Input Data'!$B:$B,A2862)/2+IF(A2862&lt;&gt;A2863,100,0)</f>
        <v>1.6875</v>
      </c>
      <c r="D2862" s="33">
        <f>INDEX('ZCB Curve - Payment Dates'!$D$2:$D$246,MATCH(B2862,'ZCB Curve - Payment Dates'!$A$2:$A$246,0))</f>
        <v>0.73601491848746747</v>
      </c>
      <c r="E2862" s="32">
        <f t="shared" si="44"/>
        <v>1.2420251749476015</v>
      </c>
    </row>
    <row r="2863" spans="1:5" x14ac:dyDescent="0.25">
      <c r="A2863" s="17">
        <v>295</v>
      </c>
      <c r="B2863" s="31">
        <v>48898</v>
      </c>
      <c r="C2863" s="32">
        <f>INDEX('Input Data'!$B:$B,A2863)/2+IF(A2863&lt;&gt;A2864,100,0)</f>
        <v>1.6875</v>
      </c>
      <c r="D2863" s="33">
        <f>INDEX('ZCB Curve - Payment Dates'!$D$2:$D$246,MATCH(B2863,'ZCB Curve - Payment Dates'!$A$2:$A$246,0))</f>
        <v>0.71805338140354003</v>
      </c>
      <c r="E2863" s="32">
        <f t="shared" si="44"/>
        <v>1.2117150811184738</v>
      </c>
    </row>
    <row r="2864" spans="1:5" x14ac:dyDescent="0.25">
      <c r="A2864" s="17">
        <v>295</v>
      </c>
      <c r="B2864" s="31">
        <v>49079</v>
      </c>
      <c r="C2864" s="32">
        <f>INDEX('Input Data'!$B:$B,A2864)/2+IF(A2864&lt;&gt;A2865,100,0)</f>
        <v>1.6875</v>
      </c>
      <c r="D2864" s="33">
        <f>INDEX('ZCB Curve - Payment Dates'!$D$2:$D$246,MATCH(B2864,'ZCB Curve - Payment Dates'!$A$2:$A$246,0))</f>
        <v>0.70052630492471468</v>
      </c>
      <c r="E2864" s="32">
        <f t="shared" si="44"/>
        <v>1.182138139560456</v>
      </c>
    </row>
    <row r="2865" spans="1:5" x14ac:dyDescent="0.25">
      <c r="A2865" s="17">
        <v>295</v>
      </c>
      <c r="B2865" s="31">
        <v>49263</v>
      </c>
      <c r="C2865" s="32">
        <f>INDEX('Input Data'!$B:$B,A2865)/2+IF(A2865&lt;&gt;A2866,100,0)</f>
        <v>1.6875</v>
      </c>
      <c r="D2865" s="33">
        <f>INDEX('ZCB Curve - Payment Dates'!$D$2:$D$246,MATCH(B2865,'ZCB Curve - Payment Dates'!$A$2:$A$246,0))</f>
        <v>0.68284221202539863</v>
      </c>
      <c r="E2865" s="32">
        <f t="shared" si="44"/>
        <v>1.1522962327928601</v>
      </c>
    </row>
    <row r="2866" spans="1:5" x14ac:dyDescent="0.25">
      <c r="A2866" s="17">
        <v>295</v>
      </c>
      <c r="B2866" s="31">
        <v>49444</v>
      </c>
      <c r="C2866" s="32">
        <f>INDEX('Input Data'!$B:$B,A2866)/2+IF(A2866&lt;&gt;A2867,100,0)</f>
        <v>1.6875</v>
      </c>
      <c r="D2866" s="33">
        <f>INDEX('ZCB Curve - Payment Dates'!$D$2:$D$246,MATCH(B2866,'ZCB Curve - Payment Dates'!$A$2:$A$246,0))</f>
        <v>0.66557347415228496</v>
      </c>
      <c r="E2866" s="32">
        <f t="shared" si="44"/>
        <v>1.1231552376319809</v>
      </c>
    </row>
    <row r="2867" spans="1:5" x14ac:dyDescent="0.25">
      <c r="A2867" s="17">
        <v>295</v>
      </c>
      <c r="B2867" s="31">
        <v>49628</v>
      </c>
      <c r="C2867" s="32">
        <f>INDEX('Input Data'!$B:$B,A2867)/2+IF(A2867&lt;&gt;A2868,100,0)</f>
        <v>1.6875</v>
      </c>
      <c r="D2867" s="33">
        <f>INDEX('ZCB Curve - Payment Dates'!$D$2:$D$246,MATCH(B2867,'ZCB Curve - Payment Dates'!$A$2:$A$246,0))</f>
        <v>0.64815361918127823</v>
      </c>
      <c r="E2867" s="32">
        <f t="shared" si="44"/>
        <v>1.0937592323684071</v>
      </c>
    </row>
    <row r="2868" spans="1:5" x14ac:dyDescent="0.25">
      <c r="A2868" s="17">
        <v>295</v>
      </c>
      <c r="B2868" s="31">
        <v>49810</v>
      </c>
      <c r="C2868" s="32">
        <f>INDEX('Input Data'!$B:$B,A2868)/2+IF(A2868&lt;&gt;A2869,100,0)</f>
        <v>1.6875</v>
      </c>
      <c r="D2868" s="33">
        <f>INDEX('ZCB Curve - Payment Dates'!$D$2:$D$246,MATCH(B2868,'ZCB Curve - Payment Dates'!$A$2:$A$246,0))</f>
        <v>0.63106457078577471</v>
      </c>
      <c r="E2868" s="32">
        <f t="shared" si="44"/>
        <v>1.0649214632009949</v>
      </c>
    </row>
    <row r="2869" spans="1:5" x14ac:dyDescent="0.25">
      <c r="A2869" s="17">
        <v>295</v>
      </c>
      <c r="B2869" s="31">
        <v>49994</v>
      </c>
      <c r="C2869" s="32">
        <f>INDEX('Input Data'!$B:$B,A2869)/2+IF(A2869&lt;&gt;A2870,100,0)</f>
        <v>1.6875</v>
      </c>
      <c r="D2869" s="33">
        <f>INDEX('ZCB Curve - Payment Dates'!$D$2:$D$246,MATCH(B2869,'ZCB Curve - Payment Dates'!$A$2:$A$246,0))</f>
        <v>0.61395227923184648</v>
      </c>
      <c r="E2869" s="32">
        <f t="shared" si="44"/>
        <v>1.0360444712037409</v>
      </c>
    </row>
    <row r="2870" spans="1:5" x14ac:dyDescent="0.25">
      <c r="A2870" s="17">
        <v>295</v>
      </c>
      <c r="B2870" s="31">
        <v>50175</v>
      </c>
      <c r="C2870" s="32">
        <f>INDEX('Input Data'!$B:$B,A2870)/2+IF(A2870&lt;&gt;A2871,100,0)</f>
        <v>1.6875</v>
      </c>
      <c r="D2870" s="33">
        <f>INDEX('ZCB Curve - Payment Dates'!$D$2:$D$246,MATCH(B2870,'ZCB Curve - Payment Dates'!$A$2:$A$246,0))</f>
        <v>0.5972963482314616</v>
      </c>
      <c r="E2870" s="32">
        <f t="shared" si="44"/>
        <v>1.0079375876405914</v>
      </c>
    </row>
    <row r="2871" spans="1:5" x14ac:dyDescent="0.25">
      <c r="A2871" s="17">
        <v>295</v>
      </c>
      <c r="B2871" s="31">
        <v>50359</v>
      </c>
      <c r="C2871" s="32">
        <f>INDEX('Input Data'!$B:$B,A2871)/2+IF(A2871&lt;&gt;A2872,100,0)</f>
        <v>1.6875</v>
      </c>
      <c r="D2871" s="33">
        <f>INDEX('ZCB Curve - Payment Dates'!$D$2:$D$246,MATCH(B2871,'ZCB Curve - Payment Dates'!$A$2:$A$246,0))</f>
        <v>0.58056812006155756</v>
      </c>
      <c r="E2871" s="32">
        <f t="shared" si="44"/>
        <v>0.97970870260387843</v>
      </c>
    </row>
    <row r="2872" spans="1:5" x14ac:dyDescent="0.25">
      <c r="A2872" s="17">
        <v>295</v>
      </c>
      <c r="B2872" s="31">
        <v>50540</v>
      </c>
      <c r="C2872" s="32">
        <f>INDEX('Input Data'!$B:$B,A2872)/2+IF(A2872&lt;&gt;A2873,100,0)</f>
        <v>1.6875</v>
      </c>
      <c r="D2872" s="33">
        <f>INDEX('ZCB Curve - Payment Dates'!$D$2:$D$246,MATCH(B2872,'ZCB Curve - Payment Dates'!$A$2:$A$246,0))</f>
        <v>0.56433491315969797</v>
      </c>
      <c r="E2872" s="32">
        <f t="shared" si="44"/>
        <v>0.95231516595699028</v>
      </c>
    </row>
    <row r="2873" spans="1:5" x14ac:dyDescent="0.25">
      <c r="A2873" s="17">
        <v>295</v>
      </c>
      <c r="B2873" s="31">
        <v>50724</v>
      </c>
      <c r="C2873" s="32">
        <f>INDEX('Input Data'!$B:$B,A2873)/2+IF(A2873&lt;&gt;A2874,100,0)</f>
        <v>1.6875</v>
      </c>
      <c r="D2873" s="33">
        <f>INDEX('ZCB Curve - Payment Dates'!$D$2:$D$246,MATCH(B2873,'ZCB Curve - Payment Dates'!$A$2:$A$246,0))</f>
        <v>0.54808398139057424</v>
      </c>
      <c r="E2873" s="32">
        <f t="shared" si="44"/>
        <v>0.92489171859659403</v>
      </c>
    </row>
    <row r="2874" spans="1:5" x14ac:dyDescent="0.25">
      <c r="A2874" s="17">
        <v>295</v>
      </c>
      <c r="B2874" s="31">
        <v>50905</v>
      </c>
      <c r="C2874" s="32">
        <f>INDEX('Input Data'!$B:$B,A2874)/2+IF(A2874&lt;&gt;A2875,100,0)</f>
        <v>1.6875</v>
      </c>
      <c r="D2874" s="33">
        <f>INDEX('ZCB Curve - Payment Dates'!$D$2:$D$246,MATCH(B2874,'ZCB Curve - Payment Dates'!$A$2:$A$246,0))</f>
        <v>0.5323673246083096</v>
      </c>
      <c r="E2874" s="32">
        <f t="shared" si="44"/>
        <v>0.89836986027652244</v>
      </c>
    </row>
    <row r="2875" spans="1:5" x14ac:dyDescent="0.25">
      <c r="A2875" s="17">
        <v>295</v>
      </c>
      <c r="B2875" s="31">
        <v>51089</v>
      </c>
      <c r="C2875" s="32">
        <f>INDEX('Input Data'!$B:$B,A2875)/2+IF(A2875&lt;&gt;A2876,100,0)</f>
        <v>1.6875</v>
      </c>
      <c r="D2875" s="33">
        <f>INDEX('ZCB Curve - Payment Dates'!$D$2:$D$246,MATCH(B2875,'ZCB Curve - Payment Dates'!$A$2:$A$246,0))</f>
        <v>0.51668806431098135</v>
      </c>
      <c r="E2875" s="32">
        <f t="shared" si="44"/>
        <v>0.87191110852478104</v>
      </c>
    </row>
    <row r="2876" spans="1:5" x14ac:dyDescent="0.25">
      <c r="A2876" s="17">
        <v>295</v>
      </c>
      <c r="B2876" s="31">
        <v>51271</v>
      </c>
      <c r="C2876" s="32">
        <f>INDEX('Input Data'!$B:$B,A2876)/2+IF(A2876&lt;&gt;A2877,100,0)</f>
        <v>1.6875</v>
      </c>
      <c r="D2876" s="33">
        <f>INDEX('ZCB Curve - Payment Dates'!$D$2:$D$246,MATCH(B2876,'ZCB Curve - Payment Dates'!$A$2:$A$246,0))</f>
        <v>0.50149590020417278</v>
      </c>
      <c r="E2876" s="32">
        <f t="shared" si="44"/>
        <v>0.84627433159454157</v>
      </c>
    </row>
    <row r="2877" spans="1:5" x14ac:dyDescent="0.25">
      <c r="A2877" s="17">
        <v>295</v>
      </c>
      <c r="B2877" s="31">
        <v>51455</v>
      </c>
      <c r="C2877" s="32">
        <f>INDEX('Input Data'!$B:$B,A2877)/2+IF(A2877&lt;&gt;A2878,100,0)</f>
        <v>1.6875</v>
      </c>
      <c r="D2877" s="33">
        <f>INDEX('ZCB Curve - Payment Dates'!$D$2:$D$246,MATCH(B2877,'ZCB Curve - Payment Dates'!$A$2:$A$246,0))</f>
        <v>0.48647538074270091</v>
      </c>
      <c r="E2877" s="32">
        <f t="shared" si="44"/>
        <v>0.82092720500330785</v>
      </c>
    </row>
    <row r="2878" spans="1:5" x14ac:dyDescent="0.25">
      <c r="A2878" s="17">
        <v>295</v>
      </c>
      <c r="B2878" s="31">
        <v>51636</v>
      </c>
      <c r="C2878" s="32">
        <f>INDEX('Input Data'!$B:$B,A2878)/2+IF(A2878&lt;&gt;A2879,100,0)</f>
        <v>1.6875</v>
      </c>
      <c r="D2878" s="33">
        <f>INDEX('ZCB Curve - Payment Dates'!$D$2:$D$246,MATCH(B2878,'ZCB Curve - Payment Dates'!$A$2:$A$246,0))</f>
        <v>0.47204918703719451</v>
      </c>
      <c r="E2878" s="32">
        <f t="shared" si="44"/>
        <v>0.79658300312526575</v>
      </c>
    </row>
    <row r="2879" spans="1:5" x14ac:dyDescent="0.25">
      <c r="A2879" s="17">
        <v>295</v>
      </c>
      <c r="B2879" s="31">
        <v>51820</v>
      </c>
      <c r="C2879" s="32">
        <f>INDEX('Input Data'!$B:$B,A2879)/2+IF(A2879&lt;&gt;A2880,100,0)</f>
        <v>1.6875</v>
      </c>
      <c r="D2879" s="33">
        <f>INDEX('ZCB Curve - Payment Dates'!$D$2:$D$246,MATCH(B2879,'ZCB Curve - Payment Dates'!$A$2:$A$246,0))</f>
        <v>0.45775548669345245</v>
      </c>
      <c r="E2879" s="32">
        <f t="shared" si="44"/>
        <v>0.77246238379520105</v>
      </c>
    </row>
    <row r="2880" spans="1:5" x14ac:dyDescent="0.25">
      <c r="A2880" s="17">
        <v>295</v>
      </c>
      <c r="B2880" s="31">
        <v>52001</v>
      </c>
      <c r="C2880" s="32">
        <f>INDEX('Input Data'!$B:$B,A2880)/2+IF(A2880&lt;&gt;A2881,100,0)</f>
        <v>1.6875</v>
      </c>
      <c r="D2880" s="33">
        <f>INDEX('ZCB Curve - Payment Dates'!$D$2:$D$246,MATCH(B2880,'ZCB Curve - Payment Dates'!$A$2:$A$246,0))</f>
        <v>0.44407192118484318</v>
      </c>
      <c r="E2880" s="32">
        <f t="shared" si="44"/>
        <v>0.74937136699942286</v>
      </c>
    </row>
    <row r="2881" spans="1:5" x14ac:dyDescent="0.25">
      <c r="A2881" s="17">
        <v>295</v>
      </c>
      <c r="B2881" s="31">
        <v>52185</v>
      </c>
      <c r="C2881" s="32">
        <f>INDEX('Input Data'!$B:$B,A2881)/2+IF(A2881&lt;&gt;A2882,100,0)</f>
        <v>1.6875</v>
      </c>
      <c r="D2881" s="33">
        <f>INDEX('ZCB Curve - Payment Dates'!$D$2:$D$246,MATCH(B2881,'ZCB Curve - Payment Dates'!$A$2:$A$246,0))</f>
        <v>0.43055647946672393</v>
      </c>
      <c r="E2881" s="32">
        <f t="shared" si="44"/>
        <v>0.72656405910009658</v>
      </c>
    </row>
    <row r="2882" spans="1:5" x14ac:dyDescent="0.25">
      <c r="A2882" s="17">
        <v>295</v>
      </c>
      <c r="B2882" s="31">
        <v>52366</v>
      </c>
      <c r="C2882" s="32">
        <f>INDEX('Input Data'!$B:$B,A2882)/2+IF(A2882&lt;&gt;A2883,100,0)</f>
        <v>1.6875</v>
      </c>
      <c r="D2882" s="33">
        <f>INDEX('ZCB Curve - Payment Dates'!$D$2:$D$246,MATCH(B2882,'ZCB Curve - Payment Dates'!$A$2:$A$246,0))</f>
        <v>0.41765686229470528</v>
      </c>
      <c r="E2882" s="32">
        <f t="shared" ref="E2882:E2945" si="45">C2882*D2882</f>
        <v>0.70479595512231519</v>
      </c>
    </row>
    <row r="2883" spans="1:5" x14ac:dyDescent="0.25">
      <c r="A2883" s="17">
        <v>295</v>
      </c>
      <c r="B2883" s="31">
        <v>52550</v>
      </c>
      <c r="C2883" s="32">
        <f>INDEX('Input Data'!$B:$B,A2883)/2+IF(A2883&lt;&gt;A2884,100,0)</f>
        <v>1.6875</v>
      </c>
      <c r="D2883" s="33">
        <f>INDEX('ZCB Curve - Payment Dates'!$D$2:$D$246,MATCH(B2883,'ZCB Curve - Payment Dates'!$A$2:$A$246,0))</f>
        <v>0.40495237741553414</v>
      </c>
      <c r="E2883" s="32">
        <f t="shared" si="45"/>
        <v>0.68335713688871391</v>
      </c>
    </row>
    <row r="2884" spans="1:5" x14ac:dyDescent="0.25">
      <c r="A2884" s="17">
        <v>295</v>
      </c>
      <c r="B2884" s="31">
        <v>52732</v>
      </c>
      <c r="C2884" s="32">
        <f>INDEX('Input Data'!$B:$B,A2884)/2+IF(A2884&lt;&gt;A2885,100,0)</f>
        <v>101.6875</v>
      </c>
      <c r="D2884" s="33">
        <f>INDEX('ZCB Curve - Payment Dates'!$D$2:$D$246,MATCH(B2884,'ZCB Curve - Payment Dates'!$A$2:$A$246,0))</f>
        <v>0.3927952920896523</v>
      </c>
      <c r="E2884" s="32">
        <f t="shared" si="45"/>
        <v>39.942371264366521</v>
      </c>
    </row>
    <row r="2885" spans="1:5" x14ac:dyDescent="0.25">
      <c r="A2885" s="17">
        <v>296</v>
      </c>
      <c r="B2885" s="31">
        <v>46341</v>
      </c>
      <c r="C2885" s="32">
        <f>INDEX('Input Data'!$B:$B,A2885)/2+IF(A2885&lt;&gt;A2886,100,0)</f>
        <v>2.3125</v>
      </c>
      <c r="D2885" s="33">
        <f>INDEX('ZCB Curve - Payment Dates'!$D$2:$D$246,MATCH(B2885,'ZCB Curve - Payment Dates'!$A$2:$A$246,0))</f>
        <v>0.99245367292309439</v>
      </c>
      <c r="E2885" s="32">
        <f t="shared" si="45"/>
        <v>2.2950491186346555</v>
      </c>
    </row>
    <row r="2886" spans="1:5" x14ac:dyDescent="0.25">
      <c r="A2886" s="17">
        <v>296</v>
      </c>
      <c r="B2886" s="31">
        <v>46522</v>
      </c>
      <c r="C2886" s="32">
        <f>INDEX('Input Data'!$B:$B,A2886)/2+IF(A2886&lt;&gt;A2887,100,0)</f>
        <v>2.3125</v>
      </c>
      <c r="D2886" s="33">
        <f>INDEX('ZCB Curve - Payment Dates'!$D$2:$D$246,MATCH(B2886,'ZCB Curve - Payment Dates'!$A$2:$A$246,0))</f>
        <v>0.97242179559611874</v>
      </c>
      <c r="E2886" s="32">
        <f t="shared" si="45"/>
        <v>2.2487254023160248</v>
      </c>
    </row>
    <row r="2887" spans="1:5" x14ac:dyDescent="0.25">
      <c r="A2887" s="17">
        <v>296</v>
      </c>
      <c r="B2887" s="31">
        <v>46706</v>
      </c>
      <c r="C2887" s="32">
        <f>INDEX('Input Data'!$B:$B,A2887)/2+IF(A2887&lt;&gt;A2888,100,0)</f>
        <v>2.3125</v>
      </c>
      <c r="D2887" s="33">
        <f>INDEX('ZCB Curve - Payment Dates'!$D$2:$D$246,MATCH(B2887,'ZCB Curve - Payment Dates'!$A$2:$A$246,0))</f>
        <v>0.95121018311627348</v>
      </c>
      <c r="E2887" s="32">
        <f t="shared" si="45"/>
        <v>2.1996735484563823</v>
      </c>
    </row>
    <row r="2888" spans="1:5" x14ac:dyDescent="0.25">
      <c r="A2888" s="17">
        <v>296</v>
      </c>
      <c r="B2888" s="31">
        <v>46888</v>
      </c>
      <c r="C2888" s="32">
        <f>INDEX('Input Data'!$B:$B,A2888)/2+IF(A2888&lt;&gt;A2889,100,0)</f>
        <v>2.3125</v>
      </c>
      <c r="D2888" s="33">
        <f>INDEX('ZCB Curve - Payment Dates'!$D$2:$D$246,MATCH(B2888,'ZCB Curve - Payment Dates'!$A$2:$A$246,0))</f>
        <v>0.93000025435083566</v>
      </c>
      <c r="E2888" s="32">
        <f t="shared" si="45"/>
        <v>2.1506255881863074</v>
      </c>
    </row>
    <row r="2889" spans="1:5" x14ac:dyDescent="0.25">
      <c r="A2889" s="17">
        <v>296</v>
      </c>
      <c r="B2889" s="31">
        <v>47072</v>
      </c>
      <c r="C2889" s="32">
        <f>INDEX('Input Data'!$B:$B,A2889)/2+IF(A2889&lt;&gt;A2890,100,0)</f>
        <v>2.3125</v>
      </c>
      <c r="D2889" s="33">
        <f>INDEX('ZCB Curve - Payment Dates'!$D$2:$D$246,MATCH(B2889,'ZCB Curve - Payment Dates'!$A$2:$A$246,0))</f>
        <v>0.90870125167038918</v>
      </c>
      <c r="E2889" s="32">
        <f t="shared" si="45"/>
        <v>2.101371644487775</v>
      </c>
    </row>
    <row r="2890" spans="1:5" x14ac:dyDescent="0.25">
      <c r="A2890" s="17">
        <v>296</v>
      </c>
      <c r="B2890" s="31">
        <v>47253</v>
      </c>
      <c r="C2890" s="32">
        <f>INDEX('Input Data'!$B:$B,A2890)/2+IF(A2890&lt;&gt;A2891,100,0)</f>
        <v>2.3125</v>
      </c>
      <c r="D2890" s="33">
        <f>INDEX('ZCB Curve - Payment Dates'!$D$2:$D$246,MATCH(B2890,'ZCB Curve - Payment Dates'!$A$2:$A$246,0))</f>
        <v>0.88809325063638844</v>
      </c>
      <c r="E2890" s="32">
        <f t="shared" si="45"/>
        <v>2.0537156420966483</v>
      </c>
    </row>
    <row r="2891" spans="1:5" x14ac:dyDescent="0.25">
      <c r="A2891" s="17">
        <v>296</v>
      </c>
      <c r="B2891" s="31">
        <v>47437</v>
      </c>
      <c r="C2891" s="32">
        <f>INDEX('Input Data'!$B:$B,A2891)/2+IF(A2891&lt;&gt;A2892,100,0)</f>
        <v>2.3125</v>
      </c>
      <c r="D2891" s="33">
        <f>INDEX('ZCB Curve - Payment Dates'!$D$2:$D$246,MATCH(B2891,'ZCB Curve - Payment Dates'!$A$2:$A$246,0))</f>
        <v>0.86758824089536279</v>
      </c>
      <c r="E2891" s="32">
        <f t="shared" si="45"/>
        <v>2.0062978070705264</v>
      </c>
    </row>
    <row r="2892" spans="1:5" x14ac:dyDescent="0.25">
      <c r="A2892" s="17">
        <v>296</v>
      </c>
      <c r="B2892" s="31">
        <v>47618</v>
      </c>
      <c r="C2892" s="32">
        <f>INDEX('Input Data'!$B:$B,A2892)/2+IF(A2892&lt;&gt;A2893,100,0)</f>
        <v>2.3125</v>
      </c>
      <c r="D2892" s="33">
        <f>INDEX('ZCB Curve - Payment Dates'!$D$2:$D$246,MATCH(B2892,'ZCB Curve - Payment Dates'!$A$2:$A$246,0))</f>
        <v>0.84787416911783064</v>
      </c>
      <c r="E2892" s="32">
        <f t="shared" si="45"/>
        <v>1.9607090160849834</v>
      </c>
    </row>
    <row r="2893" spans="1:5" x14ac:dyDescent="0.25">
      <c r="A2893" s="17">
        <v>296</v>
      </c>
      <c r="B2893" s="31">
        <v>47802</v>
      </c>
      <c r="C2893" s="32">
        <f>INDEX('Input Data'!$B:$B,A2893)/2+IF(A2893&lt;&gt;A2894,100,0)</f>
        <v>2.3125</v>
      </c>
      <c r="D2893" s="33">
        <f>INDEX('ZCB Curve - Payment Dates'!$D$2:$D$246,MATCH(B2893,'ZCB Curve - Payment Dates'!$A$2:$A$246,0))</f>
        <v>0.82827715028796722</v>
      </c>
      <c r="E2893" s="32">
        <f t="shared" si="45"/>
        <v>1.9153909100409241</v>
      </c>
    </row>
    <row r="2894" spans="1:5" x14ac:dyDescent="0.25">
      <c r="A2894" s="17">
        <v>296</v>
      </c>
      <c r="B2894" s="31">
        <v>47983</v>
      </c>
      <c r="C2894" s="32">
        <f>INDEX('Input Data'!$B:$B,A2894)/2+IF(A2894&lt;&gt;A2895,100,0)</f>
        <v>2.3125</v>
      </c>
      <c r="D2894" s="33">
        <f>INDEX('ZCB Curve - Payment Dates'!$D$2:$D$246,MATCH(B2894,'ZCB Curve - Payment Dates'!$A$2:$A$246,0))</f>
        <v>0.80939067484273564</v>
      </c>
      <c r="E2894" s="32">
        <f t="shared" si="45"/>
        <v>1.8717159355738262</v>
      </c>
    </row>
    <row r="2895" spans="1:5" x14ac:dyDescent="0.25">
      <c r="A2895" s="17">
        <v>296</v>
      </c>
      <c r="B2895" s="31">
        <v>48167</v>
      </c>
      <c r="C2895" s="32">
        <f>INDEX('Input Data'!$B:$B,A2895)/2+IF(A2895&lt;&gt;A2896,100,0)</f>
        <v>2.3125</v>
      </c>
      <c r="D2895" s="33">
        <f>INDEX('ZCB Curve - Payment Dates'!$D$2:$D$246,MATCH(B2895,'ZCB Curve - Payment Dates'!$A$2:$A$246,0))</f>
        <v>0.79053567842581962</v>
      </c>
      <c r="E2895" s="32">
        <f t="shared" si="45"/>
        <v>1.8281137563597079</v>
      </c>
    </row>
    <row r="2896" spans="1:5" x14ac:dyDescent="0.25">
      <c r="A2896" s="17">
        <v>296</v>
      </c>
      <c r="B2896" s="31">
        <v>48349</v>
      </c>
      <c r="C2896" s="32">
        <f>INDEX('Input Data'!$B:$B,A2896)/2+IF(A2896&lt;&gt;A2897,100,0)</f>
        <v>2.3125</v>
      </c>
      <c r="D2896" s="33">
        <f>INDEX('ZCB Curve - Payment Dates'!$D$2:$D$246,MATCH(B2896,'ZCB Curve - Payment Dates'!$A$2:$A$246,0))</f>
        <v>0.77217305702007488</v>
      </c>
      <c r="E2896" s="32">
        <f t="shared" si="45"/>
        <v>1.7856501943589231</v>
      </c>
    </row>
    <row r="2897" spans="1:5" x14ac:dyDescent="0.25">
      <c r="A2897" s="17">
        <v>296</v>
      </c>
      <c r="B2897" s="31">
        <v>48533</v>
      </c>
      <c r="C2897" s="32">
        <f>INDEX('Input Data'!$B:$B,A2897)/2+IF(A2897&lt;&gt;A2898,100,0)</f>
        <v>2.3125</v>
      </c>
      <c r="D2897" s="33">
        <f>INDEX('ZCB Curve - Payment Dates'!$D$2:$D$246,MATCH(B2897,'ZCB Curve - Payment Dates'!$A$2:$A$246,0))</f>
        <v>0.75384766072076514</v>
      </c>
      <c r="E2897" s="32">
        <f t="shared" si="45"/>
        <v>1.7432727154167693</v>
      </c>
    </row>
    <row r="2898" spans="1:5" x14ac:dyDescent="0.25">
      <c r="A2898" s="17">
        <v>296</v>
      </c>
      <c r="B2898" s="31">
        <v>48714</v>
      </c>
      <c r="C2898" s="32">
        <f>INDEX('Input Data'!$B:$B,A2898)/2+IF(A2898&lt;&gt;A2899,100,0)</f>
        <v>2.3125</v>
      </c>
      <c r="D2898" s="33">
        <f>INDEX('ZCB Curve - Payment Dates'!$D$2:$D$246,MATCH(B2898,'ZCB Curve - Payment Dates'!$A$2:$A$246,0))</f>
        <v>0.73601491848746747</v>
      </c>
      <c r="E2898" s="32">
        <f t="shared" si="45"/>
        <v>1.7020344990022684</v>
      </c>
    </row>
    <row r="2899" spans="1:5" x14ac:dyDescent="0.25">
      <c r="A2899" s="17">
        <v>296</v>
      </c>
      <c r="B2899" s="31">
        <v>48898</v>
      </c>
      <c r="C2899" s="32">
        <f>INDEX('Input Data'!$B:$B,A2899)/2+IF(A2899&lt;&gt;A2900,100,0)</f>
        <v>2.3125</v>
      </c>
      <c r="D2899" s="33">
        <f>INDEX('ZCB Curve - Payment Dates'!$D$2:$D$246,MATCH(B2899,'ZCB Curve - Payment Dates'!$A$2:$A$246,0))</f>
        <v>0.71805338140354003</v>
      </c>
      <c r="E2899" s="32">
        <f t="shared" si="45"/>
        <v>1.6604984444956863</v>
      </c>
    </row>
    <row r="2900" spans="1:5" x14ac:dyDescent="0.25">
      <c r="A2900" s="17">
        <v>296</v>
      </c>
      <c r="B2900" s="31">
        <v>49079</v>
      </c>
      <c r="C2900" s="32">
        <f>INDEX('Input Data'!$B:$B,A2900)/2+IF(A2900&lt;&gt;A2901,100,0)</f>
        <v>2.3125</v>
      </c>
      <c r="D2900" s="33">
        <f>INDEX('ZCB Curve - Payment Dates'!$D$2:$D$246,MATCH(B2900,'ZCB Curve - Payment Dates'!$A$2:$A$246,0))</f>
        <v>0.70052630492471468</v>
      </c>
      <c r="E2900" s="32">
        <f t="shared" si="45"/>
        <v>1.6199670801384027</v>
      </c>
    </row>
    <row r="2901" spans="1:5" x14ac:dyDescent="0.25">
      <c r="A2901" s="17">
        <v>296</v>
      </c>
      <c r="B2901" s="31">
        <v>49263</v>
      </c>
      <c r="C2901" s="32">
        <f>INDEX('Input Data'!$B:$B,A2901)/2+IF(A2901&lt;&gt;A2902,100,0)</f>
        <v>2.3125</v>
      </c>
      <c r="D2901" s="33">
        <f>INDEX('ZCB Curve - Payment Dates'!$D$2:$D$246,MATCH(B2901,'ZCB Curve - Payment Dates'!$A$2:$A$246,0))</f>
        <v>0.68284221202539863</v>
      </c>
      <c r="E2901" s="32">
        <f t="shared" si="45"/>
        <v>1.5790726153087344</v>
      </c>
    </row>
    <row r="2902" spans="1:5" x14ac:dyDescent="0.25">
      <c r="A2902" s="17">
        <v>296</v>
      </c>
      <c r="B2902" s="31">
        <v>49444</v>
      </c>
      <c r="C2902" s="32">
        <f>INDEX('Input Data'!$B:$B,A2902)/2+IF(A2902&lt;&gt;A2903,100,0)</f>
        <v>2.3125</v>
      </c>
      <c r="D2902" s="33">
        <f>INDEX('ZCB Curve - Payment Dates'!$D$2:$D$246,MATCH(B2902,'ZCB Curve - Payment Dates'!$A$2:$A$246,0))</f>
        <v>0.66557347415228496</v>
      </c>
      <c r="E2902" s="32">
        <f t="shared" si="45"/>
        <v>1.539138658977159</v>
      </c>
    </row>
    <row r="2903" spans="1:5" x14ac:dyDescent="0.25">
      <c r="A2903" s="17">
        <v>296</v>
      </c>
      <c r="B2903" s="31">
        <v>49628</v>
      </c>
      <c r="C2903" s="32">
        <f>INDEX('Input Data'!$B:$B,A2903)/2+IF(A2903&lt;&gt;A2904,100,0)</f>
        <v>2.3125</v>
      </c>
      <c r="D2903" s="33">
        <f>INDEX('ZCB Curve - Payment Dates'!$D$2:$D$246,MATCH(B2903,'ZCB Curve - Payment Dates'!$A$2:$A$246,0))</f>
        <v>0.64815361918127823</v>
      </c>
      <c r="E2903" s="32">
        <f t="shared" si="45"/>
        <v>1.4988552443567058</v>
      </c>
    </row>
    <row r="2904" spans="1:5" x14ac:dyDescent="0.25">
      <c r="A2904" s="17">
        <v>296</v>
      </c>
      <c r="B2904" s="31">
        <v>49810</v>
      </c>
      <c r="C2904" s="32">
        <f>INDEX('Input Data'!$B:$B,A2904)/2+IF(A2904&lt;&gt;A2905,100,0)</f>
        <v>2.3125</v>
      </c>
      <c r="D2904" s="33">
        <f>INDEX('ZCB Curve - Payment Dates'!$D$2:$D$246,MATCH(B2904,'ZCB Curve - Payment Dates'!$A$2:$A$246,0))</f>
        <v>0.63106457078577471</v>
      </c>
      <c r="E2904" s="32">
        <f t="shared" si="45"/>
        <v>1.459336819942104</v>
      </c>
    </row>
    <row r="2905" spans="1:5" x14ac:dyDescent="0.25">
      <c r="A2905" s="17">
        <v>296</v>
      </c>
      <c r="B2905" s="31">
        <v>49994</v>
      </c>
      <c r="C2905" s="32">
        <f>INDEX('Input Data'!$B:$B,A2905)/2+IF(A2905&lt;&gt;A2906,100,0)</f>
        <v>2.3125</v>
      </c>
      <c r="D2905" s="33">
        <f>INDEX('ZCB Curve - Payment Dates'!$D$2:$D$246,MATCH(B2905,'ZCB Curve - Payment Dates'!$A$2:$A$246,0))</f>
        <v>0.61395227923184648</v>
      </c>
      <c r="E2905" s="32">
        <f t="shared" si="45"/>
        <v>1.419764645723645</v>
      </c>
    </row>
    <row r="2906" spans="1:5" x14ac:dyDescent="0.25">
      <c r="A2906" s="17">
        <v>296</v>
      </c>
      <c r="B2906" s="31">
        <v>50175</v>
      </c>
      <c r="C2906" s="32">
        <f>INDEX('Input Data'!$B:$B,A2906)/2+IF(A2906&lt;&gt;A2907,100,0)</f>
        <v>2.3125</v>
      </c>
      <c r="D2906" s="33">
        <f>INDEX('ZCB Curve - Payment Dates'!$D$2:$D$246,MATCH(B2906,'ZCB Curve - Payment Dates'!$A$2:$A$246,0))</f>
        <v>0.5972963482314616</v>
      </c>
      <c r="E2906" s="32">
        <f t="shared" si="45"/>
        <v>1.381247805285255</v>
      </c>
    </row>
    <row r="2907" spans="1:5" x14ac:dyDescent="0.25">
      <c r="A2907" s="17">
        <v>296</v>
      </c>
      <c r="B2907" s="31">
        <v>50359</v>
      </c>
      <c r="C2907" s="32">
        <f>INDEX('Input Data'!$B:$B,A2907)/2+IF(A2907&lt;&gt;A2908,100,0)</f>
        <v>2.3125</v>
      </c>
      <c r="D2907" s="33">
        <f>INDEX('ZCB Curve - Payment Dates'!$D$2:$D$246,MATCH(B2907,'ZCB Curve - Payment Dates'!$A$2:$A$246,0))</f>
        <v>0.58056812006155756</v>
      </c>
      <c r="E2907" s="32">
        <f t="shared" si="45"/>
        <v>1.3425637776423518</v>
      </c>
    </row>
    <row r="2908" spans="1:5" x14ac:dyDescent="0.25">
      <c r="A2908" s="17">
        <v>296</v>
      </c>
      <c r="B2908" s="31">
        <v>50540</v>
      </c>
      <c r="C2908" s="32">
        <f>INDEX('Input Data'!$B:$B,A2908)/2+IF(A2908&lt;&gt;A2909,100,0)</f>
        <v>2.3125</v>
      </c>
      <c r="D2908" s="33">
        <f>INDEX('ZCB Curve - Payment Dates'!$D$2:$D$246,MATCH(B2908,'ZCB Curve - Payment Dates'!$A$2:$A$246,0))</f>
        <v>0.56433491315969797</v>
      </c>
      <c r="E2908" s="32">
        <f t="shared" si="45"/>
        <v>1.3050244866818015</v>
      </c>
    </row>
    <row r="2909" spans="1:5" x14ac:dyDescent="0.25">
      <c r="A2909" s="17">
        <v>296</v>
      </c>
      <c r="B2909" s="31">
        <v>50724</v>
      </c>
      <c r="C2909" s="32">
        <f>INDEX('Input Data'!$B:$B,A2909)/2+IF(A2909&lt;&gt;A2910,100,0)</f>
        <v>2.3125</v>
      </c>
      <c r="D2909" s="33">
        <f>INDEX('ZCB Curve - Payment Dates'!$D$2:$D$246,MATCH(B2909,'ZCB Curve - Payment Dates'!$A$2:$A$246,0))</f>
        <v>0.54808398139057424</v>
      </c>
      <c r="E2909" s="32">
        <f t="shared" si="45"/>
        <v>1.267444206965703</v>
      </c>
    </row>
    <row r="2910" spans="1:5" x14ac:dyDescent="0.25">
      <c r="A2910" s="17">
        <v>296</v>
      </c>
      <c r="B2910" s="31">
        <v>50905</v>
      </c>
      <c r="C2910" s="32">
        <f>INDEX('Input Data'!$B:$B,A2910)/2+IF(A2910&lt;&gt;A2911,100,0)</f>
        <v>2.3125</v>
      </c>
      <c r="D2910" s="33">
        <f>INDEX('ZCB Curve - Payment Dates'!$D$2:$D$246,MATCH(B2910,'ZCB Curve - Payment Dates'!$A$2:$A$246,0))</f>
        <v>0.5323673246083096</v>
      </c>
      <c r="E2910" s="32">
        <f t="shared" si="45"/>
        <v>1.231099438156716</v>
      </c>
    </row>
    <row r="2911" spans="1:5" x14ac:dyDescent="0.25">
      <c r="A2911" s="17">
        <v>296</v>
      </c>
      <c r="B2911" s="31">
        <v>51089</v>
      </c>
      <c r="C2911" s="32">
        <f>INDEX('Input Data'!$B:$B,A2911)/2+IF(A2911&lt;&gt;A2912,100,0)</f>
        <v>2.3125</v>
      </c>
      <c r="D2911" s="33">
        <f>INDEX('ZCB Curve - Payment Dates'!$D$2:$D$246,MATCH(B2911,'ZCB Curve - Payment Dates'!$A$2:$A$246,0))</f>
        <v>0.51668806431098135</v>
      </c>
      <c r="E2911" s="32">
        <f t="shared" si="45"/>
        <v>1.1948411487191444</v>
      </c>
    </row>
    <row r="2912" spans="1:5" x14ac:dyDescent="0.25">
      <c r="A2912" s="17">
        <v>296</v>
      </c>
      <c r="B2912" s="31">
        <v>51271</v>
      </c>
      <c r="C2912" s="32">
        <f>INDEX('Input Data'!$B:$B,A2912)/2+IF(A2912&lt;&gt;A2913,100,0)</f>
        <v>2.3125</v>
      </c>
      <c r="D2912" s="33">
        <f>INDEX('ZCB Curve - Payment Dates'!$D$2:$D$246,MATCH(B2912,'ZCB Curve - Payment Dates'!$A$2:$A$246,0))</f>
        <v>0.50149590020417278</v>
      </c>
      <c r="E2912" s="32">
        <f t="shared" si="45"/>
        <v>1.1597092692221496</v>
      </c>
    </row>
    <row r="2913" spans="1:5" x14ac:dyDescent="0.25">
      <c r="A2913" s="17">
        <v>296</v>
      </c>
      <c r="B2913" s="31">
        <v>51455</v>
      </c>
      <c r="C2913" s="32">
        <f>INDEX('Input Data'!$B:$B,A2913)/2+IF(A2913&lt;&gt;A2914,100,0)</f>
        <v>2.3125</v>
      </c>
      <c r="D2913" s="33">
        <f>INDEX('ZCB Curve - Payment Dates'!$D$2:$D$246,MATCH(B2913,'ZCB Curve - Payment Dates'!$A$2:$A$246,0))</f>
        <v>0.48647538074270091</v>
      </c>
      <c r="E2913" s="32">
        <f t="shared" si="45"/>
        <v>1.1249743179674958</v>
      </c>
    </row>
    <row r="2914" spans="1:5" x14ac:dyDescent="0.25">
      <c r="A2914" s="17">
        <v>296</v>
      </c>
      <c r="B2914" s="31">
        <v>51636</v>
      </c>
      <c r="C2914" s="32">
        <f>INDEX('Input Data'!$B:$B,A2914)/2+IF(A2914&lt;&gt;A2915,100,0)</f>
        <v>2.3125</v>
      </c>
      <c r="D2914" s="33">
        <f>INDEX('ZCB Curve - Payment Dates'!$D$2:$D$246,MATCH(B2914,'ZCB Curve - Payment Dates'!$A$2:$A$246,0))</f>
        <v>0.47204918703719451</v>
      </c>
      <c r="E2914" s="32">
        <f t="shared" si="45"/>
        <v>1.0916137450235124</v>
      </c>
    </row>
    <row r="2915" spans="1:5" x14ac:dyDescent="0.25">
      <c r="A2915" s="17">
        <v>296</v>
      </c>
      <c r="B2915" s="31">
        <v>51820</v>
      </c>
      <c r="C2915" s="32">
        <f>INDEX('Input Data'!$B:$B,A2915)/2+IF(A2915&lt;&gt;A2916,100,0)</f>
        <v>2.3125</v>
      </c>
      <c r="D2915" s="33">
        <f>INDEX('ZCB Curve - Payment Dates'!$D$2:$D$246,MATCH(B2915,'ZCB Curve - Payment Dates'!$A$2:$A$246,0))</f>
        <v>0.45775548669345245</v>
      </c>
      <c r="E2915" s="32">
        <f t="shared" si="45"/>
        <v>1.0585595629786089</v>
      </c>
    </row>
    <row r="2916" spans="1:5" x14ac:dyDescent="0.25">
      <c r="A2916" s="17">
        <v>296</v>
      </c>
      <c r="B2916" s="31">
        <v>52001</v>
      </c>
      <c r="C2916" s="32">
        <f>INDEX('Input Data'!$B:$B,A2916)/2+IF(A2916&lt;&gt;A2917,100,0)</f>
        <v>2.3125</v>
      </c>
      <c r="D2916" s="33">
        <f>INDEX('ZCB Curve - Payment Dates'!$D$2:$D$246,MATCH(B2916,'ZCB Curve - Payment Dates'!$A$2:$A$246,0))</f>
        <v>0.44407192118484318</v>
      </c>
      <c r="E2916" s="32">
        <f t="shared" si="45"/>
        <v>1.0269163177399498</v>
      </c>
    </row>
    <row r="2917" spans="1:5" x14ac:dyDescent="0.25">
      <c r="A2917" s="17">
        <v>296</v>
      </c>
      <c r="B2917" s="31">
        <v>52185</v>
      </c>
      <c r="C2917" s="32">
        <f>INDEX('Input Data'!$B:$B,A2917)/2+IF(A2917&lt;&gt;A2918,100,0)</f>
        <v>2.3125</v>
      </c>
      <c r="D2917" s="33">
        <f>INDEX('ZCB Curve - Payment Dates'!$D$2:$D$246,MATCH(B2917,'ZCB Curve - Payment Dates'!$A$2:$A$246,0))</f>
        <v>0.43055647946672393</v>
      </c>
      <c r="E2917" s="32">
        <f t="shared" si="45"/>
        <v>0.99566185876679913</v>
      </c>
    </row>
    <row r="2918" spans="1:5" x14ac:dyDescent="0.25">
      <c r="A2918" s="17">
        <v>296</v>
      </c>
      <c r="B2918" s="31">
        <v>52366</v>
      </c>
      <c r="C2918" s="32">
        <f>INDEX('Input Data'!$B:$B,A2918)/2+IF(A2918&lt;&gt;A2919,100,0)</f>
        <v>2.3125</v>
      </c>
      <c r="D2918" s="33">
        <f>INDEX('ZCB Curve - Payment Dates'!$D$2:$D$246,MATCH(B2918,'ZCB Curve - Payment Dates'!$A$2:$A$246,0))</f>
        <v>0.41765686229470528</v>
      </c>
      <c r="E2918" s="32">
        <f t="shared" si="45"/>
        <v>0.96583149405650592</v>
      </c>
    </row>
    <row r="2919" spans="1:5" x14ac:dyDescent="0.25">
      <c r="A2919" s="17">
        <v>296</v>
      </c>
      <c r="B2919" s="31">
        <v>52550</v>
      </c>
      <c r="C2919" s="32">
        <f>INDEX('Input Data'!$B:$B,A2919)/2+IF(A2919&lt;&gt;A2920,100,0)</f>
        <v>2.3125</v>
      </c>
      <c r="D2919" s="33">
        <f>INDEX('ZCB Curve - Payment Dates'!$D$2:$D$246,MATCH(B2919,'ZCB Curve - Payment Dates'!$A$2:$A$246,0))</f>
        <v>0.40495237741553414</v>
      </c>
      <c r="E2919" s="32">
        <f t="shared" si="45"/>
        <v>0.93645237277342264</v>
      </c>
    </row>
    <row r="2920" spans="1:5" x14ac:dyDescent="0.25">
      <c r="A2920" s="17">
        <v>296</v>
      </c>
      <c r="B2920" s="31">
        <v>52732</v>
      </c>
      <c r="C2920" s="32">
        <f>INDEX('Input Data'!$B:$B,A2920)/2+IF(A2920&lt;&gt;A2921,100,0)</f>
        <v>102.3125</v>
      </c>
      <c r="D2920" s="33">
        <f>INDEX('ZCB Curve - Payment Dates'!$D$2:$D$246,MATCH(B2920,'ZCB Curve - Payment Dates'!$A$2:$A$246,0))</f>
        <v>0.3927952920896523</v>
      </c>
      <c r="E2920" s="32">
        <f t="shared" si="45"/>
        <v>40.187868321922551</v>
      </c>
    </row>
    <row r="2921" spans="1:5" x14ac:dyDescent="0.25">
      <c r="A2921" s="17">
        <v>297</v>
      </c>
      <c r="B2921" s="31">
        <v>46433</v>
      </c>
      <c r="C2921" s="32">
        <f>INDEX('Input Data'!$B:$B,A2921)/2+IF(A2921&lt;&gt;A2922,100,0)</f>
        <v>1.5625</v>
      </c>
      <c r="D2921" s="33">
        <f>INDEX('ZCB Curve - Payment Dates'!$D$2:$D$246,MATCH(B2921,'ZCB Curve - Payment Dates'!$A$2:$A$246,0))</f>
        <v>0.98242671792446301</v>
      </c>
      <c r="E2921" s="32">
        <f t="shared" si="45"/>
        <v>1.5350417467569735</v>
      </c>
    </row>
    <row r="2922" spans="1:5" x14ac:dyDescent="0.25">
      <c r="A2922" s="17">
        <v>297</v>
      </c>
      <c r="B2922" s="31">
        <v>46614</v>
      </c>
      <c r="C2922" s="32">
        <f>INDEX('Input Data'!$B:$B,A2922)/2+IF(A2922&lt;&gt;A2923,100,0)</f>
        <v>1.5625</v>
      </c>
      <c r="D2922" s="33">
        <f>INDEX('ZCB Curve - Payment Dates'!$D$2:$D$246,MATCH(B2922,'ZCB Curve - Payment Dates'!$A$2:$A$246,0))</f>
        <v>0.96187948164765535</v>
      </c>
      <c r="E2922" s="32">
        <f t="shared" si="45"/>
        <v>1.5029366900744614</v>
      </c>
    </row>
    <row r="2923" spans="1:5" x14ac:dyDescent="0.25">
      <c r="A2923" s="17">
        <v>297</v>
      </c>
      <c r="B2923" s="31">
        <v>46798</v>
      </c>
      <c r="C2923" s="32">
        <f>INDEX('Input Data'!$B:$B,A2923)/2+IF(A2923&lt;&gt;A2924,100,0)</f>
        <v>1.5625</v>
      </c>
      <c r="D2923" s="33">
        <f>INDEX('ZCB Curve - Payment Dates'!$D$2:$D$246,MATCH(B2923,'ZCB Curve - Payment Dates'!$A$2:$A$246,0))</f>
        <v>0.94049096132648802</v>
      </c>
      <c r="E2923" s="32">
        <f t="shared" si="45"/>
        <v>1.4695171270726375</v>
      </c>
    </row>
    <row r="2924" spans="1:5" x14ac:dyDescent="0.25">
      <c r="A2924" s="17">
        <v>297</v>
      </c>
      <c r="B2924" s="31">
        <v>46980</v>
      </c>
      <c r="C2924" s="32">
        <f>INDEX('Input Data'!$B:$B,A2924)/2+IF(A2924&lt;&gt;A2925,100,0)</f>
        <v>1.5625</v>
      </c>
      <c r="D2924" s="33">
        <f>INDEX('ZCB Curve - Payment Dates'!$D$2:$D$246,MATCH(B2924,'ZCB Curve - Payment Dates'!$A$2:$A$246,0))</f>
        <v>0.91931844130238327</v>
      </c>
      <c r="E2924" s="32">
        <f t="shared" si="45"/>
        <v>1.4364350645349739</v>
      </c>
    </row>
    <row r="2925" spans="1:5" x14ac:dyDescent="0.25">
      <c r="A2925" s="17">
        <v>297</v>
      </c>
      <c r="B2925" s="31">
        <v>47164</v>
      </c>
      <c r="C2925" s="32">
        <f>INDEX('Input Data'!$B:$B,A2925)/2+IF(A2925&lt;&gt;A2926,100,0)</f>
        <v>1.5625</v>
      </c>
      <c r="D2925" s="33">
        <f>INDEX('ZCB Curve - Payment Dates'!$D$2:$D$246,MATCH(B2925,'ZCB Curve - Payment Dates'!$A$2:$A$246,0))</f>
        <v>0.89817430058086534</v>
      </c>
      <c r="E2925" s="32">
        <f t="shared" si="45"/>
        <v>1.403397344657602</v>
      </c>
    </row>
    <row r="2926" spans="1:5" x14ac:dyDescent="0.25">
      <c r="A2926" s="17">
        <v>297</v>
      </c>
      <c r="B2926" s="31">
        <v>47345</v>
      </c>
      <c r="C2926" s="32">
        <f>INDEX('Input Data'!$B:$B,A2926)/2+IF(A2926&lt;&gt;A2927,100,0)</f>
        <v>1.5625</v>
      </c>
      <c r="D2926" s="33">
        <f>INDEX('ZCB Curve - Payment Dates'!$D$2:$D$246,MATCH(B2926,'ZCB Curve - Payment Dates'!$A$2:$A$246,0))</f>
        <v>0.87778421628860481</v>
      </c>
      <c r="E2926" s="32">
        <f t="shared" si="45"/>
        <v>1.3715378379509451</v>
      </c>
    </row>
    <row r="2927" spans="1:5" x14ac:dyDescent="0.25">
      <c r="A2927" s="17">
        <v>297</v>
      </c>
      <c r="B2927" s="31">
        <v>47529</v>
      </c>
      <c r="C2927" s="32">
        <f>INDEX('Input Data'!$B:$B,A2927)/2+IF(A2927&lt;&gt;A2928,100,0)</f>
        <v>1.5625</v>
      </c>
      <c r="D2927" s="33">
        <f>INDEX('ZCB Curve - Payment Dates'!$D$2:$D$246,MATCH(B2927,'ZCB Curve - Payment Dates'!$A$2:$A$246,0))</f>
        <v>0.85751015570959666</v>
      </c>
      <c r="E2927" s="32">
        <f t="shared" si="45"/>
        <v>1.3398596182962448</v>
      </c>
    </row>
    <row r="2928" spans="1:5" x14ac:dyDescent="0.25">
      <c r="A2928" s="17">
        <v>297</v>
      </c>
      <c r="B2928" s="31">
        <v>47710</v>
      </c>
      <c r="C2928" s="32">
        <f>INDEX('Input Data'!$B:$B,A2928)/2+IF(A2928&lt;&gt;A2929,100,0)</f>
        <v>1.5625</v>
      </c>
      <c r="D2928" s="33">
        <f>INDEX('ZCB Curve - Payment Dates'!$D$2:$D$246,MATCH(B2928,'ZCB Curve - Payment Dates'!$A$2:$A$246,0))</f>
        <v>0.83802423748211174</v>
      </c>
      <c r="E2928" s="32">
        <f t="shared" si="45"/>
        <v>1.3094128710657995</v>
      </c>
    </row>
    <row r="2929" spans="1:5" x14ac:dyDescent="0.25">
      <c r="A2929" s="17">
        <v>297</v>
      </c>
      <c r="B2929" s="31">
        <v>47894</v>
      </c>
      <c r="C2929" s="32">
        <f>INDEX('Input Data'!$B:$B,A2929)/2+IF(A2929&lt;&gt;A2930,100,0)</f>
        <v>1.5625</v>
      </c>
      <c r="D2929" s="33">
        <f>INDEX('ZCB Curve - Payment Dates'!$D$2:$D$246,MATCH(B2929,'ZCB Curve - Payment Dates'!$A$2:$A$246,0))</f>
        <v>0.8186305474741673</v>
      </c>
      <c r="E2929" s="32">
        <f t="shared" si="45"/>
        <v>1.2791102304283863</v>
      </c>
    </row>
    <row r="2930" spans="1:5" x14ac:dyDescent="0.25">
      <c r="A2930" s="17">
        <v>297</v>
      </c>
      <c r="B2930" s="31">
        <v>48075</v>
      </c>
      <c r="C2930" s="32">
        <f>INDEX('Input Data'!$B:$B,A2930)/2+IF(A2930&lt;&gt;A2931,100,0)</f>
        <v>1.5625</v>
      </c>
      <c r="D2930" s="33">
        <f>INDEX('ZCB Curve - Payment Dates'!$D$2:$D$246,MATCH(B2930,'ZCB Curve - Payment Dates'!$A$2:$A$246,0))</f>
        <v>0.7999252334775927</v>
      </c>
      <c r="E2930" s="32">
        <f t="shared" si="45"/>
        <v>1.2498831773087387</v>
      </c>
    </row>
    <row r="2931" spans="1:5" x14ac:dyDescent="0.25">
      <c r="A2931" s="17">
        <v>297</v>
      </c>
      <c r="B2931" s="31">
        <v>48259</v>
      </c>
      <c r="C2931" s="32">
        <f>INDEX('Input Data'!$B:$B,A2931)/2+IF(A2931&lt;&gt;A2932,100,0)</f>
        <v>1.5625</v>
      </c>
      <c r="D2931" s="33">
        <f>INDEX('ZCB Curve - Payment Dates'!$D$2:$D$246,MATCH(B2931,'ZCB Curve - Payment Dates'!$A$2:$A$246,0))</f>
        <v>0.78121887027612602</v>
      </c>
      <c r="E2931" s="32">
        <f t="shared" si="45"/>
        <v>1.2206544848064469</v>
      </c>
    </row>
    <row r="2932" spans="1:5" x14ac:dyDescent="0.25">
      <c r="A2932" s="17">
        <v>297</v>
      </c>
      <c r="B2932" s="31">
        <v>48441</v>
      </c>
      <c r="C2932" s="32">
        <f>INDEX('Input Data'!$B:$B,A2932)/2+IF(A2932&lt;&gt;A2933,100,0)</f>
        <v>1.5625</v>
      </c>
      <c r="D2932" s="33">
        <f>INDEX('ZCB Curve - Payment Dates'!$D$2:$D$246,MATCH(B2932,'ZCB Curve - Payment Dates'!$A$2:$A$246,0))</f>
        <v>0.76298123459017864</v>
      </c>
      <c r="E2932" s="32">
        <f t="shared" si="45"/>
        <v>1.192158179047154</v>
      </c>
    </row>
    <row r="2933" spans="1:5" x14ac:dyDescent="0.25">
      <c r="A2933" s="17">
        <v>297</v>
      </c>
      <c r="B2933" s="31">
        <v>48625</v>
      </c>
      <c r="C2933" s="32">
        <f>INDEX('Input Data'!$B:$B,A2933)/2+IF(A2933&lt;&gt;A2934,100,0)</f>
        <v>1.5625</v>
      </c>
      <c r="D2933" s="33">
        <f>INDEX('ZCB Curve - Payment Dates'!$D$2:$D$246,MATCH(B2933,'ZCB Curve - Payment Dates'!$A$2:$A$246,0))</f>
        <v>0.74476011611938586</v>
      </c>
      <c r="E2933" s="32">
        <f t="shared" si="45"/>
        <v>1.1636876814365404</v>
      </c>
    </row>
    <row r="2934" spans="1:5" x14ac:dyDescent="0.25">
      <c r="A2934" s="17">
        <v>297</v>
      </c>
      <c r="B2934" s="31">
        <v>48806</v>
      </c>
      <c r="C2934" s="32">
        <f>INDEX('Input Data'!$B:$B,A2934)/2+IF(A2934&lt;&gt;A2935,100,0)</f>
        <v>1.5625</v>
      </c>
      <c r="D2934" s="33">
        <f>INDEX('ZCB Curve - Payment Dates'!$D$2:$D$246,MATCH(B2934,'ZCB Curve - Payment Dates'!$A$2:$A$246,0))</f>
        <v>0.72701302496114584</v>
      </c>
      <c r="E2934" s="32">
        <f t="shared" si="45"/>
        <v>1.1359578515017903</v>
      </c>
    </row>
    <row r="2935" spans="1:5" x14ac:dyDescent="0.25">
      <c r="A2935" s="17">
        <v>297</v>
      </c>
      <c r="B2935" s="31">
        <v>48990</v>
      </c>
      <c r="C2935" s="32">
        <f>INDEX('Input Data'!$B:$B,A2935)/2+IF(A2935&lt;&gt;A2936,100,0)</f>
        <v>1.5625</v>
      </c>
      <c r="D2935" s="33">
        <f>INDEX('ZCB Curve - Payment Dates'!$D$2:$D$246,MATCH(B2935,'ZCB Curve - Payment Dates'!$A$2:$A$246,0))</f>
        <v>0.70912647031380449</v>
      </c>
      <c r="E2935" s="32">
        <f t="shared" si="45"/>
        <v>1.1080101098653194</v>
      </c>
    </row>
    <row r="2936" spans="1:5" x14ac:dyDescent="0.25">
      <c r="A2936" s="17">
        <v>297</v>
      </c>
      <c r="B2936" s="31">
        <v>49171</v>
      </c>
      <c r="C2936" s="32">
        <f>INDEX('Input Data'!$B:$B,A2936)/2+IF(A2936&lt;&gt;A2937,100,0)</f>
        <v>1.5625</v>
      </c>
      <c r="D2936" s="33">
        <f>INDEX('ZCB Curve - Payment Dates'!$D$2:$D$246,MATCH(B2936,'ZCB Curve - Payment Dates'!$A$2:$A$246,0))</f>
        <v>0.6916661505723215</v>
      </c>
      <c r="E2936" s="32">
        <f t="shared" si="45"/>
        <v>1.0807283602692523</v>
      </c>
    </row>
    <row r="2937" spans="1:5" x14ac:dyDescent="0.25">
      <c r="A2937" s="17">
        <v>297</v>
      </c>
      <c r="B2937" s="31">
        <v>49355</v>
      </c>
      <c r="C2937" s="32">
        <f>INDEX('Input Data'!$B:$B,A2937)/2+IF(A2937&lt;&gt;A2938,100,0)</f>
        <v>1.5625</v>
      </c>
      <c r="D2937" s="33">
        <f>INDEX('ZCB Curve - Payment Dates'!$D$2:$D$246,MATCH(B2937,'ZCB Curve - Payment Dates'!$A$2:$A$246,0))</f>
        <v>0.674047377898778</v>
      </c>
      <c r="E2937" s="32">
        <f t="shared" si="45"/>
        <v>1.0531990279668406</v>
      </c>
    </row>
    <row r="2938" spans="1:5" x14ac:dyDescent="0.25">
      <c r="A2938" s="17">
        <v>297</v>
      </c>
      <c r="B2938" s="31">
        <v>49536</v>
      </c>
      <c r="C2938" s="32">
        <f>INDEX('Input Data'!$B:$B,A2938)/2+IF(A2938&lt;&gt;A2939,100,0)</f>
        <v>1.5625</v>
      </c>
      <c r="D2938" s="33">
        <f>INDEX('ZCB Curve - Payment Dates'!$D$2:$D$246,MATCH(B2938,'ZCB Curve - Payment Dates'!$A$2:$A$246,0))</f>
        <v>0.65684432300638129</v>
      </c>
      <c r="E2938" s="32">
        <f t="shared" si="45"/>
        <v>1.0263192546974709</v>
      </c>
    </row>
    <row r="2939" spans="1:5" x14ac:dyDescent="0.25">
      <c r="A2939" s="17">
        <v>297</v>
      </c>
      <c r="B2939" s="31">
        <v>49720</v>
      </c>
      <c r="C2939" s="32">
        <f>INDEX('Input Data'!$B:$B,A2939)/2+IF(A2939&lt;&gt;A2940,100,0)</f>
        <v>1.5625</v>
      </c>
      <c r="D2939" s="33">
        <f>INDEX('ZCB Curve - Payment Dates'!$D$2:$D$246,MATCH(B2939,'ZCB Curve - Payment Dates'!$A$2:$A$246,0))</f>
        <v>0.63949604524993764</v>
      </c>
      <c r="E2939" s="32">
        <f t="shared" si="45"/>
        <v>0.9992125707030276</v>
      </c>
    </row>
    <row r="2940" spans="1:5" x14ac:dyDescent="0.25">
      <c r="A2940" s="17">
        <v>297</v>
      </c>
      <c r="B2940" s="31">
        <v>49902</v>
      </c>
      <c r="C2940" s="32">
        <f>INDEX('Input Data'!$B:$B,A2940)/2+IF(A2940&lt;&gt;A2941,100,0)</f>
        <v>1.5625</v>
      </c>
      <c r="D2940" s="33">
        <f>INDEX('ZCB Curve - Payment Dates'!$D$2:$D$246,MATCH(B2940,'ZCB Curve - Payment Dates'!$A$2:$A$246,0))</f>
        <v>0.62248862376822711</v>
      </c>
      <c r="E2940" s="32">
        <f t="shared" si="45"/>
        <v>0.97263847463785491</v>
      </c>
    </row>
    <row r="2941" spans="1:5" x14ac:dyDescent="0.25">
      <c r="A2941" s="17">
        <v>297</v>
      </c>
      <c r="B2941" s="31">
        <v>50086</v>
      </c>
      <c r="C2941" s="32">
        <f>INDEX('Input Data'!$B:$B,A2941)/2+IF(A2941&lt;&gt;A2942,100,0)</f>
        <v>1.5625</v>
      </c>
      <c r="D2941" s="33">
        <f>INDEX('ZCB Curve - Payment Dates'!$D$2:$D$246,MATCH(B2941,'ZCB Curve - Payment Dates'!$A$2:$A$246,0))</f>
        <v>0.60546490876014969</v>
      </c>
      <c r="E2941" s="32">
        <f t="shared" si="45"/>
        <v>0.94603891993773392</v>
      </c>
    </row>
    <row r="2942" spans="1:5" x14ac:dyDescent="0.25">
      <c r="A2942" s="17">
        <v>297</v>
      </c>
      <c r="B2942" s="31">
        <v>50267</v>
      </c>
      <c r="C2942" s="32">
        <f>INDEX('Input Data'!$B:$B,A2942)/2+IF(A2942&lt;&gt;A2943,100,0)</f>
        <v>1.5625</v>
      </c>
      <c r="D2942" s="33">
        <f>INDEX('ZCB Curve - Payment Dates'!$D$2:$D$246,MATCH(B2942,'ZCB Curve - Payment Dates'!$A$2:$A$246,0))</f>
        <v>0.58890683803346977</v>
      </c>
      <c r="E2942" s="32">
        <f t="shared" si="45"/>
        <v>0.92016693442729647</v>
      </c>
    </row>
    <row r="2943" spans="1:5" x14ac:dyDescent="0.25">
      <c r="A2943" s="17">
        <v>297</v>
      </c>
      <c r="B2943" s="31">
        <v>50451</v>
      </c>
      <c r="C2943" s="32">
        <f>INDEX('Input Data'!$B:$B,A2943)/2+IF(A2943&lt;&gt;A2944,100,0)</f>
        <v>1.5625</v>
      </c>
      <c r="D2943" s="33">
        <f>INDEX('ZCB Curve - Payment Dates'!$D$2:$D$246,MATCH(B2943,'ZCB Curve - Payment Dates'!$A$2:$A$246,0))</f>
        <v>0.57228983695479263</v>
      </c>
      <c r="E2943" s="32">
        <f t="shared" si="45"/>
        <v>0.89420287024186351</v>
      </c>
    </row>
    <row r="2944" spans="1:5" x14ac:dyDescent="0.25">
      <c r="A2944" s="17">
        <v>297</v>
      </c>
      <c r="B2944" s="31">
        <v>50632</v>
      </c>
      <c r="C2944" s="32">
        <f>INDEX('Input Data'!$B:$B,A2944)/2+IF(A2944&lt;&gt;A2945,100,0)</f>
        <v>1.5625</v>
      </c>
      <c r="D2944" s="33">
        <f>INDEX('ZCB Curve - Payment Dates'!$D$2:$D$246,MATCH(B2944,'ZCB Curve - Payment Dates'!$A$2:$A$246,0))</f>
        <v>0.55617795699202288</v>
      </c>
      <c r="E2944" s="32">
        <f t="shared" si="45"/>
        <v>0.86902805780003578</v>
      </c>
    </row>
    <row r="2945" spans="1:5" x14ac:dyDescent="0.25">
      <c r="A2945" s="17">
        <v>297</v>
      </c>
      <c r="B2945" s="31">
        <v>50816</v>
      </c>
      <c r="C2945" s="32">
        <f>INDEX('Input Data'!$B:$B,A2945)/2+IF(A2945&lt;&gt;A2946,100,0)</f>
        <v>1.5625</v>
      </c>
      <c r="D2945" s="33">
        <f>INDEX('ZCB Curve - Payment Dates'!$D$2:$D$246,MATCH(B2945,'ZCB Curve - Payment Dates'!$A$2:$A$246,0))</f>
        <v>0.54006240951211237</v>
      </c>
      <c r="E2945" s="32">
        <f t="shared" si="45"/>
        <v>0.84384751486267562</v>
      </c>
    </row>
    <row r="2946" spans="1:5" x14ac:dyDescent="0.25">
      <c r="A2946" s="17">
        <v>297</v>
      </c>
      <c r="B2946" s="31">
        <v>50997</v>
      </c>
      <c r="C2946" s="32">
        <f>INDEX('Input Data'!$B:$B,A2946)/2+IF(A2946&lt;&gt;A2947,100,0)</f>
        <v>1.5625</v>
      </c>
      <c r="D2946" s="33">
        <f>INDEX('ZCB Curve - Payment Dates'!$D$2:$D$246,MATCH(B2946,'ZCB Curve - Payment Dates'!$A$2:$A$246,0))</f>
        <v>0.52449040173194583</v>
      </c>
      <c r="E2946" s="32">
        <f t="shared" ref="E2946:E3009" si="46">C2946*D2946</f>
        <v>0.81951625270616535</v>
      </c>
    </row>
    <row r="2947" spans="1:5" x14ac:dyDescent="0.25">
      <c r="A2947" s="17">
        <v>297</v>
      </c>
      <c r="B2947" s="31">
        <v>51181</v>
      </c>
      <c r="C2947" s="32">
        <f>INDEX('Input Data'!$B:$B,A2947)/2+IF(A2947&lt;&gt;A2948,100,0)</f>
        <v>1.5625</v>
      </c>
      <c r="D2947" s="33">
        <f>INDEX('ZCB Curve - Payment Dates'!$D$2:$D$246,MATCH(B2947,'ZCB Curve - Payment Dates'!$A$2:$A$246,0))</f>
        <v>0.5089691698468306</v>
      </c>
      <c r="E2947" s="32">
        <f t="shared" si="46"/>
        <v>0.79526432788567281</v>
      </c>
    </row>
    <row r="2948" spans="1:5" x14ac:dyDescent="0.25">
      <c r="A2948" s="17">
        <v>297</v>
      </c>
      <c r="B2948" s="31">
        <v>51363</v>
      </c>
      <c r="C2948" s="32">
        <f>INDEX('Input Data'!$B:$B,A2948)/2+IF(A2948&lt;&gt;A2949,100,0)</f>
        <v>1.5625</v>
      </c>
      <c r="D2948" s="33">
        <f>INDEX('ZCB Curve - Payment Dates'!$D$2:$D$246,MATCH(B2948,'ZCB Curve - Payment Dates'!$A$2:$A$246,0))</f>
        <v>0.49394036022330806</v>
      </c>
      <c r="E2948" s="32">
        <f t="shared" si="46"/>
        <v>0.77178181284891889</v>
      </c>
    </row>
    <row r="2949" spans="1:5" x14ac:dyDescent="0.25">
      <c r="A2949" s="17">
        <v>297</v>
      </c>
      <c r="B2949" s="31">
        <v>51547</v>
      </c>
      <c r="C2949" s="32">
        <f>INDEX('Input Data'!$B:$B,A2949)/2+IF(A2949&lt;&gt;A2950,100,0)</f>
        <v>1.5625</v>
      </c>
      <c r="D2949" s="33">
        <f>INDEX('ZCB Curve - Payment Dates'!$D$2:$D$246,MATCH(B2949,'ZCB Curve - Payment Dates'!$A$2:$A$246,0))</f>
        <v>0.47909718957588998</v>
      </c>
      <c r="E2949" s="32">
        <f t="shared" si="46"/>
        <v>0.74858935871232812</v>
      </c>
    </row>
    <row r="2950" spans="1:5" x14ac:dyDescent="0.25">
      <c r="A2950" s="17">
        <v>297</v>
      </c>
      <c r="B2950" s="31">
        <v>51728</v>
      </c>
      <c r="C2950" s="32">
        <f>INDEX('Input Data'!$B:$B,A2950)/2+IF(A2950&lt;&gt;A2951,100,0)</f>
        <v>1.5625</v>
      </c>
      <c r="D2950" s="33">
        <f>INDEX('ZCB Curve - Payment Dates'!$D$2:$D$246,MATCH(B2950,'ZCB Curve - Payment Dates'!$A$2:$A$246,0))</f>
        <v>0.46485329459616059</v>
      </c>
      <c r="E2950" s="32">
        <f t="shared" si="46"/>
        <v>0.72633327280650095</v>
      </c>
    </row>
    <row r="2951" spans="1:5" x14ac:dyDescent="0.25">
      <c r="A2951" s="17">
        <v>297</v>
      </c>
      <c r="B2951" s="31">
        <v>51912</v>
      </c>
      <c r="C2951" s="32">
        <f>INDEX('Input Data'!$B:$B,A2951)/2+IF(A2951&lt;&gt;A2952,100,0)</f>
        <v>1.5625</v>
      </c>
      <c r="D2951" s="33">
        <f>INDEX('ZCB Curve - Payment Dates'!$D$2:$D$246,MATCH(B2951,'ZCB Curve - Payment Dates'!$A$2:$A$246,0))</f>
        <v>0.45075168915212815</v>
      </c>
      <c r="E2951" s="32">
        <f t="shared" si="46"/>
        <v>0.70429951430020021</v>
      </c>
    </row>
    <row r="2952" spans="1:5" x14ac:dyDescent="0.25">
      <c r="A2952" s="17">
        <v>297</v>
      </c>
      <c r="B2952" s="31">
        <v>52093</v>
      </c>
      <c r="C2952" s="32">
        <f>INDEX('Input Data'!$B:$B,A2952)/2+IF(A2952&lt;&gt;A2953,100,0)</f>
        <v>1.5625</v>
      </c>
      <c r="D2952" s="33">
        <f>INDEX('ZCB Curve - Payment Dates'!$D$2:$D$246,MATCH(B2952,'ZCB Curve - Payment Dates'!$A$2:$A$246,0))</f>
        <v>0.43726259018094221</v>
      </c>
      <c r="E2952" s="32">
        <f t="shared" si="46"/>
        <v>0.68322279715772216</v>
      </c>
    </row>
    <row r="2953" spans="1:5" x14ac:dyDescent="0.25">
      <c r="A2953" s="17">
        <v>297</v>
      </c>
      <c r="B2953" s="31">
        <v>52277</v>
      </c>
      <c r="C2953" s="32">
        <f>INDEX('Input Data'!$B:$B,A2953)/2+IF(A2953&lt;&gt;A2954,100,0)</f>
        <v>1.5625</v>
      </c>
      <c r="D2953" s="33">
        <f>INDEX('ZCB Curve - Payment Dates'!$D$2:$D$246,MATCH(B2953,'ZCB Curve - Payment Dates'!$A$2:$A$246,0))</f>
        <v>0.4239492285351204</v>
      </c>
      <c r="E2953" s="32">
        <f t="shared" si="46"/>
        <v>0.66242066958612567</v>
      </c>
    </row>
    <row r="2954" spans="1:5" x14ac:dyDescent="0.25">
      <c r="A2954" s="17">
        <v>297</v>
      </c>
      <c r="B2954" s="31">
        <v>52458</v>
      </c>
      <c r="C2954" s="32">
        <f>INDEX('Input Data'!$B:$B,A2954)/2+IF(A2954&lt;&gt;A2955,100,0)</f>
        <v>1.5625</v>
      </c>
      <c r="D2954" s="33">
        <f>INDEX('ZCB Curve - Payment Dates'!$D$2:$D$246,MATCH(B2954,'ZCB Curve - Payment Dates'!$A$2:$A$246,0))</f>
        <v>0.4112516019468152</v>
      </c>
      <c r="E2954" s="32">
        <f t="shared" si="46"/>
        <v>0.64258062804189875</v>
      </c>
    </row>
    <row r="2955" spans="1:5" x14ac:dyDescent="0.25">
      <c r="A2955" s="17">
        <v>297</v>
      </c>
      <c r="B2955" s="31">
        <v>52642</v>
      </c>
      <c r="C2955" s="32">
        <f>INDEX('Input Data'!$B:$B,A2955)/2+IF(A2955&lt;&gt;A2956,100,0)</f>
        <v>1.5625</v>
      </c>
      <c r="D2955" s="33">
        <f>INDEX('ZCB Curve - Payment Dates'!$D$2:$D$246,MATCH(B2955,'ZCB Curve - Payment Dates'!$A$2:$A$246,0))</f>
        <v>0.39875459879352759</v>
      </c>
      <c r="E2955" s="32">
        <f t="shared" si="46"/>
        <v>0.62305406061488688</v>
      </c>
    </row>
    <row r="2956" spans="1:5" x14ac:dyDescent="0.25">
      <c r="A2956" s="17">
        <v>297</v>
      </c>
      <c r="B2956" s="31">
        <v>52824</v>
      </c>
      <c r="C2956" s="32">
        <f>INDEX('Input Data'!$B:$B,A2956)/2+IF(A2956&lt;&gt;A2957,100,0)</f>
        <v>101.5625</v>
      </c>
      <c r="D2956" s="33">
        <f>INDEX('ZCB Curve - Payment Dates'!$D$2:$D$246,MATCH(B2956,'ZCB Curve - Payment Dates'!$A$2:$A$246,0))</f>
        <v>0.38680384560622083</v>
      </c>
      <c r="E2956" s="32">
        <f t="shared" si="46"/>
        <v>39.284765569381804</v>
      </c>
    </row>
    <row r="2957" spans="1:5" x14ac:dyDescent="0.25">
      <c r="A2957" s="17">
        <v>298</v>
      </c>
      <c r="B2957" s="31">
        <v>46433</v>
      </c>
      <c r="C2957" s="32">
        <f>INDEX('Input Data'!$B:$B,A2957)/2+IF(A2957&lt;&gt;A2958,100,0)</f>
        <v>2.0625</v>
      </c>
      <c r="D2957" s="33">
        <f>INDEX('ZCB Curve - Payment Dates'!$D$2:$D$246,MATCH(B2957,'ZCB Curve - Payment Dates'!$A$2:$A$246,0))</f>
        <v>0.98242671792446301</v>
      </c>
      <c r="E2957" s="32">
        <f t="shared" si="46"/>
        <v>2.0262551057192049</v>
      </c>
    </row>
    <row r="2958" spans="1:5" x14ac:dyDescent="0.25">
      <c r="A2958" s="17">
        <v>298</v>
      </c>
      <c r="B2958" s="31">
        <v>46614</v>
      </c>
      <c r="C2958" s="32">
        <f>INDEX('Input Data'!$B:$B,A2958)/2+IF(A2958&lt;&gt;A2959,100,0)</f>
        <v>2.0625</v>
      </c>
      <c r="D2958" s="33">
        <f>INDEX('ZCB Curve - Payment Dates'!$D$2:$D$246,MATCH(B2958,'ZCB Curve - Payment Dates'!$A$2:$A$246,0))</f>
        <v>0.96187948164765535</v>
      </c>
      <c r="E2958" s="32">
        <f t="shared" si="46"/>
        <v>1.9838764308982892</v>
      </c>
    </row>
    <row r="2959" spans="1:5" x14ac:dyDescent="0.25">
      <c r="A2959" s="17">
        <v>298</v>
      </c>
      <c r="B2959" s="31">
        <v>46798</v>
      </c>
      <c r="C2959" s="32">
        <f>INDEX('Input Data'!$B:$B,A2959)/2+IF(A2959&lt;&gt;A2960,100,0)</f>
        <v>2.0625</v>
      </c>
      <c r="D2959" s="33">
        <f>INDEX('ZCB Curve - Payment Dates'!$D$2:$D$246,MATCH(B2959,'ZCB Curve - Payment Dates'!$A$2:$A$246,0))</f>
        <v>0.94049096132648802</v>
      </c>
      <c r="E2959" s="32">
        <f t="shared" si="46"/>
        <v>1.9397626077358816</v>
      </c>
    </row>
    <row r="2960" spans="1:5" x14ac:dyDescent="0.25">
      <c r="A2960" s="17">
        <v>298</v>
      </c>
      <c r="B2960" s="31">
        <v>46980</v>
      </c>
      <c r="C2960" s="32">
        <f>INDEX('Input Data'!$B:$B,A2960)/2+IF(A2960&lt;&gt;A2961,100,0)</f>
        <v>2.0625</v>
      </c>
      <c r="D2960" s="33">
        <f>INDEX('ZCB Curve - Payment Dates'!$D$2:$D$246,MATCH(B2960,'ZCB Curve - Payment Dates'!$A$2:$A$246,0))</f>
        <v>0.91931844130238327</v>
      </c>
      <c r="E2960" s="32">
        <f t="shared" si="46"/>
        <v>1.8960942851861655</v>
      </c>
    </row>
    <row r="2961" spans="1:5" x14ac:dyDescent="0.25">
      <c r="A2961" s="17">
        <v>298</v>
      </c>
      <c r="B2961" s="31">
        <v>47164</v>
      </c>
      <c r="C2961" s="32">
        <f>INDEX('Input Data'!$B:$B,A2961)/2+IF(A2961&lt;&gt;A2962,100,0)</f>
        <v>2.0625</v>
      </c>
      <c r="D2961" s="33">
        <f>INDEX('ZCB Curve - Payment Dates'!$D$2:$D$246,MATCH(B2961,'ZCB Curve - Payment Dates'!$A$2:$A$246,0))</f>
        <v>0.89817430058086534</v>
      </c>
      <c r="E2961" s="32">
        <f t="shared" si="46"/>
        <v>1.8524844949480348</v>
      </c>
    </row>
    <row r="2962" spans="1:5" x14ac:dyDescent="0.25">
      <c r="A2962" s="17">
        <v>298</v>
      </c>
      <c r="B2962" s="31">
        <v>47345</v>
      </c>
      <c r="C2962" s="32">
        <f>INDEX('Input Data'!$B:$B,A2962)/2+IF(A2962&lt;&gt;A2963,100,0)</f>
        <v>2.0625</v>
      </c>
      <c r="D2962" s="33">
        <f>INDEX('ZCB Curve - Payment Dates'!$D$2:$D$246,MATCH(B2962,'ZCB Curve - Payment Dates'!$A$2:$A$246,0))</f>
        <v>0.87778421628860481</v>
      </c>
      <c r="E2962" s="32">
        <f t="shared" si="46"/>
        <v>1.8104299460952473</v>
      </c>
    </row>
    <row r="2963" spans="1:5" x14ac:dyDescent="0.25">
      <c r="A2963" s="17">
        <v>298</v>
      </c>
      <c r="B2963" s="31">
        <v>47529</v>
      </c>
      <c r="C2963" s="32">
        <f>INDEX('Input Data'!$B:$B,A2963)/2+IF(A2963&lt;&gt;A2964,100,0)</f>
        <v>2.0625</v>
      </c>
      <c r="D2963" s="33">
        <f>INDEX('ZCB Curve - Payment Dates'!$D$2:$D$246,MATCH(B2963,'ZCB Curve - Payment Dates'!$A$2:$A$246,0))</f>
        <v>0.85751015570959666</v>
      </c>
      <c r="E2963" s="32">
        <f t="shared" si="46"/>
        <v>1.7686146961510432</v>
      </c>
    </row>
    <row r="2964" spans="1:5" x14ac:dyDescent="0.25">
      <c r="A2964" s="17">
        <v>298</v>
      </c>
      <c r="B2964" s="31">
        <v>47710</v>
      </c>
      <c r="C2964" s="32">
        <f>INDEX('Input Data'!$B:$B,A2964)/2+IF(A2964&lt;&gt;A2965,100,0)</f>
        <v>2.0625</v>
      </c>
      <c r="D2964" s="33">
        <f>INDEX('ZCB Curve - Payment Dates'!$D$2:$D$246,MATCH(B2964,'ZCB Curve - Payment Dates'!$A$2:$A$246,0))</f>
        <v>0.83802423748211174</v>
      </c>
      <c r="E2964" s="32">
        <f t="shared" si="46"/>
        <v>1.7284249898068555</v>
      </c>
    </row>
    <row r="2965" spans="1:5" x14ac:dyDescent="0.25">
      <c r="A2965" s="17">
        <v>298</v>
      </c>
      <c r="B2965" s="31">
        <v>47894</v>
      </c>
      <c r="C2965" s="32">
        <f>INDEX('Input Data'!$B:$B,A2965)/2+IF(A2965&lt;&gt;A2966,100,0)</f>
        <v>2.0625</v>
      </c>
      <c r="D2965" s="33">
        <f>INDEX('ZCB Curve - Payment Dates'!$D$2:$D$246,MATCH(B2965,'ZCB Curve - Payment Dates'!$A$2:$A$246,0))</f>
        <v>0.8186305474741673</v>
      </c>
      <c r="E2965" s="32">
        <f t="shared" si="46"/>
        <v>1.6884255041654701</v>
      </c>
    </row>
    <row r="2966" spans="1:5" x14ac:dyDescent="0.25">
      <c r="A2966" s="17">
        <v>298</v>
      </c>
      <c r="B2966" s="31">
        <v>48075</v>
      </c>
      <c r="C2966" s="32">
        <f>INDEX('Input Data'!$B:$B,A2966)/2+IF(A2966&lt;&gt;A2967,100,0)</f>
        <v>2.0625</v>
      </c>
      <c r="D2966" s="33">
        <f>INDEX('ZCB Curve - Payment Dates'!$D$2:$D$246,MATCH(B2966,'ZCB Curve - Payment Dates'!$A$2:$A$246,0))</f>
        <v>0.7999252334775927</v>
      </c>
      <c r="E2966" s="32">
        <f t="shared" si="46"/>
        <v>1.6498457940475348</v>
      </c>
    </row>
    <row r="2967" spans="1:5" x14ac:dyDescent="0.25">
      <c r="A2967" s="17">
        <v>298</v>
      </c>
      <c r="B2967" s="31">
        <v>48259</v>
      </c>
      <c r="C2967" s="32">
        <f>INDEX('Input Data'!$B:$B,A2967)/2+IF(A2967&lt;&gt;A2968,100,0)</f>
        <v>2.0625</v>
      </c>
      <c r="D2967" s="33">
        <f>INDEX('ZCB Curve - Payment Dates'!$D$2:$D$246,MATCH(B2967,'ZCB Curve - Payment Dates'!$A$2:$A$246,0))</f>
        <v>0.78121887027612602</v>
      </c>
      <c r="E2967" s="32">
        <f t="shared" si="46"/>
        <v>1.61126391994451</v>
      </c>
    </row>
    <row r="2968" spans="1:5" x14ac:dyDescent="0.25">
      <c r="A2968" s="17">
        <v>298</v>
      </c>
      <c r="B2968" s="31">
        <v>48441</v>
      </c>
      <c r="C2968" s="32">
        <f>INDEX('Input Data'!$B:$B,A2968)/2+IF(A2968&lt;&gt;A2969,100,0)</f>
        <v>2.0625</v>
      </c>
      <c r="D2968" s="33">
        <f>INDEX('ZCB Curve - Payment Dates'!$D$2:$D$246,MATCH(B2968,'ZCB Curve - Payment Dates'!$A$2:$A$246,0))</f>
        <v>0.76298123459017864</v>
      </c>
      <c r="E2968" s="32">
        <f t="shared" si="46"/>
        <v>1.5736487963422434</v>
      </c>
    </row>
    <row r="2969" spans="1:5" x14ac:dyDescent="0.25">
      <c r="A2969" s="17">
        <v>298</v>
      </c>
      <c r="B2969" s="31">
        <v>48625</v>
      </c>
      <c r="C2969" s="32">
        <f>INDEX('Input Data'!$B:$B,A2969)/2+IF(A2969&lt;&gt;A2970,100,0)</f>
        <v>2.0625</v>
      </c>
      <c r="D2969" s="33">
        <f>INDEX('ZCB Curve - Payment Dates'!$D$2:$D$246,MATCH(B2969,'ZCB Curve - Payment Dates'!$A$2:$A$246,0))</f>
        <v>0.74476011611938586</v>
      </c>
      <c r="E2969" s="32">
        <f t="shared" si="46"/>
        <v>1.5360677394962334</v>
      </c>
    </row>
    <row r="2970" spans="1:5" x14ac:dyDescent="0.25">
      <c r="A2970" s="17">
        <v>298</v>
      </c>
      <c r="B2970" s="31">
        <v>48806</v>
      </c>
      <c r="C2970" s="32">
        <f>INDEX('Input Data'!$B:$B,A2970)/2+IF(A2970&lt;&gt;A2971,100,0)</f>
        <v>2.0625</v>
      </c>
      <c r="D2970" s="33">
        <f>INDEX('ZCB Curve - Payment Dates'!$D$2:$D$246,MATCH(B2970,'ZCB Curve - Payment Dates'!$A$2:$A$246,0))</f>
        <v>0.72701302496114584</v>
      </c>
      <c r="E2970" s="32">
        <f t="shared" si="46"/>
        <v>1.4994643639823633</v>
      </c>
    </row>
    <row r="2971" spans="1:5" x14ac:dyDescent="0.25">
      <c r="A2971" s="17">
        <v>298</v>
      </c>
      <c r="B2971" s="31">
        <v>48990</v>
      </c>
      <c r="C2971" s="32">
        <f>INDEX('Input Data'!$B:$B,A2971)/2+IF(A2971&lt;&gt;A2972,100,0)</f>
        <v>2.0625</v>
      </c>
      <c r="D2971" s="33">
        <f>INDEX('ZCB Curve - Payment Dates'!$D$2:$D$246,MATCH(B2971,'ZCB Curve - Payment Dates'!$A$2:$A$246,0))</f>
        <v>0.70912647031380449</v>
      </c>
      <c r="E2971" s="32">
        <f t="shared" si="46"/>
        <v>1.4625733450222218</v>
      </c>
    </row>
    <row r="2972" spans="1:5" x14ac:dyDescent="0.25">
      <c r="A2972" s="17">
        <v>298</v>
      </c>
      <c r="B2972" s="31">
        <v>49171</v>
      </c>
      <c r="C2972" s="32">
        <f>INDEX('Input Data'!$B:$B,A2972)/2+IF(A2972&lt;&gt;A2973,100,0)</f>
        <v>2.0625</v>
      </c>
      <c r="D2972" s="33">
        <f>INDEX('ZCB Curve - Payment Dates'!$D$2:$D$246,MATCH(B2972,'ZCB Curve - Payment Dates'!$A$2:$A$246,0))</f>
        <v>0.6916661505723215</v>
      </c>
      <c r="E2972" s="32">
        <f t="shared" si="46"/>
        <v>1.426561435555413</v>
      </c>
    </row>
    <row r="2973" spans="1:5" x14ac:dyDescent="0.25">
      <c r="A2973" s="17">
        <v>298</v>
      </c>
      <c r="B2973" s="31">
        <v>49355</v>
      </c>
      <c r="C2973" s="32">
        <f>INDEX('Input Data'!$B:$B,A2973)/2+IF(A2973&lt;&gt;A2974,100,0)</f>
        <v>2.0625</v>
      </c>
      <c r="D2973" s="33">
        <f>INDEX('ZCB Curve - Payment Dates'!$D$2:$D$246,MATCH(B2973,'ZCB Curve - Payment Dates'!$A$2:$A$246,0))</f>
        <v>0.674047377898778</v>
      </c>
      <c r="E2973" s="32">
        <f t="shared" si="46"/>
        <v>1.3902227169162296</v>
      </c>
    </row>
    <row r="2974" spans="1:5" x14ac:dyDescent="0.25">
      <c r="A2974" s="17">
        <v>298</v>
      </c>
      <c r="B2974" s="31">
        <v>49536</v>
      </c>
      <c r="C2974" s="32">
        <f>INDEX('Input Data'!$B:$B,A2974)/2+IF(A2974&lt;&gt;A2975,100,0)</f>
        <v>2.0625</v>
      </c>
      <c r="D2974" s="33">
        <f>INDEX('ZCB Curve - Payment Dates'!$D$2:$D$246,MATCH(B2974,'ZCB Curve - Payment Dates'!$A$2:$A$246,0))</f>
        <v>0.65684432300638129</v>
      </c>
      <c r="E2974" s="32">
        <f t="shared" si="46"/>
        <v>1.3547414162006615</v>
      </c>
    </row>
    <row r="2975" spans="1:5" x14ac:dyDescent="0.25">
      <c r="A2975" s="17">
        <v>298</v>
      </c>
      <c r="B2975" s="31">
        <v>49720</v>
      </c>
      <c r="C2975" s="32">
        <f>INDEX('Input Data'!$B:$B,A2975)/2+IF(A2975&lt;&gt;A2976,100,0)</f>
        <v>2.0625</v>
      </c>
      <c r="D2975" s="33">
        <f>INDEX('ZCB Curve - Payment Dates'!$D$2:$D$246,MATCH(B2975,'ZCB Curve - Payment Dates'!$A$2:$A$246,0))</f>
        <v>0.63949604524993764</v>
      </c>
      <c r="E2975" s="32">
        <f t="shared" si="46"/>
        <v>1.3189605933279964</v>
      </c>
    </row>
    <row r="2976" spans="1:5" x14ac:dyDescent="0.25">
      <c r="A2976" s="17">
        <v>298</v>
      </c>
      <c r="B2976" s="31">
        <v>49902</v>
      </c>
      <c r="C2976" s="32">
        <f>INDEX('Input Data'!$B:$B,A2976)/2+IF(A2976&lt;&gt;A2977,100,0)</f>
        <v>2.0625</v>
      </c>
      <c r="D2976" s="33">
        <f>INDEX('ZCB Curve - Payment Dates'!$D$2:$D$246,MATCH(B2976,'ZCB Curve - Payment Dates'!$A$2:$A$246,0))</f>
        <v>0.62248862376822711</v>
      </c>
      <c r="E2976" s="32">
        <f t="shared" si="46"/>
        <v>1.2838827865219684</v>
      </c>
    </row>
    <row r="2977" spans="1:5" x14ac:dyDescent="0.25">
      <c r="A2977" s="17">
        <v>298</v>
      </c>
      <c r="B2977" s="31">
        <v>50086</v>
      </c>
      <c r="C2977" s="32">
        <f>INDEX('Input Data'!$B:$B,A2977)/2+IF(A2977&lt;&gt;A2978,100,0)</f>
        <v>2.0625</v>
      </c>
      <c r="D2977" s="33">
        <f>INDEX('ZCB Curve - Payment Dates'!$D$2:$D$246,MATCH(B2977,'ZCB Curve - Payment Dates'!$A$2:$A$246,0))</f>
        <v>0.60546490876014969</v>
      </c>
      <c r="E2977" s="32">
        <f t="shared" si="46"/>
        <v>1.2487713743178088</v>
      </c>
    </row>
    <row r="2978" spans="1:5" x14ac:dyDescent="0.25">
      <c r="A2978" s="17">
        <v>298</v>
      </c>
      <c r="B2978" s="31">
        <v>50267</v>
      </c>
      <c r="C2978" s="32">
        <f>INDEX('Input Data'!$B:$B,A2978)/2+IF(A2978&lt;&gt;A2979,100,0)</f>
        <v>2.0625</v>
      </c>
      <c r="D2978" s="33">
        <f>INDEX('ZCB Curve - Payment Dates'!$D$2:$D$246,MATCH(B2978,'ZCB Curve - Payment Dates'!$A$2:$A$246,0))</f>
        <v>0.58890683803346977</v>
      </c>
      <c r="E2978" s="32">
        <f t="shared" si="46"/>
        <v>1.2146203534440314</v>
      </c>
    </row>
    <row r="2979" spans="1:5" x14ac:dyDescent="0.25">
      <c r="A2979" s="17">
        <v>298</v>
      </c>
      <c r="B2979" s="31">
        <v>50451</v>
      </c>
      <c r="C2979" s="32">
        <f>INDEX('Input Data'!$B:$B,A2979)/2+IF(A2979&lt;&gt;A2980,100,0)</f>
        <v>2.0625</v>
      </c>
      <c r="D2979" s="33">
        <f>INDEX('ZCB Curve - Payment Dates'!$D$2:$D$246,MATCH(B2979,'ZCB Curve - Payment Dates'!$A$2:$A$246,0))</f>
        <v>0.57228983695479263</v>
      </c>
      <c r="E2979" s="32">
        <f t="shared" si="46"/>
        <v>1.1803477887192597</v>
      </c>
    </row>
    <row r="2980" spans="1:5" x14ac:dyDescent="0.25">
      <c r="A2980" s="17">
        <v>298</v>
      </c>
      <c r="B2980" s="31">
        <v>50632</v>
      </c>
      <c r="C2980" s="32">
        <f>INDEX('Input Data'!$B:$B,A2980)/2+IF(A2980&lt;&gt;A2981,100,0)</f>
        <v>2.0625</v>
      </c>
      <c r="D2980" s="33">
        <f>INDEX('ZCB Curve - Payment Dates'!$D$2:$D$246,MATCH(B2980,'ZCB Curve - Payment Dates'!$A$2:$A$246,0))</f>
        <v>0.55617795699202288</v>
      </c>
      <c r="E2980" s="32">
        <f t="shared" si="46"/>
        <v>1.1471170362960472</v>
      </c>
    </row>
    <row r="2981" spans="1:5" x14ac:dyDescent="0.25">
      <c r="A2981" s="17">
        <v>298</v>
      </c>
      <c r="B2981" s="31">
        <v>50816</v>
      </c>
      <c r="C2981" s="32">
        <f>INDEX('Input Data'!$B:$B,A2981)/2+IF(A2981&lt;&gt;A2982,100,0)</f>
        <v>2.0625</v>
      </c>
      <c r="D2981" s="33">
        <f>INDEX('ZCB Curve - Payment Dates'!$D$2:$D$246,MATCH(B2981,'ZCB Curve - Payment Dates'!$A$2:$A$246,0))</f>
        <v>0.54006240951211237</v>
      </c>
      <c r="E2981" s="32">
        <f t="shared" si="46"/>
        <v>1.1138787196187319</v>
      </c>
    </row>
    <row r="2982" spans="1:5" x14ac:dyDescent="0.25">
      <c r="A2982" s="17">
        <v>298</v>
      </c>
      <c r="B2982" s="31">
        <v>50997</v>
      </c>
      <c r="C2982" s="32">
        <f>INDEX('Input Data'!$B:$B,A2982)/2+IF(A2982&lt;&gt;A2983,100,0)</f>
        <v>2.0625</v>
      </c>
      <c r="D2982" s="33">
        <f>INDEX('ZCB Curve - Payment Dates'!$D$2:$D$246,MATCH(B2982,'ZCB Curve - Payment Dates'!$A$2:$A$246,0))</f>
        <v>0.52449040173194583</v>
      </c>
      <c r="E2982" s="32">
        <f t="shared" si="46"/>
        <v>1.0817614535721383</v>
      </c>
    </row>
    <row r="2983" spans="1:5" x14ac:dyDescent="0.25">
      <c r="A2983" s="17">
        <v>298</v>
      </c>
      <c r="B2983" s="31">
        <v>51181</v>
      </c>
      <c r="C2983" s="32">
        <f>INDEX('Input Data'!$B:$B,A2983)/2+IF(A2983&lt;&gt;A2984,100,0)</f>
        <v>2.0625</v>
      </c>
      <c r="D2983" s="33">
        <f>INDEX('ZCB Curve - Payment Dates'!$D$2:$D$246,MATCH(B2983,'ZCB Curve - Payment Dates'!$A$2:$A$246,0))</f>
        <v>0.5089691698468306</v>
      </c>
      <c r="E2983" s="32">
        <f t="shared" si="46"/>
        <v>1.0497489128090882</v>
      </c>
    </row>
    <row r="2984" spans="1:5" x14ac:dyDescent="0.25">
      <c r="A2984" s="17">
        <v>298</v>
      </c>
      <c r="B2984" s="31">
        <v>51363</v>
      </c>
      <c r="C2984" s="32">
        <f>INDEX('Input Data'!$B:$B,A2984)/2+IF(A2984&lt;&gt;A2985,100,0)</f>
        <v>2.0625</v>
      </c>
      <c r="D2984" s="33">
        <f>INDEX('ZCB Curve - Payment Dates'!$D$2:$D$246,MATCH(B2984,'ZCB Curve - Payment Dates'!$A$2:$A$246,0))</f>
        <v>0.49394036022330806</v>
      </c>
      <c r="E2984" s="32">
        <f t="shared" si="46"/>
        <v>1.0187519929605728</v>
      </c>
    </row>
    <row r="2985" spans="1:5" x14ac:dyDescent="0.25">
      <c r="A2985" s="17">
        <v>298</v>
      </c>
      <c r="B2985" s="31">
        <v>51547</v>
      </c>
      <c r="C2985" s="32">
        <f>INDEX('Input Data'!$B:$B,A2985)/2+IF(A2985&lt;&gt;A2986,100,0)</f>
        <v>2.0625</v>
      </c>
      <c r="D2985" s="33">
        <f>INDEX('ZCB Curve - Payment Dates'!$D$2:$D$246,MATCH(B2985,'ZCB Curve - Payment Dates'!$A$2:$A$246,0))</f>
        <v>0.47909718957588998</v>
      </c>
      <c r="E2985" s="32">
        <f t="shared" si="46"/>
        <v>0.98813795350027311</v>
      </c>
    </row>
    <row r="2986" spans="1:5" x14ac:dyDescent="0.25">
      <c r="A2986" s="17">
        <v>298</v>
      </c>
      <c r="B2986" s="31">
        <v>51728</v>
      </c>
      <c r="C2986" s="32">
        <f>INDEX('Input Data'!$B:$B,A2986)/2+IF(A2986&lt;&gt;A2987,100,0)</f>
        <v>2.0625</v>
      </c>
      <c r="D2986" s="33">
        <f>INDEX('ZCB Curve - Payment Dates'!$D$2:$D$246,MATCH(B2986,'ZCB Curve - Payment Dates'!$A$2:$A$246,0))</f>
        <v>0.46485329459616059</v>
      </c>
      <c r="E2986" s="32">
        <f t="shared" si="46"/>
        <v>0.95875992010458122</v>
      </c>
    </row>
    <row r="2987" spans="1:5" x14ac:dyDescent="0.25">
      <c r="A2987" s="17">
        <v>298</v>
      </c>
      <c r="B2987" s="31">
        <v>51912</v>
      </c>
      <c r="C2987" s="32">
        <f>INDEX('Input Data'!$B:$B,A2987)/2+IF(A2987&lt;&gt;A2988,100,0)</f>
        <v>2.0625</v>
      </c>
      <c r="D2987" s="33">
        <f>INDEX('ZCB Curve - Payment Dates'!$D$2:$D$246,MATCH(B2987,'ZCB Curve - Payment Dates'!$A$2:$A$246,0))</f>
        <v>0.45075168915212815</v>
      </c>
      <c r="E2987" s="32">
        <f t="shared" si="46"/>
        <v>0.92967535887626429</v>
      </c>
    </row>
    <row r="2988" spans="1:5" x14ac:dyDescent="0.25">
      <c r="A2988" s="17">
        <v>298</v>
      </c>
      <c r="B2988" s="31">
        <v>52093</v>
      </c>
      <c r="C2988" s="32">
        <f>INDEX('Input Data'!$B:$B,A2988)/2+IF(A2988&lt;&gt;A2989,100,0)</f>
        <v>2.0625</v>
      </c>
      <c r="D2988" s="33">
        <f>INDEX('ZCB Curve - Payment Dates'!$D$2:$D$246,MATCH(B2988,'ZCB Curve - Payment Dates'!$A$2:$A$246,0))</f>
        <v>0.43726259018094221</v>
      </c>
      <c r="E2988" s="32">
        <f t="shared" si="46"/>
        <v>0.90185409224819335</v>
      </c>
    </row>
    <row r="2989" spans="1:5" x14ac:dyDescent="0.25">
      <c r="A2989" s="17">
        <v>298</v>
      </c>
      <c r="B2989" s="31">
        <v>52277</v>
      </c>
      <c r="C2989" s="32">
        <f>INDEX('Input Data'!$B:$B,A2989)/2+IF(A2989&lt;&gt;A2990,100,0)</f>
        <v>2.0625</v>
      </c>
      <c r="D2989" s="33">
        <f>INDEX('ZCB Curve - Payment Dates'!$D$2:$D$246,MATCH(B2989,'ZCB Curve - Payment Dates'!$A$2:$A$246,0))</f>
        <v>0.4239492285351204</v>
      </c>
      <c r="E2989" s="32">
        <f t="shared" si="46"/>
        <v>0.87439528385368581</v>
      </c>
    </row>
    <row r="2990" spans="1:5" x14ac:dyDescent="0.25">
      <c r="A2990" s="17">
        <v>298</v>
      </c>
      <c r="B2990" s="31">
        <v>52458</v>
      </c>
      <c r="C2990" s="32">
        <f>INDEX('Input Data'!$B:$B,A2990)/2+IF(A2990&lt;&gt;A2991,100,0)</f>
        <v>2.0625</v>
      </c>
      <c r="D2990" s="33">
        <f>INDEX('ZCB Curve - Payment Dates'!$D$2:$D$246,MATCH(B2990,'ZCB Curve - Payment Dates'!$A$2:$A$246,0))</f>
        <v>0.4112516019468152</v>
      </c>
      <c r="E2990" s="32">
        <f t="shared" si="46"/>
        <v>0.84820642901530641</v>
      </c>
    </row>
    <row r="2991" spans="1:5" x14ac:dyDescent="0.25">
      <c r="A2991" s="17">
        <v>298</v>
      </c>
      <c r="B2991" s="31">
        <v>52642</v>
      </c>
      <c r="C2991" s="32">
        <f>INDEX('Input Data'!$B:$B,A2991)/2+IF(A2991&lt;&gt;A2992,100,0)</f>
        <v>2.0625</v>
      </c>
      <c r="D2991" s="33">
        <f>INDEX('ZCB Curve - Payment Dates'!$D$2:$D$246,MATCH(B2991,'ZCB Curve - Payment Dates'!$A$2:$A$246,0))</f>
        <v>0.39875459879352759</v>
      </c>
      <c r="E2991" s="32">
        <f t="shared" si="46"/>
        <v>0.82243136001165063</v>
      </c>
    </row>
    <row r="2992" spans="1:5" x14ac:dyDescent="0.25">
      <c r="A2992" s="17">
        <v>298</v>
      </c>
      <c r="B2992" s="31">
        <v>52824</v>
      </c>
      <c r="C2992" s="32">
        <f>INDEX('Input Data'!$B:$B,A2992)/2+IF(A2992&lt;&gt;A2993,100,0)</f>
        <v>102.0625</v>
      </c>
      <c r="D2992" s="33">
        <f>INDEX('ZCB Curve - Payment Dates'!$D$2:$D$246,MATCH(B2992,'ZCB Curve - Payment Dates'!$A$2:$A$246,0))</f>
        <v>0.38680384560622083</v>
      </c>
      <c r="E2992" s="32">
        <f t="shared" si="46"/>
        <v>39.478167492184916</v>
      </c>
    </row>
    <row r="2993" spans="1:5" x14ac:dyDescent="0.25">
      <c r="A2993" s="17">
        <v>299</v>
      </c>
      <c r="B2993" s="31">
        <v>46341</v>
      </c>
      <c r="C2993" s="32">
        <f>INDEX('Input Data'!$B:$B,A2993)/2+IF(A2993&lt;&gt;A2994,100,0)</f>
        <v>1.5</v>
      </c>
      <c r="D2993" s="33">
        <f>INDEX('ZCB Curve - Payment Dates'!$D$2:$D$246,MATCH(B2993,'ZCB Curve - Payment Dates'!$A$2:$A$246,0))</f>
        <v>0.99245367292309439</v>
      </c>
      <c r="E2993" s="32">
        <f t="shared" si="46"/>
        <v>1.4886805093846416</v>
      </c>
    </row>
    <row r="2994" spans="1:5" x14ac:dyDescent="0.25">
      <c r="A2994" s="17">
        <v>299</v>
      </c>
      <c r="B2994" s="31">
        <v>46522</v>
      </c>
      <c r="C2994" s="32">
        <f>INDEX('Input Data'!$B:$B,A2994)/2+IF(A2994&lt;&gt;A2995,100,0)</f>
        <v>1.5</v>
      </c>
      <c r="D2994" s="33">
        <f>INDEX('ZCB Curve - Payment Dates'!$D$2:$D$246,MATCH(B2994,'ZCB Curve - Payment Dates'!$A$2:$A$246,0))</f>
        <v>0.97242179559611874</v>
      </c>
      <c r="E2994" s="32">
        <f t="shared" si="46"/>
        <v>1.4586326933941782</v>
      </c>
    </row>
    <row r="2995" spans="1:5" x14ac:dyDescent="0.25">
      <c r="A2995" s="17">
        <v>299</v>
      </c>
      <c r="B2995" s="31">
        <v>46706</v>
      </c>
      <c r="C2995" s="32">
        <f>INDEX('Input Data'!$B:$B,A2995)/2+IF(A2995&lt;&gt;A2996,100,0)</f>
        <v>1.5</v>
      </c>
      <c r="D2995" s="33">
        <f>INDEX('ZCB Curve - Payment Dates'!$D$2:$D$246,MATCH(B2995,'ZCB Curve - Payment Dates'!$A$2:$A$246,0))</f>
        <v>0.95121018311627348</v>
      </c>
      <c r="E2995" s="32">
        <f t="shared" si="46"/>
        <v>1.4268152746744103</v>
      </c>
    </row>
    <row r="2996" spans="1:5" x14ac:dyDescent="0.25">
      <c r="A2996" s="17">
        <v>299</v>
      </c>
      <c r="B2996" s="31">
        <v>46888</v>
      </c>
      <c r="C2996" s="32">
        <f>INDEX('Input Data'!$B:$B,A2996)/2+IF(A2996&lt;&gt;A2997,100,0)</f>
        <v>1.5</v>
      </c>
      <c r="D2996" s="33">
        <f>INDEX('ZCB Curve - Payment Dates'!$D$2:$D$246,MATCH(B2996,'ZCB Curve - Payment Dates'!$A$2:$A$246,0))</f>
        <v>0.93000025435083566</v>
      </c>
      <c r="E2996" s="32">
        <f t="shared" si="46"/>
        <v>1.3950003815262535</v>
      </c>
    </row>
    <row r="2997" spans="1:5" x14ac:dyDescent="0.25">
      <c r="A2997" s="17">
        <v>299</v>
      </c>
      <c r="B2997" s="31">
        <v>47072</v>
      </c>
      <c r="C2997" s="32">
        <f>INDEX('Input Data'!$B:$B,A2997)/2+IF(A2997&lt;&gt;A2998,100,0)</f>
        <v>1.5</v>
      </c>
      <c r="D2997" s="33">
        <f>INDEX('ZCB Curve - Payment Dates'!$D$2:$D$246,MATCH(B2997,'ZCB Curve - Payment Dates'!$A$2:$A$246,0))</f>
        <v>0.90870125167038918</v>
      </c>
      <c r="E2997" s="32">
        <f t="shared" si="46"/>
        <v>1.3630518775055838</v>
      </c>
    </row>
    <row r="2998" spans="1:5" x14ac:dyDescent="0.25">
      <c r="A2998" s="17">
        <v>299</v>
      </c>
      <c r="B2998" s="31">
        <v>47253</v>
      </c>
      <c r="C2998" s="32">
        <f>INDEX('Input Data'!$B:$B,A2998)/2+IF(A2998&lt;&gt;A2999,100,0)</f>
        <v>1.5</v>
      </c>
      <c r="D2998" s="33">
        <f>INDEX('ZCB Curve - Payment Dates'!$D$2:$D$246,MATCH(B2998,'ZCB Curve - Payment Dates'!$A$2:$A$246,0))</f>
        <v>0.88809325063638844</v>
      </c>
      <c r="E2998" s="32">
        <f t="shared" si="46"/>
        <v>1.3321398759545826</v>
      </c>
    </row>
    <row r="2999" spans="1:5" x14ac:dyDescent="0.25">
      <c r="A2999" s="17">
        <v>299</v>
      </c>
      <c r="B2999" s="31">
        <v>47437</v>
      </c>
      <c r="C2999" s="32">
        <f>INDEX('Input Data'!$B:$B,A2999)/2+IF(A2999&lt;&gt;A3000,100,0)</f>
        <v>1.5</v>
      </c>
      <c r="D2999" s="33">
        <f>INDEX('ZCB Curve - Payment Dates'!$D$2:$D$246,MATCH(B2999,'ZCB Curve - Payment Dates'!$A$2:$A$246,0))</f>
        <v>0.86758824089536279</v>
      </c>
      <c r="E2999" s="32">
        <f t="shared" si="46"/>
        <v>1.3013823613430442</v>
      </c>
    </row>
    <row r="3000" spans="1:5" x14ac:dyDescent="0.25">
      <c r="A3000" s="17">
        <v>299</v>
      </c>
      <c r="B3000" s="31">
        <v>47618</v>
      </c>
      <c r="C3000" s="32">
        <f>INDEX('Input Data'!$B:$B,A3000)/2+IF(A3000&lt;&gt;A3001,100,0)</f>
        <v>1.5</v>
      </c>
      <c r="D3000" s="33">
        <f>INDEX('ZCB Curve - Payment Dates'!$D$2:$D$246,MATCH(B3000,'ZCB Curve - Payment Dates'!$A$2:$A$246,0))</f>
        <v>0.84787416911783064</v>
      </c>
      <c r="E3000" s="32">
        <f t="shared" si="46"/>
        <v>1.2718112536767459</v>
      </c>
    </row>
    <row r="3001" spans="1:5" x14ac:dyDescent="0.25">
      <c r="A3001" s="17">
        <v>299</v>
      </c>
      <c r="B3001" s="31">
        <v>47802</v>
      </c>
      <c r="C3001" s="32">
        <f>INDEX('Input Data'!$B:$B,A3001)/2+IF(A3001&lt;&gt;A3002,100,0)</f>
        <v>1.5</v>
      </c>
      <c r="D3001" s="33">
        <f>INDEX('ZCB Curve - Payment Dates'!$D$2:$D$246,MATCH(B3001,'ZCB Curve - Payment Dates'!$A$2:$A$246,0))</f>
        <v>0.82827715028796722</v>
      </c>
      <c r="E3001" s="32">
        <f t="shared" si="46"/>
        <v>1.2424157254319508</v>
      </c>
    </row>
    <row r="3002" spans="1:5" x14ac:dyDescent="0.25">
      <c r="A3002" s="17">
        <v>299</v>
      </c>
      <c r="B3002" s="31">
        <v>47983</v>
      </c>
      <c r="C3002" s="32">
        <f>INDEX('Input Data'!$B:$B,A3002)/2+IF(A3002&lt;&gt;A3003,100,0)</f>
        <v>1.5</v>
      </c>
      <c r="D3002" s="33">
        <f>INDEX('ZCB Curve - Payment Dates'!$D$2:$D$246,MATCH(B3002,'ZCB Curve - Payment Dates'!$A$2:$A$246,0))</f>
        <v>0.80939067484273564</v>
      </c>
      <c r="E3002" s="32">
        <f t="shared" si="46"/>
        <v>1.2140860122641035</v>
      </c>
    </row>
    <row r="3003" spans="1:5" x14ac:dyDescent="0.25">
      <c r="A3003" s="17">
        <v>299</v>
      </c>
      <c r="B3003" s="31">
        <v>48167</v>
      </c>
      <c r="C3003" s="32">
        <f>INDEX('Input Data'!$B:$B,A3003)/2+IF(A3003&lt;&gt;A3004,100,0)</f>
        <v>1.5</v>
      </c>
      <c r="D3003" s="33">
        <f>INDEX('ZCB Curve - Payment Dates'!$D$2:$D$246,MATCH(B3003,'ZCB Curve - Payment Dates'!$A$2:$A$246,0))</f>
        <v>0.79053567842581962</v>
      </c>
      <c r="E3003" s="32">
        <f t="shared" si="46"/>
        <v>1.1858035176387294</v>
      </c>
    </row>
    <row r="3004" spans="1:5" x14ac:dyDescent="0.25">
      <c r="A3004" s="17">
        <v>299</v>
      </c>
      <c r="B3004" s="31">
        <v>48349</v>
      </c>
      <c r="C3004" s="32">
        <f>INDEX('Input Data'!$B:$B,A3004)/2+IF(A3004&lt;&gt;A3005,100,0)</f>
        <v>1.5</v>
      </c>
      <c r="D3004" s="33">
        <f>INDEX('ZCB Curve - Payment Dates'!$D$2:$D$246,MATCH(B3004,'ZCB Curve - Payment Dates'!$A$2:$A$246,0))</f>
        <v>0.77217305702007488</v>
      </c>
      <c r="E3004" s="32">
        <f t="shared" si="46"/>
        <v>1.1582595855301123</v>
      </c>
    </row>
    <row r="3005" spans="1:5" x14ac:dyDescent="0.25">
      <c r="A3005" s="17">
        <v>299</v>
      </c>
      <c r="B3005" s="31">
        <v>48533</v>
      </c>
      <c r="C3005" s="32">
        <f>INDEX('Input Data'!$B:$B,A3005)/2+IF(A3005&lt;&gt;A3006,100,0)</f>
        <v>1.5</v>
      </c>
      <c r="D3005" s="33">
        <f>INDEX('ZCB Curve - Payment Dates'!$D$2:$D$246,MATCH(B3005,'ZCB Curve - Payment Dates'!$A$2:$A$246,0))</f>
        <v>0.75384766072076514</v>
      </c>
      <c r="E3005" s="32">
        <f t="shared" si="46"/>
        <v>1.1307714910811477</v>
      </c>
    </row>
    <row r="3006" spans="1:5" x14ac:dyDescent="0.25">
      <c r="A3006" s="17">
        <v>299</v>
      </c>
      <c r="B3006" s="31">
        <v>48714</v>
      </c>
      <c r="C3006" s="32">
        <f>INDEX('Input Data'!$B:$B,A3006)/2+IF(A3006&lt;&gt;A3007,100,0)</f>
        <v>1.5</v>
      </c>
      <c r="D3006" s="33">
        <f>INDEX('ZCB Curve - Payment Dates'!$D$2:$D$246,MATCH(B3006,'ZCB Curve - Payment Dates'!$A$2:$A$246,0))</f>
        <v>0.73601491848746747</v>
      </c>
      <c r="E3006" s="32">
        <f t="shared" si="46"/>
        <v>1.1040223777312013</v>
      </c>
    </row>
    <row r="3007" spans="1:5" x14ac:dyDescent="0.25">
      <c r="A3007" s="17">
        <v>299</v>
      </c>
      <c r="B3007" s="31">
        <v>48898</v>
      </c>
      <c r="C3007" s="32">
        <f>INDEX('Input Data'!$B:$B,A3007)/2+IF(A3007&lt;&gt;A3008,100,0)</f>
        <v>1.5</v>
      </c>
      <c r="D3007" s="33">
        <f>INDEX('ZCB Curve - Payment Dates'!$D$2:$D$246,MATCH(B3007,'ZCB Curve - Payment Dates'!$A$2:$A$246,0))</f>
        <v>0.71805338140354003</v>
      </c>
      <c r="E3007" s="32">
        <f t="shared" si="46"/>
        <v>1.07708007210531</v>
      </c>
    </row>
    <row r="3008" spans="1:5" x14ac:dyDescent="0.25">
      <c r="A3008" s="17">
        <v>299</v>
      </c>
      <c r="B3008" s="31">
        <v>49079</v>
      </c>
      <c r="C3008" s="32">
        <f>INDEX('Input Data'!$B:$B,A3008)/2+IF(A3008&lt;&gt;A3009,100,0)</f>
        <v>1.5</v>
      </c>
      <c r="D3008" s="33">
        <f>INDEX('ZCB Curve - Payment Dates'!$D$2:$D$246,MATCH(B3008,'ZCB Curve - Payment Dates'!$A$2:$A$246,0))</f>
        <v>0.70052630492471468</v>
      </c>
      <c r="E3008" s="32">
        <f t="shared" si="46"/>
        <v>1.050789457387072</v>
      </c>
    </row>
    <row r="3009" spans="1:5" x14ac:dyDescent="0.25">
      <c r="A3009" s="17">
        <v>299</v>
      </c>
      <c r="B3009" s="31">
        <v>49263</v>
      </c>
      <c r="C3009" s="32">
        <f>INDEX('Input Data'!$B:$B,A3009)/2+IF(A3009&lt;&gt;A3010,100,0)</f>
        <v>1.5</v>
      </c>
      <c r="D3009" s="33">
        <f>INDEX('ZCB Curve - Payment Dates'!$D$2:$D$246,MATCH(B3009,'ZCB Curve - Payment Dates'!$A$2:$A$246,0))</f>
        <v>0.68284221202539863</v>
      </c>
      <c r="E3009" s="32">
        <f t="shared" si="46"/>
        <v>1.024263318038098</v>
      </c>
    </row>
    <row r="3010" spans="1:5" x14ac:dyDescent="0.25">
      <c r="A3010" s="17">
        <v>299</v>
      </c>
      <c r="B3010" s="31">
        <v>49444</v>
      </c>
      <c r="C3010" s="32">
        <f>INDEX('Input Data'!$B:$B,A3010)/2+IF(A3010&lt;&gt;A3011,100,0)</f>
        <v>1.5</v>
      </c>
      <c r="D3010" s="33">
        <f>INDEX('ZCB Curve - Payment Dates'!$D$2:$D$246,MATCH(B3010,'ZCB Curve - Payment Dates'!$A$2:$A$246,0))</f>
        <v>0.66557347415228496</v>
      </c>
      <c r="E3010" s="32">
        <f t="shared" ref="E3010:E3073" si="47">C3010*D3010</f>
        <v>0.99836021122842744</v>
      </c>
    </row>
    <row r="3011" spans="1:5" x14ac:dyDescent="0.25">
      <c r="A3011" s="17">
        <v>299</v>
      </c>
      <c r="B3011" s="31">
        <v>49628</v>
      </c>
      <c r="C3011" s="32">
        <f>INDEX('Input Data'!$B:$B,A3011)/2+IF(A3011&lt;&gt;A3012,100,0)</f>
        <v>1.5</v>
      </c>
      <c r="D3011" s="33">
        <f>INDEX('ZCB Curve - Payment Dates'!$D$2:$D$246,MATCH(B3011,'ZCB Curve - Payment Dates'!$A$2:$A$246,0))</f>
        <v>0.64815361918127823</v>
      </c>
      <c r="E3011" s="32">
        <f t="shared" si="47"/>
        <v>0.97223042877191734</v>
      </c>
    </row>
    <row r="3012" spans="1:5" x14ac:dyDescent="0.25">
      <c r="A3012" s="17">
        <v>299</v>
      </c>
      <c r="B3012" s="31">
        <v>49810</v>
      </c>
      <c r="C3012" s="32">
        <f>INDEX('Input Data'!$B:$B,A3012)/2+IF(A3012&lt;&gt;A3013,100,0)</f>
        <v>1.5</v>
      </c>
      <c r="D3012" s="33">
        <f>INDEX('ZCB Curve - Payment Dates'!$D$2:$D$246,MATCH(B3012,'ZCB Curve - Payment Dates'!$A$2:$A$246,0))</f>
        <v>0.63106457078577471</v>
      </c>
      <c r="E3012" s="32">
        <f t="shared" si="47"/>
        <v>0.94659685617866207</v>
      </c>
    </row>
    <row r="3013" spans="1:5" x14ac:dyDescent="0.25">
      <c r="A3013" s="17">
        <v>299</v>
      </c>
      <c r="B3013" s="31">
        <v>49994</v>
      </c>
      <c r="C3013" s="32">
        <f>INDEX('Input Data'!$B:$B,A3013)/2+IF(A3013&lt;&gt;A3014,100,0)</f>
        <v>1.5</v>
      </c>
      <c r="D3013" s="33">
        <f>INDEX('ZCB Curve - Payment Dates'!$D$2:$D$246,MATCH(B3013,'ZCB Curve - Payment Dates'!$A$2:$A$246,0))</f>
        <v>0.61395227923184648</v>
      </c>
      <c r="E3013" s="32">
        <f t="shared" si="47"/>
        <v>0.92092841884776977</v>
      </c>
    </row>
    <row r="3014" spans="1:5" x14ac:dyDescent="0.25">
      <c r="A3014" s="17">
        <v>299</v>
      </c>
      <c r="B3014" s="31">
        <v>50175</v>
      </c>
      <c r="C3014" s="32">
        <f>INDEX('Input Data'!$B:$B,A3014)/2+IF(A3014&lt;&gt;A3015,100,0)</f>
        <v>1.5</v>
      </c>
      <c r="D3014" s="33">
        <f>INDEX('ZCB Curve - Payment Dates'!$D$2:$D$246,MATCH(B3014,'ZCB Curve - Payment Dates'!$A$2:$A$246,0))</f>
        <v>0.5972963482314616</v>
      </c>
      <c r="E3014" s="32">
        <f t="shared" si="47"/>
        <v>0.89594452234719246</v>
      </c>
    </row>
    <row r="3015" spans="1:5" x14ac:dyDescent="0.25">
      <c r="A3015" s="17">
        <v>299</v>
      </c>
      <c r="B3015" s="31">
        <v>50359</v>
      </c>
      <c r="C3015" s="32">
        <f>INDEX('Input Data'!$B:$B,A3015)/2+IF(A3015&lt;&gt;A3016,100,0)</f>
        <v>1.5</v>
      </c>
      <c r="D3015" s="33">
        <f>INDEX('ZCB Curve - Payment Dates'!$D$2:$D$246,MATCH(B3015,'ZCB Curve - Payment Dates'!$A$2:$A$246,0))</f>
        <v>0.58056812006155756</v>
      </c>
      <c r="E3015" s="32">
        <f t="shared" si="47"/>
        <v>0.87085218009233634</v>
      </c>
    </row>
    <row r="3016" spans="1:5" x14ac:dyDescent="0.25">
      <c r="A3016" s="17">
        <v>299</v>
      </c>
      <c r="B3016" s="31">
        <v>50540</v>
      </c>
      <c r="C3016" s="32">
        <f>INDEX('Input Data'!$B:$B,A3016)/2+IF(A3016&lt;&gt;A3017,100,0)</f>
        <v>1.5</v>
      </c>
      <c r="D3016" s="33">
        <f>INDEX('ZCB Curve - Payment Dates'!$D$2:$D$246,MATCH(B3016,'ZCB Curve - Payment Dates'!$A$2:$A$246,0))</f>
        <v>0.56433491315969797</v>
      </c>
      <c r="E3016" s="32">
        <f t="shared" si="47"/>
        <v>0.84650236973954696</v>
      </c>
    </row>
    <row r="3017" spans="1:5" x14ac:dyDescent="0.25">
      <c r="A3017" s="17">
        <v>299</v>
      </c>
      <c r="B3017" s="31">
        <v>50724</v>
      </c>
      <c r="C3017" s="32">
        <f>INDEX('Input Data'!$B:$B,A3017)/2+IF(A3017&lt;&gt;A3018,100,0)</f>
        <v>1.5</v>
      </c>
      <c r="D3017" s="33">
        <f>INDEX('ZCB Curve - Payment Dates'!$D$2:$D$246,MATCH(B3017,'ZCB Curve - Payment Dates'!$A$2:$A$246,0))</f>
        <v>0.54808398139057424</v>
      </c>
      <c r="E3017" s="32">
        <f t="shared" si="47"/>
        <v>0.82212597208586136</v>
      </c>
    </row>
    <row r="3018" spans="1:5" x14ac:dyDescent="0.25">
      <c r="A3018" s="17">
        <v>299</v>
      </c>
      <c r="B3018" s="31">
        <v>50905</v>
      </c>
      <c r="C3018" s="32">
        <f>INDEX('Input Data'!$B:$B,A3018)/2+IF(A3018&lt;&gt;A3019,100,0)</f>
        <v>1.5</v>
      </c>
      <c r="D3018" s="33">
        <f>INDEX('ZCB Curve - Payment Dates'!$D$2:$D$246,MATCH(B3018,'ZCB Curve - Payment Dates'!$A$2:$A$246,0))</f>
        <v>0.5323673246083096</v>
      </c>
      <c r="E3018" s="32">
        <f t="shared" si="47"/>
        <v>0.7985509869124644</v>
      </c>
    </row>
    <row r="3019" spans="1:5" x14ac:dyDescent="0.25">
      <c r="A3019" s="17">
        <v>299</v>
      </c>
      <c r="B3019" s="31">
        <v>51089</v>
      </c>
      <c r="C3019" s="32">
        <f>INDEX('Input Data'!$B:$B,A3019)/2+IF(A3019&lt;&gt;A3020,100,0)</f>
        <v>1.5</v>
      </c>
      <c r="D3019" s="33">
        <f>INDEX('ZCB Curve - Payment Dates'!$D$2:$D$246,MATCH(B3019,'ZCB Curve - Payment Dates'!$A$2:$A$246,0))</f>
        <v>0.51668806431098135</v>
      </c>
      <c r="E3019" s="32">
        <f t="shared" si="47"/>
        <v>0.77503209646647209</v>
      </c>
    </row>
    <row r="3020" spans="1:5" x14ac:dyDescent="0.25">
      <c r="A3020" s="17">
        <v>299</v>
      </c>
      <c r="B3020" s="31">
        <v>51271</v>
      </c>
      <c r="C3020" s="32">
        <f>INDEX('Input Data'!$B:$B,A3020)/2+IF(A3020&lt;&gt;A3021,100,0)</f>
        <v>1.5</v>
      </c>
      <c r="D3020" s="33">
        <f>INDEX('ZCB Curve - Payment Dates'!$D$2:$D$246,MATCH(B3020,'ZCB Curve - Payment Dates'!$A$2:$A$246,0))</f>
        <v>0.50149590020417278</v>
      </c>
      <c r="E3020" s="32">
        <f t="shared" si="47"/>
        <v>0.75224385030625918</v>
      </c>
    </row>
    <row r="3021" spans="1:5" x14ac:dyDescent="0.25">
      <c r="A3021" s="17">
        <v>299</v>
      </c>
      <c r="B3021" s="31">
        <v>51455</v>
      </c>
      <c r="C3021" s="32">
        <f>INDEX('Input Data'!$B:$B,A3021)/2+IF(A3021&lt;&gt;A3022,100,0)</f>
        <v>1.5</v>
      </c>
      <c r="D3021" s="33">
        <f>INDEX('ZCB Curve - Payment Dates'!$D$2:$D$246,MATCH(B3021,'ZCB Curve - Payment Dates'!$A$2:$A$246,0))</f>
        <v>0.48647538074270091</v>
      </c>
      <c r="E3021" s="32">
        <f t="shared" si="47"/>
        <v>0.72971307111405137</v>
      </c>
    </row>
    <row r="3022" spans="1:5" x14ac:dyDescent="0.25">
      <c r="A3022" s="17">
        <v>299</v>
      </c>
      <c r="B3022" s="31">
        <v>51636</v>
      </c>
      <c r="C3022" s="32">
        <f>INDEX('Input Data'!$B:$B,A3022)/2+IF(A3022&lt;&gt;A3023,100,0)</f>
        <v>1.5</v>
      </c>
      <c r="D3022" s="33">
        <f>INDEX('ZCB Curve - Payment Dates'!$D$2:$D$246,MATCH(B3022,'ZCB Curve - Payment Dates'!$A$2:$A$246,0))</f>
        <v>0.47204918703719451</v>
      </c>
      <c r="E3022" s="32">
        <f t="shared" si="47"/>
        <v>0.70807378055579173</v>
      </c>
    </row>
    <row r="3023" spans="1:5" x14ac:dyDescent="0.25">
      <c r="A3023" s="17">
        <v>299</v>
      </c>
      <c r="B3023" s="31">
        <v>51820</v>
      </c>
      <c r="C3023" s="32">
        <f>INDEX('Input Data'!$B:$B,A3023)/2+IF(A3023&lt;&gt;A3024,100,0)</f>
        <v>1.5</v>
      </c>
      <c r="D3023" s="33">
        <f>INDEX('ZCB Curve - Payment Dates'!$D$2:$D$246,MATCH(B3023,'ZCB Curve - Payment Dates'!$A$2:$A$246,0))</f>
        <v>0.45775548669345245</v>
      </c>
      <c r="E3023" s="32">
        <f t="shared" si="47"/>
        <v>0.68663323004017873</v>
      </c>
    </row>
    <row r="3024" spans="1:5" x14ac:dyDescent="0.25">
      <c r="A3024" s="17">
        <v>299</v>
      </c>
      <c r="B3024" s="31">
        <v>52001</v>
      </c>
      <c r="C3024" s="32">
        <f>INDEX('Input Data'!$B:$B,A3024)/2+IF(A3024&lt;&gt;A3025,100,0)</f>
        <v>1.5</v>
      </c>
      <c r="D3024" s="33">
        <f>INDEX('ZCB Curve - Payment Dates'!$D$2:$D$246,MATCH(B3024,'ZCB Curve - Payment Dates'!$A$2:$A$246,0))</f>
        <v>0.44407192118484318</v>
      </c>
      <c r="E3024" s="32">
        <f t="shared" si="47"/>
        <v>0.66610788177726477</v>
      </c>
    </row>
    <row r="3025" spans="1:5" x14ac:dyDescent="0.25">
      <c r="A3025" s="17">
        <v>299</v>
      </c>
      <c r="B3025" s="31">
        <v>52185</v>
      </c>
      <c r="C3025" s="32">
        <f>INDEX('Input Data'!$B:$B,A3025)/2+IF(A3025&lt;&gt;A3026,100,0)</f>
        <v>1.5</v>
      </c>
      <c r="D3025" s="33">
        <f>INDEX('ZCB Curve - Payment Dates'!$D$2:$D$246,MATCH(B3025,'ZCB Curve - Payment Dates'!$A$2:$A$246,0))</f>
        <v>0.43055647946672393</v>
      </c>
      <c r="E3025" s="32">
        <f t="shared" si="47"/>
        <v>0.64583471920008595</v>
      </c>
    </row>
    <row r="3026" spans="1:5" x14ac:dyDescent="0.25">
      <c r="A3026" s="17">
        <v>299</v>
      </c>
      <c r="B3026" s="31">
        <v>52366</v>
      </c>
      <c r="C3026" s="32">
        <f>INDEX('Input Data'!$B:$B,A3026)/2+IF(A3026&lt;&gt;A3027,100,0)</f>
        <v>1.5</v>
      </c>
      <c r="D3026" s="33">
        <f>INDEX('ZCB Curve - Payment Dates'!$D$2:$D$246,MATCH(B3026,'ZCB Curve - Payment Dates'!$A$2:$A$246,0))</f>
        <v>0.41765686229470528</v>
      </c>
      <c r="E3026" s="32">
        <f t="shared" si="47"/>
        <v>0.62648529344205794</v>
      </c>
    </row>
    <row r="3027" spans="1:5" x14ac:dyDescent="0.25">
      <c r="A3027" s="17">
        <v>299</v>
      </c>
      <c r="B3027" s="31">
        <v>52550</v>
      </c>
      <c r="C3027" s="32">
        <f>INDEX('Input Data'!$B:$B,A3027)/2+IF(A3027&lt;&gt;A3028,100,0)</f>
        <v>1.5</v>
      </c>
      <c r="D3027" s="33">
        <f>INDEX('ZCB Curve - Payment Dates'!$D$2:$D$246,MATCH(B3027,'ZCB Curve - Payment Dates'!$A$2:$A$246,0))</f>
        <v>0.40495237741553414</v>
      </c>
      <c r="E3027" s="32">
        <f t="shared" si="47"/>
        <v>0.60742856612330121</v>
      </c>
    </row>
    <row r="3028" spans="1:5" x14ac:dyDescent="0.25">
      <c r="A3028" s="17">
        <v>299</v>
      </c>
      <c r="B3028" s="31">
        <v>52732</v>
      </c>
      <c r="C3028" s="32">
        <f>INDEX('Input Data'!$B:$B,A3028)/2+IF(A3028&lt;&gt;A3029,100,0)</f>
        <v>1.5</v>
      </c>
      <c r="D3028" s="33">
        <f>INDEX('ZCB Curve - Payment Dates'!$D$2:$D$246,MATCH(B3028,'ZCB Curve - Payment Dates'!$A$2:$A$246,0))</f>
        <v>0.3927952920896523</v>
      </c>
      <c r="E3028" s="32">
        <f t="shared" si="47"/>
        <v>0.58919293813447848</v>
      </c>
    </row>
    <row r="3029" spans="1:5" x14ac:dyDescent="0.25">
      <c r="A3029" s="17">
        <v>299</v>
      </c>
      <c r="B3029" s="31">
        <v>52916</v>
      </c>
      <c r="C3029" s="32">
        <f>INDEX('Input Data'!$B:$B,A3029)/2+IF(A3029&lt;&gt;A3030,100,0)</f>
        <v>101.5</v>
      </c>
      <c r="D3029" s="33">
        <f>INDEX('ZCB Curve - Payment Dates'!$D$2:$D$246,MATCH(B3029,'ZCB Curve - Payment Dates'!$A$2:$A$246,0))</f>
        <v>0.38091684361752687</v>
      </c>
      <c r="E3029" s="32">
        <f t="shared" si="47"/>
        <v>38.663059627178974</v>
      </c>
    </row>
    <row r="3030" spans="1:5" x14ac:dyDescent="0.25">
      <c r="A3030" s="17">
        <v>300</v>
      </c>
      <c r="B3030" s="31">
        <v>46341</v>
      </c>
      <c r="C3030" s="32">
        <f>INDEX('Input Data'!$B:$B,A3030)/2+IF(A3030&lt;&gt;A3031,100,0)</f>
        <v>2.3125</v>
      </c>
      <c r="D3030" s="33">
        <f>INDEX('ZCB Curve - Payment Dates'!$D$2:$D$246,MATCH(B3030,'ZCB Curve - Payment Dates'!$A$2:$A$246,0))</f>
        <v>0.99245367292309439</v>
      </c>
      <c r="E3030" s="32">
        <f t="shared" si="47"/>
        <v>2.2950491186346555</v>
      </c>
    </row>
    <row r="3031" spans="1:5" x14ac:dyDescent="0.25">
      <c r="A3031" s="17">
        <v>300</v>
      </c>
      <c r="B3031" s="31">
        <v>46522</v>
      </c>
      <c r="C3031" s="32">
        <f>INDEX('Input Data'!$B:$B,A3031)/2+IF(A3031&lt;&gt;A3032,100,0)</f>
        <v>2.3125</v>
      </c>
      <c r="D3031" s="33">
        <f>INDEX('ZCB Curve - Payment Dates'!$D$2:$D$246,MATCH(B3031,'ZCB Curve - Payment Dates'!$A$2:$A$246,0))</f>
        <v>0.97242179559611874</v>
      </c>
      <c r="E3031" s="32">
        <f t="shared" si="47"/>
        <v>2.2487254023160248</v>
      </c>
    </row>
    <row r="3032" spans="1:5" x14ac:dyDescent="0.25">
      <c r="A3032" s="17">
        <v>300</v>
      </c>
      <c r="B3032" s="31">
        <v>46706</v>
      </c>
      <c r="C3032" s="32">
        <f>INDEX('Input Data'!$B:$B,A3032)/2+IF(A3032&lt;&gt;A3033,100,0)</f>
        <v>2.3125</v>
      </c>
      <c r="D3032" s="33">
        <f>INDEX('ZCB Curve - Payment Dates'!$D$2:$D$246,MATCH(B3032,'ZCB Curve - Payment Dates'!$A$2:$A$246,0))</f>
        <v>0.95121018311627348</v>
      </c>
      <c r="E3032" s="32">
        <f t="shared" si="47"/>
        <v>2.1996735484563823</v>
      </c>
    </row>
    <row r="3033" spans="1:5" x14ac:dyDescent="0.25">
      <c r="A3033" s="17">
        <v>300</v>
      </c>
      <c r="B3033" s="31">
        <v>46888</v>
      </c>
      <c r="C3033" s="32">
        <f>INDEX('Input Data'!$B:$B,A3033)/2+IF(A3033&lt;&gt;A3034,100,0)</f>
        <v>2.3125</v>
      </c>
      <c r="D3033" s="33">
        <f>INDEX('ZCB Curve - Payment Dates'!$D$2:$D$246,MATCH(B3033,'ZCB Curve - Payment Dates'!$A$2:$A$246,0))</f>
        <v>0.93000025435083566</v>
      </c>
      <c r="E3033" s="32">
        <f t="shared" si="47"/>
        <v>2.1506255881863074</v>
      </c>
    </row>
    <row r="3034" spans="1:5" x14ac:dyDescent="0.25">
      <c r="A3034" s="17">
        <v>300</v>
      </c>
      <c r="B3034" s="31">
        <v>47072</v>
      </c>
      <c r="C3034" s="32">
        <f>INDEX('Input Data'!$B:$B,A3034)/2+IF(A3034&lt;&gt;A3035,100,0)</f>
        <v>2.3125</v>
      </c>
      <c r="D3034" s="33">
        <f>INDEX('ZCB Curve - Payment Dates'!$D$2:$D$246,MATCH(B3034,'ZCB Curve - Payment Dates'!$A$2:$A$246,0))</f>
        <v>0.90870125167038918</v>
      </c>
      <c r="E3034" s="32">
        <f t="shared" si="47"/>
        <v>2.101371644487775</v>
      </c>
    </row>
    <row r="3035" spans="1:5" x14ac:dyDescent="0.25">
      <c r="A3035" s="17">
        <v>300</v>
      </c>
      <c r="B3035" s="31">
        <v>47253</v>
      </c>
      <c r="C3035" s="32">
        <f>INDEX('Input Data'!$B:$B,A3035)/2+IF(A3035&lt;&gt;A3036,100,0)</f>
        <v>2.3125</v>
      </c>
      <c r="D3035" s="33">
        <f>INDEX('ZCB Curve - Payment Dates'!$D$2:$D$246,MATCH(B3035,'ZCB Curve - Payment Dates'!$A$2:$A$246,0))</f>
        <v>0.88809325063638844</v>
      </c>
      <c r="E3035" s="32">
        <f t="shared" si="47"/>
        <v>2.0537156420966483</v>
      </c>
    </row>
    <row r="3036" spans="1:5" x14ac:dyDescent="0.25">
      <c r="A3036" s="17">
        <v>300</v>
      </c>
      <c r="B3036" s="31">
        <v>47437</v>
      </c>
      <c r="C3036" s="32">
        <f>INDEX('Input Data'!$B:$B,A3036)/2+IF(A3036&lt;&gt;A3037,100,0)</f>
        <v>2.3125</v>
      </c>
      <c r="D3036" s="33">
        <f>INDEX('ZCB Curve - Payment Dates'!$D$2:$D$246,MATCH(B3036,'ZCB Curve - Payment Dates'!$A$2:$A$246,0))</f>
        <v>0.86758824089536279</v>
      </c>
      <c r="E3036" s="32">
        <f t="shared" si="47"/>
        <v>2.0062978070705264</v>
      </c>
    </row>
    <row r="3037" spans="1:5" x14ac:dyDescent="0.25">
      <c r="A3037" s="17">
        <v>300</v>
      </c>
      <c r="B3037" s="31">
        <v>47618</v>
      </c>
      <c r="C3037" s="32">
        <f>INDEX('Input Data'!$B:$B,A3037)/2+IF(A3037&lt;&gt;A3038,100,0)</f>
        <v>2.3125</v>
      </c>
      <c r="D3037" s="33">
        <f>INDEX('ZCB Curve - Payment Dates'!$D$2:$D$246,MATCH(B3037,'ZCB Curve - Payment Dates'!$A$2:$A$246,0))</f>
        <v>0.84787416911783064</v>
      </c>
      <c r="E3037" s="32">
        <f t="shared" si="47"/>
        <v>1.9607090160849834</v>
      </c>
    </row>
    <row r="3038" spans="1:5" x14ac:dyDescent="0.25">
      <c r="A3038" s="17">
        <v>300</v>
      </c>
      <c r="B3038" s="31">
        <v>47802</v>
      </c>
      <c r="C3038" s="32">
        <f>INDEX('Input Data'!$B:$B,A3038)/2+IF(A3038&lt;&gt;A3039,100,0)</f>
        <v>2.3125</v>
      </c>
      <c r="D3038" s="33">
        <f>INDEX('ZCB Curve - Payment Dates'!$D$2:$D$246,MATCH(B3038,'ZCB Curve - Payment Dates'!$A$2:$A$246,0))</f>
        <v>0.82827715028796722</v>
      </c>
      <c r="E3038" s="32">
        <f t="shared" si="47"/>
        <v>1.9153909100409241</v>
      </c>
    </row>
    <row r="3039" spans="1:5" x14ac:dyDescent="0.25">
      <c r="A3039" s="17">
        <v>300</v>
      </c>
      <c r="B3039" s="31">
        <v>47983</v>
      </c>
      <c r="C3039" s="32">
        <f>INDEX('Input Data'!$B:$B,A3039)/2+IF(A3039&lt;&gt;A3040,100,0)</f>
        <v>2.3125</v>
      </c>
      <c r="D3039" s="33">
        <f>INDEX('ZCB Curve - Payment Dates'!$D$2:$D$246,MATCH(B3039,'ZCB Curve - Payment Dates'!$A$2:$A$246,0))</f>
        <v>0.80939067484273564</v>
      </c>
      <c r="E3039" s="32">
        <f t="shared" si="47"/>
        <v>1.8717159355738262</v>
      </c>
    </row>
    <row r="3040" spans="1:5" x14ac:dyDescent="0.25">
      <c r="A3040" s="17">
        <v>300</v>
      </c>
      <c r="B3040" s="31">
        <v>48167</v>
      </c>
      <c r="C3040" s="32">
        <f>INDEX('Input Data'!$B:$B,A3040)/2+IF(A3040&lt;&gt;A3041,100,0)</f>
        <v>2.3125</v>
      </c>
      <c r="D3040" s="33">
        <f>INDEX('ZCB Curve - Payment Dates'!$D$2:$D$246,MATCH(B3040,'ZCB Curve - Payment Dates'!$A$2:$A$246,0))</f>
        <v>0.79053567842581962</v>
      </c>
      <c r="E3040" s="32">
        <f t="shared" si="47"/>
        <v>1.8281137563597079</v>
      </c>
    </row>
    <row r="3041" spans="1:5" x14ac:dyDescent="0.25">
      <c r="A3041" s="17">
        <v>300</v>
      </c>
      <c r="B3041" s="31">
        <v>48349</v>
      </c>
      <c r="C3041" s="32">
        <f>INDEX('Input Data'!$B:$B,A3041)/2+IF(A3041&lt;&gt;A3042,100,0)</f>
        <v>2.3125</v>
      </c>
      <c r="D3041" s="33">
        <f>INDEX('ZCB Curve - Payment Dates'!$D$2:$D$246,MATCH(B3041,'ZCB Curve - Payment Dates'!$A$2:$A$246,0))</f>
        <v>0.77217305702007488</v>
      </c>
      <c r="E3041" s="32">
        <f t="shared" si="47"/>
        <v>1.7856501943589231</v>
      </c>
    </row>
    <row r="3042" spans="1:5" x14ac:dyDescent="0.25">
      <c r="A3042" s="17">
        <v>300</v>
      </c>
      <c r="B3042" s="31">
        <v>48533</v>
      </c>
      <c r="C3042" s="32">
        <f>INDEX('Input Data'!$B:$B,A3042)/2+IF(A3042&lt;&gt;A3043,100,0)</f>
        <v>2.3125</v>
      </c>
      <c r="D3042" s="33">
        <f>INDEX('ZCB Curve - Payment Dates'!$D$2:$D$246,MATCH(B3042,'ZCB Curve - Payment Dates'!$A$2:$A$246,0))</f>
        <v>0.75384766072076514</v>
      </c>
      <c r="E3042" s="32">
        <f t="shared" si="47"/>
        <v>1.7432727154167693</v>
      </c>
    </row>
    <row r="3043" spans="1:5" x14ac:dyDescent="0.25">
      <c r="A3043" s="17">
        <v>300</v>
      </c>
      <c r="B3043" s="31">
        <v>48714</v>
      </c>
      <c r="C3043" s="32">
        <f>INDEX('Input Data'!$B:$B,A3043)/2+IF(A3043&lt;&gt;A3044,100,0)</f>
        <v>2.3125</v>
      </c>
      <c r="D3043" s="33">
        <f>INDEX('ZCB Curve - Payment Dates'!$D$2:$D$246,MATCH(B3043,'ZCB Curve - Payment Dates'!$A$2:$A$246,0))</f>
        <v>0.73601491848746747</v>
      </c>
      <c r="E3043" s="32">
        <f t="shared" si="47"/>
        <v>1.7020344990022684</v>
      </c>
    </row>
    <row r="3044" spans="1:5" x14ac:dyDescent="0.25">
      <c r="A3044" s="17">
        <v>300</v>
      </c>
      <c r="B3044" s="31">
        <v>48898</v>
      </c>
      <c r="C3044" s="32">
        <f>INDEX('Input Data'!$B:$B,A3044)/2+IF(A3044&lt;&gt;A3045,100,0)</f>
        <v>2.3125</v>
      </c>
      <c r="D3044" s="33">
        <f>INDEX('ZCB Curve - Payment Dates'!$D$2:$D$246,MATCH(B3044,'ZCB Curve - Payment Dates'!$A$2:$A$246,0))</f>
        <v>0.71805338140354003</v>
      </c>
      <c r="E3044" s="32">
        <f t="shared" si="47"/>
        <v>1.6604984444956863</v>
      </c>
    </row>
    <row r="3045" spans="1:5" x14ac:dyDescent="0.25">
      <c r="A3045" s="17">
        <v>300</v>
      </c>
      <c r="B3045" s="31">
        <v>49079</v>
      </c>
      <c r="C3045" s="32">
        <f>INDEX('Input Data'!$B:$B,A3045)/2+IF(A3045&lt;&gt;A3046,100,0)</f>
        <v>2.3125</v>
      </c>
      <c r="D3045" s="33">
        <f>INDEX('ZCB Curve - Payment Dates'!$D$2:$D$246,MATCH(B3045,'ZCB Curve - Payment Dates'!$A$2:$A$246,0))</f>
        <v>0.70052630492471468</v>
      </c>
      <c r="E3045" s="32">
        <f t="shared" si="47"/>
        <v>1.6199670801384027</v>
      </c>
    </row>
    <row r="3046" spans="1:5" x14ac:dyDescent="0.25">
      <c r="A3046" s="17">
        <v>300</v>
      </c>
      <c r="B3046" s="31">
        <v>49263</v>
      </c>
      <c r="C3046" s="32">
        <f>INDEX('Input Data'!$B:$B,A3046)/2+IF(A3046&lt;&gt;A3047,100,0)</f>
        <v>2.3125</v>
      </c>
      <c r="D3046" s="33">
        <f>INDEX('ZCB Curve - Payment Dates'!$D$2:$D$246,MATCH(B3046,'ZCB Curve - Payment Dates'!$A$2:$A$246,0))</f>
        <v>0.68284221202539863</v>
      </c>
      <c r="E3046" s="32">
        <f t="shared" si="47"/>
        <v>1.5790726153087344</v>
      </c>
    </row>
    <row r="3047" spans="1:5" x14ac:dyDescent="0.25">
      <c r="A3047" s="17">
        <v>300</v>
      </c>
      <c r="B3047" s="31">
        <v>49444</v>
      </c>
      <c r="C3047" s="32">
        <f>INDEX('Input Data'!$B:$B,A3047)/2+IF(A3047&lt;&gt;A3048,100,0)</f>
        <v>2.3125</v>
      </c>
      <c r="D3047" s="33">
        <f>INDEX('ZCB Curve - Payment Dates'!$D$2:$D$246,MATCH(B3047,'ZCB Curve - Payment Dates'!$A$2:$A$246,0))</f>
        <v>0.66557347415228496</v>
      </c>
      <c r="E3047" s="32">
        <f t="shared" si="47"/>
        <v>1.539138658977159</v>
      </c>
    </row>
    <row r="3048" spans="1:5" x14ac:dyDescent="0.25">
      <c r="A3048" s="17">
        <v>300</v>
      </c>
      <c r="B3048" s="31">
        <v>49628</v>
      </c>
      <c r="C3048" s="32">
        <f>INDEX('Input Data'!$B:$B,A3048)/2+IF(A3048&lt;&gt;A3049,100,0)</f>
        <v>2.3125</v>
      </c>
      <c r="D3048" s="33">
        <f>INDEX('ZCB Curve - Payment Dates'!$D$2:$D$246,MATCH(B3048,'ZCB Curve - Payment Dates'!$A$2:$A$246,0))</f>
        <v>0.64815361918127823</v>
      </c>
      <c r="E3048" s="32">
        <f t="shared" si="47"/>
        <v>1.4988552443567058</v>
      </c>
    </row>
    <row r="3049" spans="1:5" x14ac:dyDescent="0.25">
      <c r="A3049" s="17">
        <v>300</v>
      </c>
      <c r="B3049" s="31">
        <v>49810</v>
      </c>
      <c r="C3049" s="32">
        <f>INDEX('Input Data'!$B:$B,A3049)/2+IF(A3049&lt;&gt;A3050,100,0)</f>
        <v>2.3125</v>
      </c>
      <c r="D3049" s="33">
        <f>INDEX('ZCB Curve - Payment Dates'!$D$2:$D$246,MATCH(B3049,'ZCB Curve - Payment Dates'!$A$2:$A$246,0))</f>
        <v>0.63106457078577471</v>
      </c>
      <c r="E3049" s="32">
        <f t="shared" si="47"/>
        <v>1.459336819942104</v>
      </c>
    </row>
    <row r="3050" spans="1:5" x14ac:dyDescent="0.25">
      <c r="A3050" s="17">
        <v>300</v>
      </c>
      <c r="B3050" s="31">
        <v>49994</v>
      </c>
      <c r="C3050" s="32">
        <f>INDEX('Input Data'!$B:$B,A3050)/2+IF(A3050&lt;&gt;A3051,100,0)</f>
        <v>2.3125</v>
      </c>
      <c r="D3050" s="33">
        <f>INDEX('ZCB Curve - Payment Dates'!$D$2:$D$246,MATCH(B3050,'ZCB Curve - Payment Dates'!$A$2:$A$246,0))</f>
        <v>0.61395227923184648</v>
      </c>
      <c r="E3050" s="32">
        <f t="shared" si="47"/>
        <v>1.419764645723645</v>
      </c>
    </row>
    <row r="3051" spans="1:5" x14ac:dyDescent="0.25">
      <c r="A3051" s="17">
        <v>300</v>
      </c>
      <c r="B3051" s="31">
        <v>50175</v>
      </c>
      <c r="C3051" s="32">
        <f>INDEX('Input Data'!$B:$B,A3051)/2+IF(A3051&lt;&gt;A3052,100,0)</f>
        <v>2.3125</v>
      </c>
      <c r="D3051" s="33">
        <f>INDEX('ZCB Curve - Payment Dates'!$D$2:$D$246,MATCH(B3051,'ZCB Curve - Payment Dates'!$A$2:$A$246,0))</f>
        <v>0.5972963482314616</v>
      </c>
      <c r="E3051" s="32">
        <f t="shared" si="47"/>
        <v>1.381247805285255</v>
      </c>
    </row>
    <row r="3052" spans="1:5" x14ac:dyDescent="0.25">
      <c r="A3052" s="17">
        <v>300</v>
      </c>
      <c r="B3052" s="31">
        <v>50359</v>
      </c>
      <c r="C3052" s="32">
        <f>INDEX('Input Data'!$B:$B,A3052)/2+IF(A3052&lt;&gt;A3053,100,0)</f>
        <v>2.3125</v>
      </c>
      <c r="D3052" s="33">
        <f>INDEX('ZCB Curve - Payment Dates'!$D$2:$D$246,MATCH(B3052,'ZCB Curve - Payment Dates'!$A$2:$A$246,0))</f>
        <v>0.58056812006155756</v>
      </c>
      <c r="E3052" s="32">
        <f t="shared" si="47"/>
        <v>1.3425637776423518</v>
      </c>
    </row>
    <row r="3053" spans="1:5" x14ac:dyDescent="0.25">
      <c r="A3053" s="17">
        <v>300</v>
      </c>
      <c r="B3053" s="31">
        <v>50540</v>
      </c>
      <c r="C3053" s="32">
        <f>INDEX('Input Data'!$B:$B,A3053)/2+IF(A3053&lt;&gt;A3054,100,0)</f>
        <v>2.3125</v>
      </c>
      <c r="D3053" s="33">
        <f>INDEX('ZCB Curve - Payment Dates'!$D$2:$D$246,MATCH(B3053,'ZCB Curve - Payment Dates'!$A$2:$A$246,0))</f>
        <v>0.56433491315969797</v>
      </c>
      <c r="E3053" s="32">
        <f t="shared" si="47"/>
        <v>1.3050244866818015</v>
      </c>
    </row>
    <row r="3054" spans="1:5" x14ac:dyDescent="0.25">
      <c r="A3054" s="17">
        <v>300</v>
      </c>
      <c r="B3054" s="31">
        <v>50724</v>
      </c>
      <c r="C3054" s="32">
        <f>INDEX('Input Data'!$B:$B,A3054)/2+IF(A3054&lt;&gt;A3055,100,0)</f>
        <v>2.3125</v>
      </c>
      <c r="D3054" s="33">
        <f>INDEX('ZCB Curve - Payment Dates'!$D$2:$D$246,MATCH(B3054,'ZCB Curve - Payment Dates'!$A$2:$A$246,0))</f>
        <v>0.54808398139057424</v>
      </c>
      <c r="E3054" s="32">
        <f t="shared" si="47"/>
        <v>1.267444206965703</v>
      </c>
    </row>
    <row r="3055" spans="1:5" x14ac:dyDescent="0.25">
      <c r="A3055" s="17">
        <v>300</v>
      </c>
      <c r="B3055" s="31">
        <v>50905</v>
      </c>
      <c r="C3055" s="32">
        <f>INDEX('Input Data'!$B:$B,A3055)/2+IF(A3055&lt;&gt;A3056,100,0)</f>
        <v>2.3125</v>
      </c>
      <c r="D3055" s="33">
        <f>INDEX('ZCB Curve - Payment Dates'!$D$2:$D$246,MATCH(B3055,'ZCB Curve - Payment Dates'!$A$2:$A$246,0))</f>
        <v>0.5323673246083096</v>
      </c>
      <c r="E3055" s="32">
        <f t="shared" si="47"/>
        <v>1.231099438156716</v>
      </c>
    </row>
    <row r="3056" spans="1:5" x14ac:dyDescent="0.25">
      <c r="A3056" s="17">
        <v>300</v>
      </c>
      <c r="B3056" s="31">
        <v>51089</v>
      </c>
      <c r="C3056" s="32">
        <f>INDEX('Input Data'!$B:$B,A3056)/2+IF(A3056&lt;&gt;A3057,100,0)</f>
        <v>2.3125</v>
      </c>
      <c r="D3056" s="33">
        <f>INDEX('ZCB Curve - Payment Dates'!$D$2:$D$246,MATCH(B3056,'ZCB Curve - Payment Dates'!$A$2:$A$246,0))</f>
        <v>0.51668806431098135</v>
      </c>
      <c r="E3056" s="32">
        <f t="shared" si="47"/>
        <v>1.1948411487191444</v>
      </c>
    </row>
    <row r="3057" spans="1:5" x14ac:dyDescent="0.25">
      <c r="A3057" s="17">
        <v>300</v>
      </c>
      <c r="B3057" s="31">
        <v>51271</v>
      </c>
      <c r="C3057" s="32">
        <f>INDEX('Input Data'!$B:$B,A3057)/2+IF(A3057&lt;&gt;A3058,100,0)</f>
        <v>2.3125</v>
      </c>
      <c r="D3057" s="33">
        <f>INDEX('ZCB Curve - Payment Dates'!$D$2:$D$246,MATCH(B3057,'ZCB Curve - Payment Dates'!$A$2:$A$246,0))</f>
        <v>0.50149590020417278</v>
      </c>
      <c r="E3057" s="32">
        <f t="shared" si="47"/>
        <v>1.1597092692221496</v>
      </c>
    </row>
    <row r="3058" spans="1:5" x14ac:dyDescent="0.25">
      <c r="A3058" s="17">
        <v>300</v>
      </c>
      <c r="B3058" s="31">
        <v>51455</v>
      </c>
      <c r="C3058" s="32">
        <f>INDEX('Input Data'!$B:$B,A3058)/2+IF(A3058&lt;&gt;A3059,100,0)</f>
        <v>2.3125</v>
      </c>
      <c r="D3058" s="33">
        <f>INDEX('ZCB Curve - Payment Dates'!$D$2:$D$246,MATCH(B3058,'ZCB Curve - Payment Dates'!$A$2:$A$246,0))</f>
        <v>0.48647538074270091</v>
      </c>
      <c r="E3058" s="32">
        <f t="shared" si="47"/>
        <v>1.1249743179674958</v>
      </c>
    </row>
    <row r="3059" spans="1:5" x14ac:dyDescent="0.25">
      <c r="A3059" s="17">
        <v>300</v>
      </c>
      <c r="B3059" s="31">
        <v>51636</v>
      </c>
      <c r="C3059" s="32">
        <f>INDEX('Input Data'!$B:$B,A3059)/2+IF(A3059&lt;&gt;A3060,100,0)</f>
        <v>2.3125</v>
      </c>
      <c r="D3059" s="33">
        <f>INDEX('ZCB Curve - Payment Dates'!$D$2:$D$246,MATCH(B3059,'ZCB Curve - Payment Dates'!$A$2:$A$246,0))</f>
        <v>0.47204918703719451</v>
      </c>
      <c r="E3059" s="32">
        <f t="shared" si="47"/>
        <v>1.0916137450235124</v>
      </c>
    </row>
    <row r="3060" spans="1:5" x14ac:dyDescent="0.25">
      <c r="A3060" s="17">
        <v>300</v>
      </c>
      <c r="B3060" s="31">
        <v>51820</v>
      </c>
      <c r="C3060" s="32">
        <f>INDEX('Input Data'!$B:$B,A3060)/2+IF(A3060&lt;&gt;A3061,100,0)</f>
        <v>2.3125</v>
      </c>
      <c r="D3060" s="33">
        <f>INDEX('ZCB Curve - Payment Dates'!$D$2:$D$246,MATCH(B3060,'ZCB Curve - Payment Dates'!$A$2:$A$246,0))</f>
        <v>0.45775548669345245</v>
      </c>
      <c r="E3060" s="32">
        <f t="shared" si="47"/>
        <v>1.0585595629786089</v>
      </c>
    </row>
    <row r="3061" spans="1:5" x14ac:dyDescent="0.25">
      <c r="A3061" s="17">
        <v>300</v>
      </c>
      <c r="B3061" s="31">
        <v>52001</v>
      </c>
      <c r="C3061" s="32">
        <f>INDEX('Input Data'!$B:$B,A3061)/2+IF(A3061&lt;&gt;A3062,100,0)</f>
        <v>2.3125</v>
      </c>
      <c r="D3061" s="33">
        <f>INDEX('ZCB Curve - Payment Dates'!$D$2:$D$246,MATCH(B3061,'ZCB Curve - Payment Dates'!$A$2:$A$246,0))</f>
        <v>0.44407192118484318</v>
      </c>
      <c r="E3061" s="32">
        <f t="shared" si="47"/>
        <v>1.0269163177399498</v>
      </c>
    </row>
    <row r="3062" spans="1:5" x14ac:dyDescent="0.25">
      <c r="A3062" s="17">
        <v>300</v>
      </c>
      <c r="B3062" s="31">
        <v>52185</v>
      </c>
      <c r="C3062" s="32">
        <f>INDEX('Input Data'!$B:$B,A3062)/2+IF(A3062&lt;&gt;A3063,100,0)</f>
        <v>2.3125</v>
      </c>
      <c r="D3062" s="33">
        <f>INDEX('ZCB Curve - Payment Dates'!$D$2:$D$246,MATCH(B3062,'ZCB Curve - Payment Dates'!$A$2:$A$246,0))</f>
        <v>0.43055647946672393</v>
      </c>
      <c r="E3062" s="32">
        <f t="shared" si="47"/>
        <v>0.99566185876679913</v>
      </c>
    </row>
    <row r="3063" spans="1:5" x14ac:dyDescent="0.25">
      <c r="A3063" s="17">
        <v>300</v>
      </c>
      <c r="B3063" s="31">
        <v>52366</v>
      </c>
      <c r="C3063" s="32">
        <f>INDEX('Input Data'!$B:$B,A3063)/2+IF(A3063&lt;&gt;A3064,100,0)</f>
        <v>2.3125</v>
      </c>
      <c r="D3063" s="33">
        <f>INDEX('ZCB Curve - Payment Dates'!$D$2:$D$246,MATCH(B3063,'ZCB Curve - Payment Dates'!$A$2:$A$246,0))</f>
        <v>0.41765686229470528</v>
      </c>
      <c r="E3063" s="32">
        <f t="shared" si="47"/>
        <v>0.96583149405650592</v>
      </c>
    </row>
    <row r="3064" spans="1:5" x14ac:dyDescent="0.25">
      <c r="A3064" s="17">
        <v>300</v>
      </c>
      <c r="B3064" s="31">
        <v>52550</v>
      </c>
      <c r="C3064" s="32">
        <f>INDEX('Input Data'!$B:$B,A3064)/2+IF(A3064&lt;&gt;A3065,100,0)</f>
        <v>2.3125</v>
      </c>
      <c r="D3064" s="33">
        <f>INDEX('ZCB Curve - Payment Dates'!$D$2:$D$246,MATCH(B3064,'ZCB Curve - Payment Dates'!$A$2:$A$246,0))</f>
        <v>0.40495237741553414</v>
      </c>
      <c r="E3064" s="32">
        <f t="shared" si="47"/>
        <v>0.93645237277342264</v>
      </c>
    </row>
    <row r="3065" spans="1:5" x14ac:dyDescent="0.25">
      <c r="A3065" s="17">
        <v>300</v>
      </c>
      <c r="B3065" s="31">
        <v>52732</v>
      </c>
      <c r="C3065" s="32">
        <f>INDEX('Input Data'!$B:$B,A3065)/2+IF(A3065&lt;&gt;A3066,100,0)</f>
        <v>2.3125</v>
      </c>
      <c r="D3065" s="33">
        <f>INDEX('ZCB Curve - Payment Dates'!$D$2:$D$246,MATCH(B3065,'ZCB Curve - Payment Dates'!$A$2:$A$246,0))</f>
        <v>0.3927952920896523</v>
      </c>
      <c r="E3065" s="32">
        <f t="shared" si="47"/>
        <v>0.90833911295732095</v>
      </c>
    </row>
    <row r="3066" spans="1:5" x14ac:dyDescent="0.25">
      <c r="A3066" s="17">
        <v>300</v>
      </c>
      <c r="B3066" s="31">
        <v>52916</v>
      </c>
      <c r="C3066" s="32">
        <f>INDEX('Input Data'!$B:$B,A3066)/2+IF(A3066&lt;&gt;A3067,100,0)</f>
        <v>102.3125</v>
      </c>
      <c r="D3066" s="33">
        <f>INDEX('ZCB Curve - Payment Dates'!$D$2:$D$246,MATCH(B3066,'ZCB Curve - Payment Dates'!$A$2:$A$246,0))</f>
        <v>0.38091684361752687</v>
      </c>
      <c r="E3066" s="32">
        <f t="shared" si="47"/>
        <v>38.972554562618221</v>
      </c>
    </row>
    <row r="3067" spans="1:5" x14ac:dyDescent="0.25">
      <c r="A3067" s="17">
        <v>301</v>
      </c>
      <c r="B3067" s="31">
        <v>46433</v>
      </c>
      <c r="C3067" s="32">
        <f>INDEX('Input Data'!$B:$B,A3067)/2+IF(A3067&lt;&gt;A3068,100,0)</f>
        <v>1.25</v>
      </c>
      <c r="D3067" s="33">
        <f>INDEX('ZCB Curve - Payment Dates'!$D$2:$D$246,MATCH(B3067,'ZCB Curve - Payment Dates'!$A$2:$A$246,0))</f>
        <v>0.98242671792446301</v>
      </c>
      <c r="E3067" s="32">
        <f t="shared" si="47"/>
        <v>1.2280333974055788</v>
      </c>
    </row>
    <row r="3068" spans="1:5" x14ac:dyDescent="0.25">
      <c r="A3068" s="17">
        <v>301</v>
      </c>
      <c r="B3068" s="31">
        <v>46614</v>
      </c>
      <c r="C3068" s="32">
        <f>INDEX('Input Data'!$B:$B,A3068)/2+IF(A3068&lt;&gt;A3069,100,0)</f>
        <v>1.25</v>
      </c>
      <c r="D3068" s="33">
        <f>INDEX('ZCB Curve - Payment Dates'!$D$2:$D$246,MATCH(B3068,'ZCB Curve - Payment Dates'!$A$2:$A$246,0))</f>
        <v>0.96187948164765535</v>
      </c>
      <c r="E3068" s="32">
        <f t="shared" si="47"/>
        <v>1.2023493520595692</v>
      </c>
    </row>
    <row r="3069" spans="1:5" x14ac:dyDescent="0.25">
      <c r="A3069" s="17">
        <v>301</v>
      </c>
      <c r="B3069" s="31">
        <v>46798</v>
      </c>
      <c r="C3069" s="32">
        <f>INDEX('Input Data'!$B:$B,A3069)/2+IF(A3069&lt;&gt;A3070,100,0)</f>
        <v>1.25</v>
      </c>
      <c r="D3069" s="33">
        <f>INDEX('ZCB Curve - Payment Dates'!$D$2:$D$246,MATCH(B3069,'ZCB Curve - Payment Dates'!$A$2:$A$246,0))</f>
        <v>0.94049096132648802</v>
      </c>
      <c r="E3069" s="32">
        <f t="shared" si="47"/>
        <v>1.1756137016581101</v>
      </c>
    </row>
    <row r="3070" spans="1:5" x14ac:dyDescent="0.25">
      <c r="A3070" s="17">
        <v>301</v>
      </c>
      <c r="B3070" s="31">
        <v>46980</v>
      </c>
      <c r="C3070" s="32">
        <f>INDEX('Input Data'!$B:$B,A3070)/2+IF(A3070&lt;&gt;A3071,100,0)</f>
        <v>1.25</v>
      </c>
      <c r="D3070" s="33">
        <f>INDEX('ZCB Curve - Payment Dates'!$D$2:$D$246,MATCH(B3070,'ZCB Curve - Payment Dates'!$A$2:$A$246,0))</f>
        <v>0.91931844130238327</v>
      </c>
      <c r="E3070" s="32">
        <f t="shared" si="47"/>
        <v>1.1491480516279791</v>
      </c>
    </row>
    <row r="3071" spans="1:5" x14ac:dyDescent="0.25">
      <c r="A3071" s="17">
        <v>301</v>
      </c>
      <c r="B3071" s="31">
        <v>47164</v>
      </c>
      <c r="C3071" s="32">
        <f>INDEX('Input Data'!$B:$B,A3071)/2+IF(A3071&lt;&gt;A3072,100,0)</f>
        <v>1.25</v>
      </c>
      <c r="D3071" s="33">
        <f>INDEX('ZCB Curve - Payment Dates'!$D$2:$D$246,MATCH(B3071,'ZCB Curve - Payment Dates'!$A$2:$A$246,0))</f>
        <v>0.89817430058086534</v>
      </c>
      <c r="E3071" s="32">
        <f t="shared" si="47"/>
        <v>1.1227178757260816</v>
      </c>
    </row>
    <row r="3072" spans="1:5" x14ac:dyDescent="0.25">
      <c r="A3072" s="17">
        <v>301</v>
      </c>
      <c r="B3072" s="31">
        <v>47345</v>
      </c>
      <c r="C3072" s="32">
        <f>INDEX('Input Data'!$B:$B,A3072)/2+IF(A3072&lt;&gt;A3073,100,0)</f>
        <v>1.25</v>
      </c>
      <c r="D3072" s="33">
        <f>INDEX('ZCB Curve - Payment Dates'!$D$2:$D$246,MATCH(B3072,'ZCB Curve - Payment Dates'!$A$2:$A$246,0))</f>
        <v>0.87778421628860481</v>
      </c>
      <c r="E3072" s="32">
        <f t="shared" si="47"/>
        <v>1.0972302703607559</v>
      </c>
    </row>
    <row r="3073" spans="1:5" x14ac:dyDescent="0.25">
      <c r="A3073" s="17">
        <v>301</v>
      </c>
      <c r="B3073" s="31">
        <v>47529</v>
      </c>
      <c r="C3073" s="32">
        <f>INDEX('Input Data'!$B:$B,A3073)/2+IF(A3073&lt;&gt;A3074,100,0)</f>
        <v>1.25</v>
      </c>
      <c r="D3073" s="33">
        <f>INDEX('ZCB Curve - Payment Dates'!$D$2:$D$246,MATCH(B3073,'ZCB Curve - Payment Dates'!$A$2:$A$246,0))</f>
        <v>0.85751015570959666</v>
      </c>
      <c r="E3073" s="32">
        <f t="shared" si="47"/>
        <v>1.0718876946369957</v>
      </c>
    </row>
    <row r="3074" spans="1:5" x14ac:dyDescent="0.25">
      <c r="A3074" s="17">
        <v>301</v>
      </c>
      <c r="B3074" s="31">
        <v>47710</v>
      </c>
      <c r="C3074" s="32">
        <f>INDEX('Input Data'!$B:$B,A3074)/2+IF(A3074&lt;&gt;A3075,100,0)</f>
        <v>1.25</v>
      </c>
      <c r="D3074" s="33">
        <f>INDEX('ZCB Curve - Payment Dates'!$D$2:$D$246,MATCH(B3074,'ZCB Curve - Payment Dates'!$A$2:$A$246,0))</f>
        <v>0.83802423748211174</v>
      </c>
      <c r="E3074" s="32">
        <f t="shared" ref="E3074:E3137" si="48">C3074*D3074</f>
        <v>1.0475302968526397</v>
      </c>
    </row>
    <row r="3075" spans="1:5" x14ac:dyDescent="0.25">
      <c r="A3075" s="17">
        <v>301</v>
      </c>
      <c r="B3075" s="31">
        <v>47894</v>
      </c>
      <c r="C3075" s="32">
        <f>INDEX('Input Data'!$B:$B,A3075)/2+IF(A3075&lt;&gt;A3076,100,0)</f>
        <v>1.25</v>
      </c>
      <c r="D3075" s="33">
        <f>INDEX('ZCB Curve - Payment Dates'!$D$2:$D$246,MATCH(B3075,'ZCB Curve - Payment Dates'!$A$2:$A$246,0))</f>
        <v>0.8186305474741673</v>
      </c>
      <c r="E3075" s="32">
        <f t="shared" si="48"/>
        <v>1.0232881843427091</v>
      </c>
    </row>
    <row r="3076" spans="1:5" x14ac:dyDescent="0.25">
      <c r="A3076" s="17">
        <v>301</v>
      </c>
      <c r="B3076" s="31">
        <v>48075</v>
      </c>
      <c r="C3076" s="32">
        <f>INDEX('Input Data'!$B:$B,A3076)/2+IF(A3076&lt;&gt;A3077,100,0)</f>
        <v>1.25</v>
      </c>
      <c r="D3076" s="33">
        <f>INDEX('ZCB Curve - Payment Dates'!$D$2:$D$246,MATCH(B3076,'ZCB Curve - Payment Dates'!$A$2:$A$246,0))</f>
        <v>0.7999252334775927</v>
      </c>
      <c r="E3076" s="32">
        <f t="shared" si="48"/>
        <v>0.9999065418469909</v>
      </c>
    </row>
    <row r="3077" spans="1:5" x14ac:dyDescent="0.25">
      <c r="A3077" s="17">
        <v>301</v>
      </c>
      <c r="B3077" s="31">
        <v>48259</v>
      </c>
      <c r="C3077" s="32">
        <f>INDEX('Input Data'!$B:$B,A3077)/2+IF(A3077&lt;&gt;A3078,100,0)</f>
        <v>1.25</v>
      </c>
      <c r="D3077" s="33">
        <f>INDEX('ZCB Curve - Payment Dates'!$D$2:$D$246,MATCH(B3077,'ZCB Curve - Payment Dates'!$A$2:$A$246,0))</f>
        <v>0.78121887027612602</v>
      </c>
      <c r="E3077" s="32">
        <f t="shared" si="48"/>
        <v>0.97652358784515747</v>
      </c>
    </row>
    <row r="3078" spans="1:5" x14ac:dyDescent="0.25">
      <c r="A3078" s="17">
        <v>301</v>
      </c>
      <c r="B3078" s="31">
        <v>48441</v>
      </c>
      <c r="C3078" s="32">
        <f>INDEX('Input Data'!$B:$B,A3078)/2+IF(A3078&lt;&gt;A3079,100,0)</f>
        <v>1.25</v>
      </c>
      <c r="D3078" s="33">
        <f>INDEX('ZCB Curve - Payment Dates'!$D$2:$D$246,MATCH(B3078,'ZCB Curve - Payment Dates'!$A$2:$A$246,0))</f>
        <v>0.76298123459017864</v>
      </c>
      <c r="E3078" s="32">
        <f t="shared" si="48"/>
        <v>0.95372654323772332</v>
      </c>
    </row>
    <row r="3079" spans="1:5" x14ac:dyDescent="0.25">
      <c r="A3079" s="17">
        <v>301</v>
      </c>
      <c r="B3079" s="31">
        <v>48625</v>
      </c>
      <c r="C3079" s="32">
        <f>INDEX('Input Data'!$B:$B,A3079)/2+IF(A3079&lt;&gt;A3080,100,0)</f>
        <v>1.25</v>
      </c>
      <c r="D3079" s="33">
        <f>INDEX('ZCB Curve - Payment Dates'!$D$2:$D$246,MATCH(B3079,'ZCB Curve - Payment Dates'!$A$2:$A$246,0))</f>
        <v>0.74476011611938586</v>
      </c>
      <c r="E3079" s="32">
        <f t="shared" si="48"/>
        <v>0.93095014514923236</v>
      </c>
    </row>
    <row r="3080" spans="1:5" x14ac:dyDescent="0.25">
      <c r="A3080" s="17">
        <v>301</v>
      </c>
      <c r="B3080" s="31">
        <v>48806</v>
      </c>
      <c r="C3080" s="32">
        <f>INDEX('Input Data'!$B:$B,A3080)/2+IF(A3080&lt;&gt;A3081,100,0)</f>
        <v>1.25</v>
      </c>
      <c r="D3080" s="33">
        <f>INDEX('ZCB Curve - Payment Dates'!$D$2:$D$246,MATCH(B3080,'ZCB Curve - Payment Dates'!$A$2:$A$246,0))</f>
        <v>0.72701302496114584</v>
      </c>
      <c r="E3080" s="32">
        <f t="shared" si="48"/>
        <v>0.90876628120143232</v>
      </c>
    </row>
    <row r="3081" spans="1:5" x14ac:dyDescent="0.25">
      <c r="A3081" s="17">
        <v>301</v>
      </c>
      <c r="B3081" s="31">
        <v>48990</v>
      </c>
      <c r="C3081" s="32">
        <f>INDEX('Input Data'!$B:$B,A3081)/2+IF(A3081&lt;&gt;A3082,100,0)</f>
        <v>1.25</v>
      </c>
      <c r="D3081" s="33">
        <f>INDEX('ZCB Curve - Payment Dates'!$D$2:$D$246,MATCH(B3081,'ZCB Curve - Payment Dates'!$A$2:$A$246,0))</f>
        <v>0.70912647031380449</v>
      </c>
      <c r="E3081" s="32">
        <f t="shared" si="48"/>
        <v>0.88640808789225556</v>
      </c>
    </row>
    <row r="3082" spans="1:5" x14ac:dyDescent="0.25">
      <c r="A3082" s="17">
        <v>301</v>
      </c>
      <c r="B3082" s="31">
        <v>49171</v>
      </c>
      <c r="C3082" s="32">
        <f>INDEX('Input Data'!$B:$B,A3082)/2+IF(A3082&lt;&gt;A3083,100,0)</f>
        <v>1.25</v>
      </c>
      <c r="D3082" s="33">
        <f>INDEX('ZCB Curve - Payment Dates'!$D$2:$D$246,MATCH(B3082,'ZCB Curve - Payment Dates'!$A$2:$A$246,0))</f>
        <v>0.6916661505723215</v>
      </c>
      <c r="E3082" s="32">
        <f t="shared" si="48"/>
        <v>0.86458268821540185</v>
      </c>
    </row>
    <row r="3083" spans="1:5" x14ac:dyDescent="0.25">
      <c r="A3083" s="17">
        <v>301</v>
      </c>
      <c r="B3083" s="31">
        <v>49355</v>
      </c>
      <c r="C3083" s="32">
        <f>INDEX('Input Data'!$B:$B,A3083)/2+IF(A3083&lt;&gt;A3084,100,0)</f>
        <v>1.25</v>
      </c>
      <c r="D3083" s="33">
        <f>INDEX('ZCB Curve - Payment Dates'!$D$2:$D$246,MATCH(B3083,'ZCB Curve - Payment Dates'!$A$2:$A$246,0))</f>
        <v>0.674047377898778</v>
      </c>
      <c r="E3083" s="32">
        <f t="shared" si="48"/>
        <v>0.84255922237347247</v>
      </c>
    </row>
    <row r="3084" spans="1:5" x14ac:dyDescent="0.25">
      <c r="A3084" s="17">
        <v>301</v>
      </c>
      <c r="B3084" s="31">
        <v>49536</v>
      </c>
      <c r="C3084" s="32">
        <f>INDEX('Input Data'!$B:$B,A3084)/2+IF(A3084&lt;&gt;A3085,100,0)</f>
        <v>1.25</v>
      </c>
      <c r="D3084" s="33">
        <f>INDEX('ZCB Curve - Payment Dates'!$D$2:$D$246,MATCH(B3084,'ZCB Curve - Payment Dates'!$A$2:$A$246,0))</f>
        <v>0.65684432300638129</v>
      </c>
      <c r="E3084" s="32">
        <f t="shared" si="48"/>
        <v>0.82105540375797659</v>
      </c>
    </row>
    <row r="3085" spans="1:5" x14ac:dyDescent="0.25">
      <c r="A3085" s="17">
        <v>301</v>
      </c>
      <c r="B3085" s="31">
        <v>49720</v>
      </c>
      <c r="C3085" s="32">
        <f>INDEX('Input Data'!$B:$B,A3085)/2+IF(A3085&lt;&gt;A3086,100,0)</f>
        <v>1.25</v>
      </c>
      <c r="D3085" s="33">
        <f>INDEX('ZCB Curve - Payment Dates'!$D$2:$D$246,MATCH(B3085,'ZCB Curve - Payment Dates'!$A$2:$A$246,0))</f>
        <v>0.63949604524993764</v>
      </c>
      <c r="E3085" s="32">
        <f t="shared" si="48"/>
        <v>0.79937005656242199</v>
      </c>
    </row>
    <row r="3086" spans="1:5" x14ac:dyDescent="0.25">
      <c r="A3086" s="17">
        <v>301</v>
      </c>
      <c r="B3086" s="31">
        <v>49902</v>
      </c>
      <c r="C3086" s="32">
        <f>INDEX('Input Data'!$B:$B,A3086)/2+IF(A3086&lt;&gt;A3087,100,0)</f>
        <v>1.25</v>
      </c>
      <c r="D3086" s="33">
        <f>INDEX('ZCB Curve - Payment Dates'!$D$2:$D$246,MATCH(B3086,'ZCB Curve - Payment Dates'!$A$2:$A$246,0))</f>
        <v>0.62248862376822711</v>
      </c>
      <c r="E3086" s="32">
        <f t="shared" si="48"/>
        <v>0.77811077971028386</v>
      </c>
    </row>
    <row r="3087" spans="1:5" x14ac:dyDescent="0.25">
      <c r="A3087" s="17">
        <v>301</v>
      </c>
      <c r="B3087" s="31">
        <v>50086</v>
      </c>
      <c r="C3087" s="32">
        <f>INDEX('Input Data'!$B:$B,A3087)/2+IF(A3087&lt;&gt;A3088,100,0)</f>
        <v>1.25</v>
      </c>
      <c r="D3087" s="33">
        <f>INDEX('ZCB Curve - Payment Dates'!$D$2:$D$246,MATCH(B3087,'ZCB Curve - Payment Dates'!$A$2:$A$246,0))</f>
        <v>0.60546490876014969</v>
      </c>
      <c r="E3087" s="32">
        <f t="shared" si="48"/>
        <v>0.75683113595018714</v>
      </c>
    </row>
    <row r="3088" spans="1:5" x14ac:dyDescent="0.25">
      <c r="A3088" s="17">
        <v>301</v>
      </c>
      <c r="B3088" s="31">
        <v>50267</v>
      </c>
      <c r="C3088" s="32">
        <f>INDEX('Input Data'!$B:$B,A3088)/2+IF(A3088&lt;&gt;A3089,100,0)</f>
        <v>1.25</v>
      </c>
      <c r="D3088" s="33">
        <f>INDEX('ZCB Curve - Payment Dates'!$D$2:$D$246,MATCH(B3088,'ZCB Curve - Payment Dates'!$A$2:$A$246,0))</f>
        <v>0.58890683803346977</v>
      </c>
      <c r="E3088" s="32">
        <f t="shared" si="48"/>
        <v>0.73613354754183724</v>
      </c>
    </row>
    <row r="3089" spans="1:5" x14ac:dyDescent="0.25">
      <c r="A3089" s="17">
        <v>301</v>
      </c>
      <c r="B3089" s="31">
        <v>50451</v>
      </c>
      <c r="C3089" s="32">
        <f>INDEX('Input Data'!$B:$B,A3089)/2+IF(A3089&lt;&gt;A3090,100,0)</f>
        <v>1.25</v>
      </c>
      <c r="D3089" s="33">
        <f>INDEX('ZCB Curve - Payment Dates'!$D$2:$D$246,MATCH(B3089,'ZCB Curve - Payment Dates'!$A$2:$A$246,0))</f>
        <v>0.57228983695479263</v>
      </c>
      <c r="E3089" s="32">
        <f t="shared" si="48"/>
        <v>0.71536229619349079</v>
      </c>
    </row>
    <row r="3090" spans="1:5" x14ac:dyDescent="0.25">
      <c r="A3090" s="17">
        <v>301</v>
      </c>
      <c r="B3090" s="31">
        <v>50632</v>
      </c>
      <c r="C3090" s="32">
        <f>INDEX('Input Data'!$B:$B,A3090)/2+IF(A3090&lt;&gt;A3091,100,0)</f>
        <v>1.25</v>
      </c>
      <c r="D3090" s="33">
        <f>INDEX('ZCB Curve - Payment Dates'!$D$2:$D$246,MATCH(B3090,'ZCB Curve - Payment Dates'!$A$2:$A$246,0))</f>
        <v>0.55617795699202288</v>
      </c>
      <c r="E3090" s="32">
        <f t="shared" si="48"/>
        <v>0.6952224462400286</v>
      </c>
    </row>
    <row r="3091" spans="1:5" x14ac:dyDescent="0.25">
      <c r="A3091" s="17">
        <v>301</v>
      </c>
      <c r="B3091" s="31">
        <v>50816</v>
      </c>
      <c r="C3091" s="32">
        <f>INDEX('Input Data'!$B:$B,A3091)/2+IF(A3091&lt;&gt;A3092,100,0)</f>
        <v>1.25</v>
      </c>
      <c r="D3091" s="33">
        <f>INDEX('ZCB Curve - Payment Dates'!$D$2:$D$246,MATCH(B3091,'ZCB Curve - Payment Dates'!$A$2:$A$246,0))</f>
        <v>0.54006240951211237</v>
      </c>
      <c r="E3091" s="32">
        <f t="shared" si="48"/>
        <v>0.67507801189014049</v>
      </c>
    </row>
    <row r="3092" spans="1:5" x14ac:dyDescent="0.25">
      <c r="A3092" s="17">
        <v>301</v>
      </c>
      <c r="B3092" s="31">
        <v>50997</v>
      </c>
      <c r="C3092" s="32">
        <f>INDEX('Input Data'!$B:$B,A3092)/2+IF(A3092&lt;&gt;A3093,100,0)</f>
        <v>1.25</v>
      </c>
      <c r="D3092" s="33">
        <f>INDEX('ZCB Curve - Payment Dates'!$D$2:$D$246,MATCH(B3092,'ZCB Curve - Payment Dates'!$A$2:$A$246,0))</f>
        <v>0.52449040173194583</v>
      </c>
      <c r="E3092" s="32">
        <f t="shared" si="48"/>
        <v>0.65561300216493223</v>
      </c>
    </row>
    <row r="3093" spans="1:5" x14ac:dyDescent="0.25">
      <c r="A3093" s="17">
        <v>301</v>
      </c>
      <c r="B3093" s="31">
        <v>51181</v>
      </c>
      <c r="C3093" s="32">
        <f>INDEX('Input Data'!$B:$B,A3093)/2+IF(A3093&lt;&gt;A3094,100,0)</f>
        <v>1.25</v>
      </c>
      <c r="D3093" s="33">
        <f>INDEX('ZCB Curve - Payment Dates'!$D$2:$D$246,MATCH(B3093,'ZCB Curve - Payment Dates'!$A$2:$A$246,0))</f>
        <v>0.5089691698468306</v>
      </c>
      <c r="E3093" s="32">
        <f t="shared" si="48"/>
        <v>0.6362114623085382</v>
      </c>
    </row>
    <row r="3094" spans="1:5" x14ac:dyDescent="0.25">
      <c r="A3094" s="17">
        <v>301</v>
      </c>
      <c r="B3094" s="31">
        <v>51363</v>
      </c>
      <c r="C3094" s="32">
        <f>INDEX('Input Data'!$B:$B,A3094)/2+IF(A3094&lt;&gt;A3095,100,0)</f>
        <v>1.25</v>
      </c>
      <c r="D3094" s="33">
        <f>INDEX('ZCB Curve - Payment Dates'!$D$2:$D$246,MATCH(B3094,'ZCB Curve - Payment Dates'!$A$2:$A$246,0))</f>
        <v>0.49394036022330806</v>
      </c>
      <c r="E3094" s="32">
        <f t="shared" si="48"/>
        <v>0.61742545027913509</v>
      </c>
    </row>
    <row r="3095" spans="1:5" x14ac:dyDescent="0.25">
      <c r="A3095" s="17">
        <v>301</v>
      </c>
      <c r="B3095" s="31">
        <v>51547</v>
      </c>
      <c r="C3095" s="32">
        <f>INDEX('Input Data'!$B:$B,A3095)/2+IF(A3095&lt;&gt;A3096,100,0)</f>
        <v>1.25</v>
      </c>
      <c r="D3095" s="33">
        <f>INDEX('ZCB Curve - Payment Dates'!$D$2:$D$246,MATCH(B3095,'ZCB Curve - Payment Dates'!$A$2:$A$246,0))</f>
        <v>0.47909718957588998</v>
      </c>
      <c r="E3095" s="32">
        <f t="shared" si="48"/>
        <v>0.59887148696986248</v>
      </c>
    </row>
    <row r="3096" spans="1:5" x14ac:dyDescent="0.25">
      <c r="A3096" s="17">
        <v>301</v>
      </c>
      <c r="B3096" s="31">
        <v>51728</v>
      </c>
      <c r="C3096" s="32">
        <f>INDEX('Input Data'!$B:$B,A3096)/2+IF(A3096&lt;&gt;A3097,100,0)</f>
        <v>1.25</v>
      </c>
      <c r="D3096" s="33">
        <f>INDEX('ZCB Curve - Payment Dates'!$D$2:$D$246,MATCH(B3096,'ZCB Curve - Payment Dates'!$A$2:$A$246,0))</f>
        <v>0.46485329459616059</v>
      </c>
      <c r="E3096" s="32">
        <f t="shared" si="48"/>
        <v>0.58106661824520078</v>
      </c>
    </row>
    <row r="3097" spans="1:5" x14ac:dyDescent="0.25">
      <c r="A3097" s="17">
        <v>301</v>
      </c>
      <c r="B3097" s="31">
        <v>51912</v>
      </c>
      <c r="C3097" s="32">
        <f>INDEX('Input Data'!$B:$B,A3097)/2+IF(A3097&lt;&gt;A3098,100,0)</f>
        <v>1.25</v>
      </c>
      <c r="D3097" s="33">
        <f>INDEX('ZCB Curve - Payment Dates'!$D$2:$D$246,MATCH(B3097,'ZCB Curve - Payment Dates'!$A$2:$A$246,0))</f>
        <v>0.45075168915212815</v>
      </c>
      <c r="E3097" s="32">
        <f t="shared" si="48"/>
        <v>0.56343961144016019</v>
      </c>
    </row>
    <row r="3098" spans="1:5" x14ac:dyDescent="0.25">
      <c r="A3098" s="17">
        <v>301</v>
      </c>
      <c r="B3098" s="31">
        <v>52093</v>
      </c>
      <c r="C3098" s="32">
        <f>INDEX('Input Data'!$B:$B,A3098)/2+IF(A3098&lt;&gt;A3099,100,0)</f>
        <v>1.25</v>
      </c>
      <c r="D3098" s="33">
        <f>INDEX('ZCB Curve - Payment Dates'!$D$2:$D$246,MATCH(B3098,'ZCB Curve - Payment Dates'!$A$2:$A$246,0))</f>
        <v>0.43726259018094221</v>
      </c>
      <c r="E3098" s="32">
        <f t="shared" si="48"/>
        <v>0.54657823772617775</v>
      </c>
    </row>
    <row r="3099" spans="1:5" x14ac:dyDescent="0.25">
      <c r="A3099" s="17">
        <v>301</v>
      </c>
      <c r="B3099" s="31">
        <v>52277</v>
      </c>
      <c r="C3099" s="32">
        <f>INDEX('Input Data'!$B:$B,A3099)/2+IF(A3099&lt;&gt;A3100,100,0)</f>
        <v>1.25</v>
      </c>
      <c r="D3099" s="33">
        <f>INDEX('ZCB Curve - Payment Dates'!$D$2:$D$246,MATCH(B3099,'ZCB Curve - Payment Dates'!$A$2:$A$246,0))</f>
        <v>0.4239492285351204</v>
      </c>
      <c r="E3099" s="32">
        <f t="shared" si="48"/>
        <v>0.52993653566890053</v>
      </c>
    </row>
    <row r="3100" spans="1:5" x14ac:dyDescent="0.25">
      <c r="A3100" s="17">
        <v>301</v>
      </c>
      <c r="B3100" s="31">
        <v>52458</v>
      </c>
      <c r="C3100" s="32">
        <f>INDEX('Input Data'!$B:$B,A3100)/2+IF(A3100&lt;&gt;A3101,100,0)</f>
        <v>1.25</v>
      </c>
      <c r="D3100" s="33">
        <f>INDEX('ZCB Curve - Payment Dates'!$D$2:$D$246,MATCH(B3100,'ZCB Curve - Payment Dates'!$A$2:$A$246,0))</f>
        <v>0.4112516019468152</v>
      </c>
      <c r="E3100" s="32">
        <f t="shared" si="48"/>
        <v>0.51406450243351898</v>
      </c>
    </row>
    <row r="3101" spans="1:5" x14ac:dyDescent="0.25">
      <c r="A3101" s="17">
        <v>301</v>
      </c>
      <c r="B3101" s="31">
        <v>52642</v>
      </c>
      <c r="C3101" s="32">
        <f>INDEX('Input Data'!$B:$B,A3101)/2+IF(A3101&lt;&gt;A3102,100,0)</f>
        <v>1.25</v>
      </c>
      <c r="D3101" s="33">
        <f>INDEX('ZCB Curve - Payment Dates'!$D$2:$D$246,MATCH(B3101,'ZCB Curve - Payment Dates'!$A$2:$A$246,0))</f>
        <v>0.39875459879352759</v>
      </c>
      <c r="E3101" s="32">
        <f t="shared" si="48"/>
        <v>0.49844324849190946</v>
      </c>
    </row>
    <row r="3102" spans="1:5" x14ac:dyDescent="0.25">
      <c r="A3102" s="17">
        <v>301</v>
      </c>
      <c r="B3102" s="31">
        <v>52824</v>
      </c>
      <c r="C3102" s="32">
        <f>INDEX('Input Data'!$B:$B,A3102)/2+IF(A3102&lt;&gt;A3103,100,0)</f>
        <v>1.25</v>
      </c>
      <c r="D3102" s="33">
        <f>INDEX('ZCB Curve - Payment Dates'!$D$2:$D$246,MATCH(B3102,'ZCB Curve - Payment Dates'!$A$2:$A$246,0))</f>
        <v>0.38680384560622083</v>
      </c>
      <c r="E3102" s="32">
        <f t="shared" si="48"/>
        <v>0.48350480700777604</v>
      </c>
    </row>
    <row r="3103" spans="1:5" x14ac:dyDescent="0.25">
      <c r="A3103" s="17">
        <v>301</v>
      </c>
      <c r="B3103" s="31">
        <v>53008</v>
      </c>
      <c r="C3103" s="32">
        <f>INDEX('Input Data'!$B:$B,A3103)/2+IF(A3103&lt;&gt;A3104,100,0)</f>
        <v>101.25</v>
      </c>
      <c r="D3103" s="33">
        <f>INDEX('ZCB Curve - Payment Dates'!$D$2:$D$246,MATCH(B3103,'ZCB Curve - Payment Dates'!$A$2:$A$246,0))</f>
        <v>0.37513648791915083</v>
      </c>
      <c r="E3103" s="32">
        <f t="shared" si="48"/>
        <v>37.982569401814018</v>
      </c>
    </row>
    <row r="3104" spans="1:5" x14ac:dyDescent="0.25">
      <c r="A3104" s="17">
        <v>302</v>
      </c>
      <c r="B3104" s="31">
        <v>46433</v>
      </c>
      <c r="C3104" s="32">
        <f>INDEX('Input Data'!$B:$B,A3104)/2+IF(A3104&lt;&gt;A3105,100,0)</f>
        <v>2.375</v>
      </c>
      <c r="D3104" s="33">
        <f>INDEX('ZCB Curve - Payment Dates'!$D$2:$D$246,MATCH(B3104,'ZCB Curve - Payment Dates'!$A$2:$A$246,0))</f>
        <v>0.98242671792446301</v>
      </c>
      <c r="E3104" s="32">
        <f t="shared" si="48"/>
        <v>2.3332634550705995</v>
      </c>
    </row>
    <row r="3105" spans="1:5" x14ac:dyDescent="0.25">
      <c r="A3105" s="17">
        <v>302</v>
      </c>
      <c r="B3105" s="31">
        <v>46614</v>
      </c>
      <c r="C3105" s="32">
        <f>INDEX('Input Data'!$B:$B,A3105)/2+IF(A3105&lt;&gt;A3106,100,0)</f>
        <v>2.375</v>
      </c>
      <c r="D3105" s="33">
        <f>INDEX('ZCB Curve - Payment Dates'!$D$2:$D$246,MATCH(B3105,'ZCB Curve - Payment Dates'!$A$2:$A$246,0))</f>
        <v>0.96187948164765535</v>
      </c>
      <c r="E3105" s="32">
        <f t="shared" si="48"/>
        <v>2.2844637689131813</v>
      </c>
    </row>
    <row r="3106" spans="1:5" x14ac:dyDescent="0.25">
      <c r="A3106" s="17">
        <v>302</v>
      </c>
      <c r="B3106" s="31">
        <v>46798</v>
      </c>
      <c r="C3106" s="32">
        <f>INDEX('Input Data'!$B:$B,A3106)/2+IF(A3106&lt;&gt;A3107,100,0)</f>
        <v>2.375</v>
      </c>
      <c r="D3106" s="33">
        <f>INDEX('ZCB Curve - Payment Dates'!$D$2:$D$246,MATCH(B3106,'ZCB Curve - Payment Dates'!$A$2:$A$246,0))</f>
        <v>0.94049096132648802</v>
      </c>
      <c r="E3106" s="32">
        <f t="shared" si="48"/>
        <v>2.233666033150409</v>
      </c>
    </row>
    <row r="3107" spans="1:5" x14ac:dyDescent="0.25">
      <c r="A3107" s="17">
        <v>302</v>
      </c>
      <c r="B3107" s="31">
        <v>46980</v>
      </c>
      <c r="C3107" s="32">
        <f>INDEX('Input Data'!$B:$B,A3107)/2+IF(A3107&lt;&gt;A3108,100,0)</f>
        <v>2.375</v>
      </c>
      <c r="D3107" s="33">
        <f>INDEX('ZCB Curve - Payment Dates'!$D$2:$D$246,MATCH(B3107,'ZCB Curve - Payment Dates'!$A$2:$A$246,0))</f>
        <v>0.91931844130238327</v>
      </c>
      <c r="E3107" s="32">
        <f t="shared" si="48"/>
        <v>2.1833812980931602</v>
      </c>
    </row>
    <row r="3108" spans="1:5" x14ac:dyDescent="0.25">
      <c r="A3108" s="17">
        <v>302</v>
      </c>
      <c r="B3108" s="31">
        <v>47164</v>
      </c>
      <c r="C3108" s="32">
        <f>INDEX('Input Data'!$B:$B,A3108)/2+IF(A3108&lt;&gt;A3109,100,0)</f>
        <v>2.375</v>
      </c>
      <c r="D3108" s="33">
        <f>INDEX('ZCB Curve - Payment Dates'!$D$2:$D$246,MATCH(B3108,'ZCB Curve - Payment Dates'!$A$2:$A$246,0))</f>
        <v>0.89817430058086534</v>
      </c>
      <c r="E3108" s="32">
        <f t="shared" si="48"/>
        <v>2.133163963879555</v>
      </c>
    </row>
    <row r="3109" spans="1:5" x14ac:dyDescent="0.25">
      <c r="A3109" s="17">
        <v>302</v>
      </c>
      <c r="B3109" s="31">
        <v>47345</v>
      </c>
      <c r="C3109" s="32">
        <f>INDEX('Input Data'!$B:$B,A3109)/2+IF(A3109&lt;&gt;A3110,100,0)</f>
        <v>2.375</v>
      </c>
      <c r="D3109" s="33">
        <f>INDEX('ZCB Curve - Payment Dates'!$D$2:$D$246,MATCH(B3109,'ZCB Curve - Payment Dates'!$A$2:$A$246,0))</f>
        <v>0.87778421628860481</v>
      </c>
      <c r="E3109" s="32">
        <f t="shared" si="48"/>
        <v>2.0847375136854365</v>
      </c>
    </row>
    <row r="3110" spans="1:5" x14ac:dyDescent="0.25">
      <c r="A3110" s="17">
        <v>302</v>
      </c>
      <c r="B3110" s="31">
        <v>47529</v>
      </c>
      <c r="C3110" s="32">
        <f>INDEX('Input Data'!$B:$B,A3110)/2+IF(A3110&lt;&gt;A3111,100,0)</f>
        <v>2.375</v>
      </c>
      <c r="D3110" s="33">
        <f>INDEX('ZCB Curve - Payment Dates'!$D$2:$D$246,MATCH(B3110,'ZCB Curve - Payment Dates'!$A$2:$A$246,0))</f>
        <v>0.85751015570959666</v>
      </c>
      <c r="E3110" s="32">
        <f t="shared" si="48"/>
        <v>2.0365866198102922</v>
      </c>
    </row>
    <row r="3111" spans="1:5" x14ac:dyDescent="0.25">
      <c r="A3111" s="17">
        <v>302</v>
      </c>
      <c r="B3111" s="31">
        <v>47710</v>
      </c>
      <c r="C3111" s="32">
        <f>INDEX('Input Data'!$B:$B,A3111)/2+IF(A3111&lt;&gt;A3112,100,0)</f>
        <v>2.375</v>
      </c>
      <c r="D3111" s="33">
        <f>INDEX('ZCB Curve - Payment Dates'!$D$2:$D$246,MATCH(B3111,'ZCB Curve - Payment Dates'!$A$2:$A$246,0))</f>
        <v>0.83802423748211174</v>
      </c>
      <c r="E3111" s="32">
        <f t="shared" si="48"/>
        <v>1.9903075640200154</v>
      </c>
    </row>
    <row r="3112" spans="1:5" x14ac:dyDescent="0.25">
      <c r="A3112" s="17">
        <v>302</v>
      </c>
      <c r="B3112" s="31">
        <v>47894</v>
      </c>
      <c r="C3112" s="32">
        <f>INDEX('Input Data'!$B:$B,A3112)/2+IF(A3112&lt;&gt;A3113,100,0)</f>
        <v>2.375</v>
      </c>
      <c r="D3112" s="33">
        <f>INDEX('ZCB Curve - Payment Dates'!$D$2:$D$246,MATCH(B3112,'ZCB Curve - Payment Dates'!$A$2:$A$246,0))</f>
        <v>0.8186305474741673</v>
      </c>
      <c r="E3112" s="32">
        <f t="shared" si="48"/>
        <v>1.9442475502511474</v>
      </c>
    </row>
    <row r="3113" spans="1:5" x14ac:dyDescent="0.25">
      <c r="A3113" s="17">
        <v>302</v>
      </c>
      <c r="B3113" s="31">
        <v>48075</v>
      </c>
      <c r="C3113" s="32">
        <f>INDEX('Input Data'!$B:$B,A3113)/2+IF(A3113&lt;&gt;A3114,100,0)</f>
        <v>2.375</v>
      </c>
      <c r="D3113" s="33">
        <f>INDEX('ZCB Curve - Payment Dates'!$D$2:$D$246,MATCH(B3113,'ZCB Curve - Payment Dates'!$A$2:$A$246,0))</f>
        <v>0.7999252334775927</v>
      </c>
      <c r="E3113" s="32">
        <f t="shared" si="48"/>
        <v>1.8998224295092827</v>
      </c>
    </row>
    <row r="3114" spans="1:5" x14ac:dyDescent="0.25">
      <c r="A3114" s="17">
        <v>302</v>
      </c>
      <c r="B3114" s="31">
        <v>48259</v>
      </c>
      <c r="C3114" s="32">
        <f>INDEX('Input Data'!$B:$B,A3114)/2+IF(A3114&lt;&gt;A3115,100,0)</f>
        <v>2.375</v>
      </c>
      <c r="D3114" s="33">
        <f>INDEX('ZCB Curve - Payment Dates'!$D$2:$D$246,MATCH(B3114,'ZCB Curve - Payment Dates'!$A$2:$A$246,0))</f>
        <v>0.78121887027612602</v>
      </c>
      <c r="E3114" s="32">
        <f t="shared" si="48"/>
        <v>1.8553948169057992</v>
      </c>
    </row>
    <row r="3115" spans="1:5" x14ac:dyDescent="0.25">
      <c r="A3115" s="17">
        <v>302</v>
      </c>
      <c r="B3115" s="31">
        <v>48441</v>
      </c>
      <c r="C3115" s="32">
        <f>INDEX('Input Data'!$B:$B,A3115)/2+IF(A3115&lt;&gt;A3116,100,0)</f>
        <v>2.375</v>
      </c>
      <c r="D3115" s="33">
        <f>INDEX('ZCB Curve - Payment Dates'!$D$2:$D$246,MATCH(B3115,'ZCB Curve - Payment Dates'!$A$2:$A$246,0))</f>
        <v>0.76298123459017864</v>
      </c>
      <c r="E3115" s="32">
        <f t="shared" si="48"/>
        <v>1.8120804321516744</v>
      </c>
    </row>
    <row r="3116" spans="1:5" x14ac:dyDescent="0.25">
      <c r="A3116" s="17">
        <v>302</v>
      </c>
      <c r="B3116" s="31">
        <v>48625</v>
      </c>
      <c r="C3116" s="32">
        <f>INDEX('Input Data'!$B:$B,A3116)/2+IF(A3116&lt;&gt;A3117,100,0)</f>
        <v>2.375</v>
      </c>
      <c r="D3116" s="33">
        <f>INDEX('ZCB Curve - Payment Dates'!$D$2:$D$246,MATCH(B3116,'ZCB Curve - Payment Dates'!$A$2:$A$246,0))</f>
        <v>0.74476011611938586</v>
      </c>
      <c r="E3116" s="32">
        <f t="shared" si="48"/>
        <v>1.7688052757835415</v>
      </c>
    </row>
    <row r="3117" spans="1:5" x14ac:dyDescent="0.25">
      <c r="A3117" s="17">
        <v>302</v>
      </c>
      <c r="B3117" s="31">
        <v>48806</v>
      </c>
      <c r="C3117" s="32">
        <f>INDEX('Input Data'!$B:$B,A3117)/2+IF(A3117&lt;&gt;A3118,100,0)</f>
        <v>2.375</v>
      </c>
      <c r="D3117" s="33">
        <f>INDEX('ZCB Curve - Payment Dates'!$D$2:$D$246,MATCH(B3117,'ZCB Curve - Payment Dates'!$A$2:$A$246,0))</f>
        <v>0.72701302496114584</v>
      </c>
      <c r="E3117" s="32">
        <f t="shared" si="48"/>
        <v>1.7266559342827215</v>
      </c>
    </row>
    <row r="3118" spans="1:5" x14ac:dyDescent="0.25">
      <c r="A3118" s="17">
        <v>302</v>
      </c>
      <c r="B3118" s="31">
        <v>48990</v>
      </c>
      <c r="C3118" s="32">
        <f>INDEX('Input Data'!$B:$B,A3118)/2+IF(A3118&lt;&gt;A3119,100,0)</f>
        <v>2.375</v>
      </c>
      <c r="D3118" s="33">
        <f>INDEX('ZCB Curve - Payment Dates'!$D$2:$D$246,MATCH(B3118,'ZCB Curve - Payment Dates'!$A$2:$A$246,0))</f>
        <v>0.70912647031380449</v>
      </c>
      <c r="E3118" s="32">
        <f t="shared" si="48"/>
        <v>1.6841753669952857</v>
      </c>
    </row>
    <row r="3119" spans="1:5" x14ac:dyDescent="0.25">
      <c r="A3119" s="17">
        <v>302</v>
      </c>
      <c r="B3119" s="31">
        <v>49171</v>
      </c>
      <c r="C3119" s="32">
        <f>INDEX('Input Data'!$B:$B,A3119)/2+IF(A3119&lt;&gt;A3120,100,0)</f>
        <v>2.375</v>
      </c>
      <c r="D3119" s="33">
        <f>INDEX('ZCB Curve - Payment Dates'!$D$2:$D$246,MATCH(B3119,'ZCB Curve - Payment Dates'!$A$2:$A$246,0))</f>
        <v>0.6916661505723215</v>
      </c>
      <c r="E3119" s="32">
        <f t="shared" si="48"/>
        <v>1.6427071076092636</v>
      </c>
    </row>
    <row r="3120" spans="1:5" x14ac:dyDescent="0.25">
      <c r="A3120" s="17">
        <v>302</v>
      </c>
      <c r="B3120" s="31">
        <v>49355</v>
      </c>
      <c r="C3120" s="32">
        <f>INDEX('Input Data'!$B:$B,A3120)/2+IF(A3120&lt;&gt;A3121,100,0)</f>
        <v>2.375</v>
      </c>
      <c r="D3120" s="33">
        <f>INDEX('ZCB Curve - Payment Dates'!$D$2:$D$246,MATCH(B3120,'ZCB Curve - Payment Dates'!$A$2:$A$246,0))</f>
        <v>0.674047377898778</v>
      </c>
      <c r="E3120" s="32">
        <f t="shared" si="48"/>
        <v>1.6008625225095978</v>
      </c>
    </row>
    <row r="3121" spans="1:5" x14ac:dyDescent="0.25">
      <c r="A3121" s="17">
        <v>302</v>
      </c>
      <c r="B3121" s="31">
        <v>49536</v>
      </c>
      <c r="C3121" s="32">
        <f>INDEX('Input Data'!$B:$B,A3121)/2+IF(A3121&lt;&gt;A3122,100,0)</f>
        <v>2.375</v>
      </c>
      <c r="D3121" s="33">
        <f>INDEX('ZCB Curve - Payment Dates'!$D$2:$D$246,MATCH(B3121,'ZCB Curve - Payment Dates'!$A$2:$A$246,0))</f>
        <v>0.65684432300638129</v>
      </c>
      <c r="E3121" s="32">
        <f t="shared" si="48"/>
        <v>1.5600052671401556</v>
      </c>
    </row>
    <row r="3122" spans="1:5" x14ac:dyDescent="0.25">
      <c r="A3122" s="17">
        <v>302</v>
      </c>
      <c r="B3122" s="31">
        <v>49720</v>
      </c>
      <c r="C3122" s="32">
        <f>INDEX('Input Data'!$B:$B,A3122)/2+IF(A3122&lt;&gt;A3123,100,0)</f>
        <v>2.375</v>
      </c>
      <c r="D3122" s="33">
        <f>INDEX('ZCB Curve - Payment Dates'!$D$2:$D$246,MATCH(B3122,'ZCB Curve - Payment Dates'!$A$2:$A$246,0))</f>
        <v>0.63949604524993764</v>
      </c>
      <c r="E3122" s="32">
        <f t="shared" si="48"/>
        <v>1.5188031074686019</v>
      </c>
    </row>
    <row r="3123" spans="1:5" x14ac:dyDescent="0.25">
      <c r="A3123" s="17">
        <v>302</v>
      </c>
      <c r="B3123" s="31">
        <v>49902</v>
      </c>
      <c r="C3123" s="32">
        <f>INDEX('Input Data'!$B:$B,A3123)/2+IF(A3123&lt;&gt;A3124,100,0)</f>
        <v>2.375</v>
      </c>
      <c r="D3123" s="33">
        <f>INDEX('ZCB Curve - Payment Dates'!$D$2:$D$246,MATCH(B3123,'ZCB Curve - Payment Dates'!$A$2:$A$246,0))</f>
        <v>0.62248862376822711</v>
      </c>
      <c r="E3123" s="32">
        <f t="shared" si="48"/>
        <v>1.4784104814495393</v>
      </c>
    </row>
    <row r="3124" spans="1:5" x14ac:dyDescent="0.25">
      <c r="A3124" s="17">
        <v>302</v>
      </c>
      <c r="B3124" s="31">
        <v>50086</v>
      </c>
      <c r="C3124" s="32">
        <f>INDEX('Input Data'!$B:$B,A3124)/2+IF(A3124&lt;&gt;A3125,100,0)</f>
        <v>2.375</v>
      </c>
      <c r="D3124" s="33">
        <f>INDEX('ZCB Curve - Payment Dates'!$D$2:$D$246,MATCH(B3124,'ZCB Curve - Payment Dates'!$A$2:$A$246,0))</f>
        <v>0.60546490876014969</v>
      </c>
      <c r="E3124" s="32">
        <f t="shared" si="48"/>
        <v>1.4379791583053556</v>
      </c>
    </row>
    <row r="3125" spans="1:5" x14ac:dyDescent="0.25">
      <c r="A3125" s="17">
        <v>302</v>
      </c>
      <c r="B3125" s="31">
        <v>50267</v>
      </c>
      <c r="C3125" s="32">
        <f>INDEX('Input Data'!$B:$B,A3125)/2+IF(A3125&lt;&gt;A3126,100,0)</f>
        <v>2.375</v>
      </c>
      <c r="D3125" s="33">
        <f>INDEX('ZCB Curve - Payment Dates'!$D$2:$D$246,MATCH(B3125,'ZCB Curve - Payment Dates'!$A$2:$A$246,0))</f>
        <v>0.58890683803346977</v>
      </c>
      <c r="E3125" s="32">
        <f t="shared" si="48"/>
        <v>1.3986537403294907</v>
      </c>
    </row>
    <row r="3126" spans="1:5" x14ac:dyDescent="0.25">
      <c r="A3126" s="17">
        <v>302</v>
      </c>
      <c r="B3126" s="31">
        <v>50451</v>
      </c>
      <c r="C3126" s="32">
        <f>INDEX('Input Data'!$B:$B,A3126)/2+IF(A3126&lt;&gt;A3127,100,0)</f>
        <v>2.375</v>
      </c>
      <c r="D3126" s="33">
        <f>INDEX('ZCB Curve - Payment Dates'!$D$2:$D$246,MATCH(B3126,'ZCB Curve - Payment Dates'!$A$2:$A$246,0))</f>
        <v>0.57228983695479263</v>
      </c>
      <c r="E3126" s="32">
        <f t="shared" si="48"/>
        <v>1.3591883627676324</v>
      </c>
    </row>
    <row r="3127" spans="1:5" x14ac:dyDescent="0.25">
      <c r="A3127" s="17">
        <v>302</v>
      </c>
      <c r="B3127" s="31">
        <v>50632</v>
      </c>
      <c r="C3127" s="32">
        <f>INDEX('Input Data'!$B:$B,A3127)/2+IF(A3127&lt;&gt;A3128,100,0)</f>
        <v>2.375</v>
      </c>
      <c r="D3127" s="33">
        <f>INDEX('ZCB Curve - Payment Dates'!$D$2:$D$246,MATCH(B3127,'ZCB Curve - Payment Dates'!$A$2:$A$246,0))</f>
        <v>0.55617795699202288</v>
      </c>
      <c r="E3127" s="32">
        <f t="shared" si="48"/>
        <v>1.3209226478560543</v>
      </c>
    </row>
    <row r="3128" spans="1:5" x14ac:dyDescent="0.25">
      <c r="A3128" s="17">
        <v>302</v>
      </c>
      <c r="B3128" s="31">
        <v>50816</v>
      </c>
      <c r="C3128" s="32">
        <f>INDEX('Input Data'!$B:$B,A3128)/2+IF(A3128&lt;&gt;A3129,100,0)</f>
        <v>2.375</v>
      </c>
      <c r="D3128" s="33">
        <f>INDEX('ZCB Curve - Payment Dates'!$D$2:$D$246,MATCH(B3128,'ZCB Curve - Payment Dates'!$A$2:$A$246,0))</f>
        <v>0.54006240951211237</v>
      </c>
      <c r="E3128" s="32">
        <f t="shared" si="48"/>
        <v>1.282648222591267</v>
      </c>
    </row>
    <row r="3129" spans="1:5" x14ac:dyDescent="0.25">
      <c r="A3129" s="17">
        <v>302</v>
      </c>
      <c r="B3129" s="31">
        <v>50997</v>
      </c>
      <c r="C3129" s="32">
        <f>INDEX('Input Data'!$B:$B,A3129)/2+IF(A3129&lt;&gt;A3130,100,0)</f>
        <v>2.375</v>
      </c>
      <c r="D3129" s="33">
        <f>INDEX('ZCB Curve - Payment Dates'!$D$2:$D$246,MATCH(B3129,'ZCB Curve - Payment Dates'!$A$2:$A$246,0))</f>
        <v>0.52449040173194583</v>
      </c>
      <c r="E3129" s="32">
        <f t="shared" si="48"/>
        <v>1.2456647041133713</v>
      </c>
    </row>
    <row r="3130" spans="1:5" x14ac:dyDescent="0.25">
      <c r="A3130" s="17">
        <v>302</v>
      </c>
      <c r="B3130" s="31">
        <v>51181</v>
      </c>
      <c r="C3130" s="32">
        <f>INDEX('Input Data'!$B:$B,A3130)/2+IF(A3130&lt;&gt;A3131,100,0)</f>
        <v>2.375</v>
      </c>
      <c r="D3130" s="33">
        <f>INDEX('ZCB Curve - Payment Dates'!$D$2:$D$246,MATCH(B3130,'ZCB Curve - Payment Dates'!$A$2:$A$246,0))</f>
        <v>0.5089691698468306</v>
      </c>
      <c r="E3130" s="32">
        <f t="shared" si="48"/>
        <v>1.2088017783862226</v>
      </c>
    </row>
    <row r="3131" spans="1:5" x14ac:dyDescent="0.25">
      <c r="A3131" s="17">
        <v>302</v>
      </c>
      <c r="B3131" s="31">
        <v>51363</v>
      </c>
      <c r="C3131" s="32">
        <f>INDEX('Input Data'!$B:$B,A3131)/2+IF(A3131&lt;&gt;A3132,100,0)</f>
        <v>2.375</v>
      </c>
      <c r="D3131" s="33">
        <f>INDEX('ZCB Curve - Payment Dates'!$D$2:$D$246,MATCH(B3131,'ZCB Curve - Payment Dates'!$A$2:$A$246,0))</f>
        <v>0.49394036022330806</v>
      </c>
      <c r="E3131" s="32">
        <f t="shared" si="48"/>
        <v>1.1731083555303568</v>
      </c>
    </row>
    <row r="3132" spans="1:5" x14ac:dyDescent="0.25">
      <c r="A3132" s="17">
        <v>302</v>
      </c>
      <c r="B3132" s="31">
        <v>51547</v>
      </c>
      <c r="C3132" s="32">
        <f>INDEX('Input Data'!$B:$B,A3132)/2+IF(A3132&lt;&gt;A3133,100,0)</f>
        <v>2.375</v>
      </c>
      <c r="D3132" s="33">
        <f>INDEX('ZCB Curve - Payment Dates'!$D$2:$D$246,MATCH(B3132,'ZCB Curve - Payment Dates'!$A$2:$A$246,0))</f>
        <v>0.47909718957588998</v>
      </c>
      <c r="E3132" s="32">
        <f t="shared" si="48"/>
        <v>1.1378558252427386</v>
      </c>
    </row>
    <row r="3133" spans="1:5" x14ac:dyDescent="0.25">
      <c r="A3133" s="17">
        <v>302</v>
      </c>
      <c r="B3133" s="31">
        <v>51728</v>
      </c>
      <c r="C3133" s="32">
        <f>INDEX('Input Data'!$B:$B,A3133)/2+IF(A3133&lt;&gt;A3134,100,0)</f>
        <v>2.375</v>
      </c>
      <c r="D3133" s="33">
        <f>INDEX('ZCB Curve - Payment Dates'!$D$2:$D$246,MATCH(B3133,'ZCB Curve - Payment Dates'!$A$2:$A$246,0))</f>
        <v>0.46485329459616059</v>
      </c>
      <c r="E3133" s="32">
        <f t="shared" si="48"/>
        <v>1.1040265746658815</v>
      </c>
    </row>
    <row r="3134" spans="1:5" x14ac:dyDescent="0.25">
      <c r="A3134" s="17">
        <v>302</v>
      </c>
      <c r="B3134" s="31">
        <v>51912</v>
      </c>
      <c r="C3134" s="32">
        <f>INDEX('Input Data'!$B:$B,A3134)/2+IF(A3134&lt;&gt;A3135,100,0)</f>
        <v>2.375</v>
      </c>
      <c r="D3134" s="33">
        <f>INDEX('ZCB Curve - Payment Dates'!$D$2:$D$246,MATCH(B3134,'ZCB Curve - Payment Dates'!$A$2:$A$246,0))</f>
        <v>0.45075168915212815</v>
      </c>
      <c r="E3134" s="32">
        <f t="shared" si="48"/>
        <v>1.0705352617363044</v>
      </c>
    </row>
    <row r="3135" spans="1:5" x14ac:dyDescent="0.25">
      <c r="A3135" s="17">
        <v>302</v>
      </c>
      <c r="B3135" s="31">
        <v>52093</v>
      </c>
      <c r="C3135" s="32">
        <f>INDEX('Input Data'!$B:$B,A3135)/2+IF(A3135&lt;&gt;A3136,100,0)</f>
        <v>2.375</v>
      </c>
      <c r="D3135" s="33">
        <f>INDEX('ZCB Curve - Payment Dates'!$D$2:$D$246,MATCH(B3135,'ZCB Curve - Payment Dates'!$A$2:$A$246,0))</f>
        <v>0.43726259018094221</v>
      </c>
      <c r="E3135" s="32">
        <f t="shared" si="48"/>
        <v>1.0384986516797376</v>
      </c>
    </row>
    <row r="3136" spans="1:5" x14ac:dyDescent="0.25">
      <c r="A3136" s="17">
        <v>302</v>
      </c>
      <c r="B3136" s="31">
        <v>52277</v>
      </c>
      <c r="C3136" s="32">
        <f>INDEX('Input Data'!$B:$B,A3136)/2+IF(A3136&lt;&gt;A3137,100,0)</f>
        <v>2.375</v>
      </c>
      <c r="D3136" s="33">
        <f>INDEX('ZCB Curve - Payment Dates'!$D$2:$D$246,MATCH(B3136,'ZCB Curve - Payment Dates'!$A$2:$A$246,0))</f>
        <v>0.4239492285351204</v>
      </c>
      <c r="E3136" s="32">
        <f t="shared" si="48"/>
        <v>1.0068794177709111</v>
      </c>
    </row>
    <row r="3137" spans="1:5" x14ac:dyDescent="0.25">
      <c r="A3137" s="17">
        <v>302</v>
      </c>
      <c r="B3137" s="31">
        <v>52458</v>
      </c>
      <c r="C3137" s="32">
        <f>INDEX('Input Data'!$B:$B,A3137)/2+IF(A3137&lt;&gt;A3138,100,0)</f>
        <v>2.375</v>
      </c>
      <c r="D3137" s="33">
        <f>INDEX('ZCB Curve - Payment Dates'!$D$2:$D$246,MATCH(B3137,'ZCB Curve - Payment Dates'!$A$2:$A$246,0))</f>
        <v>0.4112516019468152</v>
      </c>
      <c r="E3137" s="32">
        <f t="shared" si="48"/>
        <v>0.97672255462368607</v>
      </c>
    </row>
    <row r="3138" spans="1:5" x14ac:dyDescent="0.25">
      <c r="A3138" s="17">
        <v>302</v>
      </c>
      <c r="B3138" s="31">
        <v>52642</v>
      </c>
      <c r="C3138" s="32">
        <f>INDEX('Input Data'!$B:$B,A3138)/2+IF(A3138&lt;&gt;A3139,100,0)</f>
        <v>2.375</v>
      </c>
      <c r="D3138" s="33">
        <f>INDEX('ZCB Curve - Payment Dates'!$D$2:$D$246,MATCH(B3138,'ZCB Curve - Payment Dates'!$A$2:$A$246,0))</f>
        <v>0.39875459879352759</v>
      </c>
      <c r="E3138" s="32">
        <f t="shared" ref="E3138:E3201" si="49">C3138*D3138</f>
        <v>0.94704217213462805</v>
      </c>
    </row>
    <row r="3139" spans="1:5" x14ac:dyDescent="0.25">
      <c r="A3139" s="17">
        <v>302</v>
      </c>
      <c r="B3139" s="31">
        <v>52824</v>
      </c>
      <c r="C3139" s="32">
        <f>INDEX('Input Data'!$B:$B,A3139)/2+IF(A3139&lt;&gt;A3140,100,0)</f>
        <v>2.375</v>
      </c>
      <c r="D3139" s="33">
        <f>INDEX('ZCB Curve - Payment Dates'!$D$2:$D$246,MATCH(B3139,'ZCB Curve - Payment Dates'!$A$2:$A$246,0))</f>
        <v>0.38680384560622083</v>
      </c>
      <c r="E3139" s="32">
        <f t="shared" si="49"/>
        <v>0.91865913331477445</v>
      </c>
    </row>
    <row r="3140" spans="1:5" x14ac:dyDescent="0.25">
      <c r="A3140" s="17">
        <v>302</v>
      </c>
      <c r="B3140" s="31">
        <v>53008</v>
      </c>
      <c r="C3140" s="32">
        <f>INDEX('Input Data'!$B:$B,A3140)/2+IF(A3140&lt;&gt;A3141,100,0)</f>
        <v>102.375</v>
      </c>
      <c r="D3140" s="33">
        <f>INDEX('ZCB Curve - Payment Dates'!$D$2:$D$246,MATCH(B3140,'ZCB Curve - Payment Dates'!$A$2:$A$246,0))</f>
        <v>0.37513648791915083</v>
      </c>
      <c r="E3140" s="32">
        <f t="shared" si="49"/>
        <v>38.404597950723065</v>
      </c>
    </row>
    <row r="3141" spans="1:5" x14ac:dyDescent="0.25">
      <c r="A3141" s="17">
        <v>303</v>
      </c>
      <c r="B3141" s="31">
        <v>46341</v>
      </c>
      <c r="C3141" s="32">
        <f>INDEX('Input Data'!$B:$B,A3141)/2+IF(A3141&lt;&gt;A3142,100,0)</f>
        <v>1.5</v>
      </c>
      <c r="D3141" s="33">
        <f>INDEX('ZCB Curve - Payment Dates'!$D$2:$D$246,MATCH(B3141,'ZCB Curve - Payment Dates'!$A$2:$A$246,0))</f>
        <v>0.99245367292309439</v>
      </c>
      <c r="E3141" s="32">
        <f t="shared" si="49"/>
        <v>1.4886805093846416</v>
      </c>
    </row>
    <row r="3142" spans="1:5" x14ac:dyDescent="0.25">
      <c r="A3142" s="17">
        <v>303</v>
      </c>
      <c r="B3142" s="31">
        <v>46522</v>
      </c>
      <c r="C3142" s="32">
        <f>INDEX('Input Data'!$B:$B,A3142)/2+IF(A3142&lt;&gt;A3143,100,0)</f>
        <v>1.5</v>
      </c>
      <c r="D3142" s="33">
        <f>INDEX('ZCB Curve - Payment Dates'!$D$2:$D$246,MATCH(B3142,'ZCB Curve - Payment Dates'!$A$2:$A$246,0))</f>
        <v>0.97242179559611874</v>
      </c>
      <c r="E3142" s="32">
        <f t="shared" si="49"/>
        <v>1.4586326933941782</v>
      </c>
    </row>
    <row r="3143" spans="1:5" x14ac:dyDescent="0.25">
      <c r="A3143" s="17">
        <v>303</v>
      </c>
      <c r="B3143" s="31">
        <v>46706</v>
      </c>
      <c r="C3143" s="32">
        <f>INDEX('Input Data'!$B:$B,A3143)/2+IF(A3143&lt;&gt;A3144,100,0)</f>
        <v>1.5</v>
      </c>
      <c r="D3143" s="33">
        <f>INDEX('ZCB Curve - Payment Dates'!$D$2:$D$246,MATCH(B3143,'ZCB Curve - Payment Dates'!$A$2:$A$246,0))</f>
        <v>0.95121018311627348</v>
      </c>
      <c r="E3143" s="32">
        <f t="shared" si="49"/>
        <v>1.4268152746744103</v>
      </c>
    </row>
    <row r="3144" spans="1:5" x14ac:dyDescent="0.25">
      <c r="A3144" s="17">
        <v>303</v>
      </c>
      <c r="B3144" s="31">
        <v>46888</v>
      </c>
      <c r="C3144" s="32">
        <f>INDEX('Input Data'!$B:$B,A3144)/2+IF(A3144&lt;&gt;A3145,100,0)</f>
        <v>1.5</v>
      </c>
      <c r="D3144" s="33">
        <f>INDEX('ZCB Curve - Payment Dates'!$D$2:$D$246,MATCH(B3144,'ZCB Curve - Payment Dates'!$A$2:$A$246,0))</f>
        <v>0.93000025435083566</v>
      </c>
      <c r="E3144" s="32">
        <f t="shared" si="49"/>
        <v>1.3950003815262535</v>
      </c>
    </row>
    <row r="3145" spans="1:5" x14ac:dyDescent="0.25">
      <c r="A3145" s="17">
        <v>303</v>
      </c>
      <c r="B3145" s="31">
        <v>47072</v>
      </c>
      <c r="C3145" s="32">
        <f>INDEX('Input Data'!$B:$B,A3145)/2+IF(A3145&lt;&gt;A3146,100,0)</f>
        <v>1.5</v>
      </c>
      <c r="D3145" s="33">
        <f>INDEX('ZCB Curve - Payment Dates'!$D$2:$D$246,MATCH(B3145,'ZCB Curve - Payment Dates'!$A$2:$A$246,0))</f>
        <v>0.90870125167038918</v>
      </c>
      <c r="E3145" s="32">
        <f t="shared" si="49"/>
        <v>1.3630518775055838</v>
      </c>
    </row>
    <row r="3146" spans="1:5" x14ac:dyDescent="0.25">
      <c r="A3146" s="17">
        <v>303</v>
      </c>
      <c r="B3146" s="31">
        <v>47253</v>
      </c>
      <c r="C3146" s="32">
        <f>INDEX('Input Data'!$B:$B,A3146)/2+IF(A3146&lt;&gt;A3147,100,0)</f>
        <v>1.5</v>
      </c>
      <c r="D3146" s="33">
        <f>INDEX('ZCB Curve - Payment Dates'!$D$2:$D$246,MATCH(B3146,'ZCB Curve - Payment Dates'!$A$2:$A$246,0))</f>
        <v>0.88809325063638844</v>
      </c>
      <c r="E3146" s="32">
        <f t="shared" si="49"/>
        <v>1.3321398759545826</v>
      </c>
    </row>
    <row r="3147" spans="1:5" x14ac:dyDescent="0.25">
      <c r="A3147" s="17">
        <v>303</v>
      </c>
      <c r="B3147" s="31">
        <v>47437</v>
      </c>
      <c r="C3147" s="32">
        <f>INDEX('Input Data'!$B:$B,A3147)/2+IF(A3147&lt;&gt;A3148,100,0)</f>
        <v>1.5</v>
      </c>
      <c r="D3147" s="33">
        <f>INDEX('ZCB Curve - Payment Dates'!$D$2:$D$246,MATCH(B3147,'ZCB Curve - Payment Dates'!$A$2:$A$246,0))</f>
        <v>0.86758824089536279</v>
      </c>
      <c r="E3147" s="32">
        <f t="shared" si="49"/>
        <v>1.3013823613430442</v>
      </c>
    </row>
    <row r="3148" spans="1:5" x14ac:dyDescent="0.25">
      <c r="A3148" s="17">
        <v>303</v>
      </c>
      <c r="B3148" s="31">
        <v>47618</v>
      </c>
      <c r="C3148" s="32">
        <f>INDEX('Input Data'!$B:$B,A3148)/2+IF(A3148&lt;&gt;A3149,100,0)</f>
        <v>1.5</v>
      </c>
      <c r="D3148" s="33">
        <f>INDEX('ZCB Curve - Payment Dates'!$D$2:$D$246,MATCH(B3148,'ZCB Curve - Payment Dates'!$A$2:$A$246,0))</f>
        <v>0.84787416911783064</v>
      </c>
      <c r="E3148" s="32">
        <f t="shared" si="49"/>
        <v>1.2718112536767459</v>
      </c>
    </row>
    <row r="3149" spans="1:5" x14ac:dyDescent="0.25">
      <c r="A3149" s="17">
        <v>303</v>
      </c>
      <c r="B3149" s="31">
        <v>47802</v>
      </c>
      <c r="C3149" s="32">
        <f>INDEX('Input Data'!$B:$B,A3149)/2+IF(A3149&lt;&gt;A3150,100,0)</f>
        <v>1.5</v>
      </c>
      <c r="D3149" s="33">
        <f>INDEX('ZCB Curve - Payment Dates'!$D$2:$D$246,MATCH(B3149,'ZCB Curve - Payment Dates'!$A$2:$A$246,0))</f>
        <v>0.82827715028796722</v>
      </c>
      <c r="E3149" s="32">
        <f t="shared" si="49"/>
        <v>1.2424157254319508</v>
      </c>
    </row>
    <row r="3150" spans="1:5" x14ac:dyDescent="0.25">
      <c r="A3150" s="17">
        <v>303</v>
      </c>
      <c r="B3150" s="31">
        <v>47983</v>
      </c>
      <c r="C3150" s="32">
        <f>INDEX('Input Data'!$B:$B,A3150)/2+IF(A3150&lt;&gt;A3151,100,0)</f>
        <v>1.5</v>
      </c>
      <c r="D3150" s="33">
        <f>INDEX('ZCB Curve - Payment Dates'!$D$2:$D$246,MATCH(B3150,'ZCB Curve - Payment Dates'!$A$2:$A$246,0))</f>
        <v>0.80939067484273564</v>
      </c>
      <c r="E3150" s="32">
        <f t="shared" si="49"/>
        <v>1.2140860122641035</v>
      </c>
    </row>
    <row r="3151" spans="1:5" x14ac:dyDescent="0.25">
      <c r="A3151" s="17">
        <v>303</v>
      </c>
      <c r="B3151" s="31">
        <v>48167</v>
      </c>
      <c r="C3151" s="32">
        <f>INDEX('Input Data'!$B:$B,A3151)/2+IF(A3151&lt;&gt;A3152,100,0)</f>
        <v>1.5</v>
      </c>
      <c r="D3151" s="33">
        <f>INDEX('ZCB Curve - Payment Dates'!$D$2:$D$246,MATCH(B3151,'ZCB Curve - Payment Dates'!$A$2:$A$246,0))</f>
        <v>0.79053567842581962</v>
      </c>
      <c r="E3151" s="32">
        <f t="shared" si="49"/>
        <v>1.1858035176387294</v>
      </c>
    </row>
    <row r="3152" spans="1:5" x14ac:dyDescent="0.25">
      <c r="A3152" s="17">
        <v>303</v>
      </c>
      <c r="B3152" s="31">
        <v>48349</v>
      </c>
      <c r="C3152" s="32">
        <f>INDEX('Input Data'!$B:$B,A3152)/2+IF(A3152&lt;&gt;A3153,100,0)</f>
        <v>1.5</v>
      </c>
      <c r="D3152" s="33">
        <f>INDEX('ZCB Curve - Payment Dates'!$D$2:$D$246,MATCH(B3152,'ZCB Curve - Payment Dates'!$A$2:$A$246,0))</f>
        <v>0.77217305702007488</v>
      </c>
      <c r="E3152" s="32">
        <f t="shared" si="49"/>
        <v>1.1582595855301123</v>
      </c>
    </row>
    <row r="3153" spans="1:5" x14ac:dyDescent="0.25">
      <c r="A3153" s="17">
        <v>303</v>
      </c>
      <c r="B3153" s="31">
        <v>48533</v>
      </c>
      <c r="C3153" s="32">
        <f>INDEX('Input Data'!$B:$B,A3153)/2+IF(A3153&lt;&gt;A3154,100,0)</f>
        <v>1.5</v>
      </c>
      <c r="D3153" s="33">
        <f>INDEX('ZCB Curve - Payment Dates'!$D$2:$D$246,MATCH(B3153,'ZCB Curve - Payment Dates'!$A$2:$A$246,0))</f>
        <v>0.75384766072076514</v>
      </c>
      <c r="E3153" s="32">
        <f t="shared" si="49"/>
        <v>1.1307714910811477</v>
      </c>
    </row>
    <row r="3154" spans="1:5" x14ac:dyDescent="0.25">
      <c r="A3154" s="17">
        <v>303</v>
      </c>
      <c r="B3154" s="31">
        <v>48714</v>
      </c>
      <c r="C3154" s="32">
        <f>INDEX('Input Data'!$B:$B,A3154)/2+IF(A3154&lt;&gt;A3155,100,0)</f>
        <v>1.5</v>
      </c>
      <c r="D3154" s="33">
        <f>INDEX('ZCB Curve - Payment Dates'!$D$2:$D$246,MATCH(B3154,'ZCB Curve - Payment Dates'!$A$2:$A$246,0))</f>
        <v>0.73601491848746747</v>
      </c>
      <c r="E3154" s="32">
        <f t="shared" si="49"/>
        <v>1.1040223777312013</v>
      </c>
    </row>
    <row r="3155" spans="1:5" x14ac:dyDescent="0.25">
      <c r="A3155" s="17">
        <v>303</v>
      </c>
      <c r="B3155" s="31">
        <v>48898</v>
      </c>
      <c r="C3155" s="32">
        <f>INDEX('Input Data'!$B:$B,A3155)/2+IF(A3155&lt;&gt;A3156,100,0)</f>
        <v>1.5</v>
      </c>
      <c r="D3155" s="33">
        <f>INDEX('ZCB Curve - Payment Dates'!$D$2:$D$246,MATCH(B3155,'ZCB Curve - Payment Dates'!$A$2:$A$246,0))</f>
        <v>0.71805338140354003</v>
      </c>
      <c r="E3155" s="32">
        <f t="shared" si="49"/>
        <v>1.07708007210531</v>
      </c>
    </row>
    <row r="3156" spans="1:5" x14ac:dyDescent="0.25">
      <c r="A3156" s="17">
        <v>303</v>
      </c>
      <c r="B3156" s="31">
        <v>49079</v>
      </c>
      <c r="C3156" s="32">
        <f>INDEX('Input Data'!$B:$B,A3156)/2+IF(A3156&lt;&gt;A3157,100,0)</f>
        <v>1.5</v>
      </c>
      <c r="D3156" s="33">
        <f>INDEX('ZCB Curve - Payment Dates'!$D$2:$D$246,MATCH(B3156,'ZCB Curve - Payment Dates'!$A$2:$A$246,0))</f>
        <v>0.70052630492471468</v>
      </c>
      <c r="E3156" s="32">
        <f t="shared" si="49"/>
        <v>1.050789457387072</v>
      </c>
    </row>
    <row r="3157" spans="1:5" x14ac:dyDescent="0.25">
      <c r="A3157" s="17">
        <v>303</v>
      </c>
      <c r="B3157" s="31">
        <v>49263</v>
      </c>
      <c r="C3157" s="32">
        <f>INDEX('Input Data'!$B:$B,A3157)/2+IF(A3157&lt;&gt;A3158,100,0)</f>
        <v>1.5</v>
      </c>
      <c r="D3157" s="33">
        <f>INDEX('ZCB Curve - Payment Dates'!$D$2:$D$246,MATCH(B3157,'ZCB Curve - Payment Dates'!$A$2:$A$246,0))</f>
        <v>0.68284221202539863</v>
      </c>
      <c r="E3157" s="32">
        <f t="shared" si="49"/>
        <v>1.024263318038098</v>
      </c>
    </row>
    <row r="3158" spans="1:5" x14ac:dyDescent="0.25">
      <c r="A3158" s="17">
        <v>303</v>
      </c>
      <c r="B3158" s="31">
        <v>49444</v>
      </c>
      <c r="C3158" s="32">
        <f>INDEX('Input Data'!$B:$B,A3158)/2+IF(A3158&lt;&gt;A3159,100,0)</f>
        <v>1.5</v>
      </c>
      <c r="D3158" s="33">
        <f>INDEX('ZCB Curve - Payment Dates'!$D$2:$D$246,MATCH(B3158,'ZCB Curve - Payment Dates'!$A$2:$A$246,0))</f>
        <v>0.66557347415228496</v>
      </c>
      <c r="E3158" s="32">
        <f t="shared" si="49"/>
        <v>0.99836021122842744</v>
      </c>
    </row>
    <row r="3159" spans="1:5" x14ac:dyDescent="0.25">
      <c r="A3159" s="17">
        <v>303</v>
      </c>
      <c r="B3159" s="31">
        <v>49628</v>
      </c>
      <c r="C3159" s="32">
        <f>INDEX('Input Data'!$B:$B,A3159)/2+IF(A3159&lt;&gt;A3160,100,0)</f>
        <v>1.5</v>
      </c>
      <c r="D3159" s="33">
        <f>INDEX('ZCB Curve - Payment Dates'!$D$2:$D$246,MATCH(B3159,'ZCB Curve - Payment Dates'!$A$2:$A$246,0))</f>
        <v>0.64815361918127823</v>
      </c>
      <c r="E3159" s="32">
        <f t="shared" si="49"/>
        <v>0.97223042877191734</v>
      </c>
    </row>
    <row r="3160" spans="1:5" x14ac:dyDescent="0.25">
      <c r="A3160" s="17">
        <v>303</v>
      </c>
      <c r="B3160" s="31">
        <v>49810</v>
      </c>
      <c r="C3160" s="32">
        <f>INDEX('Input Data'!$B:$B,A3160)/2+IF(A3160&lt;&gt;A3161,100,0)</f>
        <v>1.5</v>
      </c>
      <c r="D3160" s="33">
        <f>INDEX('ZCB Curve - Payment Dates'!$D$2:$D$246,MATCH(B3160,'ZCB Curve - Payment Dates'!$A$2:$A$246,0))</f>
        <v>0.63106457078577471</v>
      </c>
      <c r="E3160" s="32">
        <f t="shared" si="49"/>
        <v>0.94659685617866207</v>
      </c>
    </row>
    <row r="3161" spans="1:5" x14ac:dyDescent="0.25">
      <c r="A3161" s="17">
        <v>303</v>
      </c>
      <c r="B3161" s="31">
        <v>49994</v>
      </c>
      <c r="C3161" s="32">
        <f>INDEX('Input Data'!$B:$B,A3161)/2+IF(A3161&lt;&gt;A3162,100,0)</f>
        <v>1.5</v>
      </c>
      <c r="D3161" s="33">
        <f>INDEX('ZCB Curve - Payment Dates'!$D$2:$D$246,MATCH(B3161,'ZCB Curve - Payment Dates'!$A$2:$A$246,0))</f>
        <v>0.61395227923184648</v>
      </c>
      <c r="E3161" s="32">
        <f t="shared" si="49"/>
        <v>0.92092841884776977</v>
      </c>
    </row>
    <row r="3162" spans="1:5" x14ac:dyDescent="0.25">
      <c r="A3162" s="17">
        <v>303</v>
      </c>
      <c r="B3162" s="31">
        <v>50175</v>
      </c>
      <c r="C3162" s="32">
        <f>INDEX('Input Data'!$B:$B,A3162)/2+IF(A3162&lt;&gt;A3163,100,0)</f>
        <v>1.5</v>
      </c>
      <c r="D3162" s="33">
        <f>INDEX('ZCB Curve - Payment Dates'!$D$2:$D$246,MATCH(B3162,'ZCB Curve - Payment Dates'!$A$2:$A$246,0))</f>
        <v>0.5972963482314616</v>
      </c>
      <c r="E3162" s="32">
        <f t="shared" si="49"/>
        <v>0.89594452234719246</v>
      </c>
    </row>
    <row r="3163" spans="1:5" x14ac:dyDescent="0.25">
      <c r="A3163" s="17">
        <v>303</v>
      </c>
      <c r="B3163" s="31">
        <v>50359</v>
      </c>
      <c r="C3163" s="32">
        <f>INDEX('Input Data'!$B:$B,A3163)/2+IF(A3163&lt;&gt;A3164,100,0)</f>
        <v>1.5</v>
      </c>
      <c r="D3163" s="33">
        <f>INDEX('ZCB Curve - Payment Dates'!$D$2:$D$246,MATCH(B3163,'ZCB Curve - Payment Dates'!$A$2:$A$246,0))</f>
        <v>0.58056812006155756</v>
      </c>
      <c r="E3163" s="32">
        <f t="shared" si="49"/>
        <v>0.87085218009233634</v>
      </c>
    </row>
    <row r="3164" spans="1:5" x14ac:dyDescent="0.25">
      <c r="A3164" s="17">
        <v>303</v>
      </c>
      <c r="B3164" s="31">
        <v>50540</v>
      </c>
      <c r="C3164" s="32">
        <f>INDEX('Input Data'!$B:$B,A3164)/2+IF(A3164&lt;&gt;A3165,100,0)</f>
        <v>1.5</v>
      </c>
      <c r="D3164" s="33">
        <f>INDEX('ZCB Curve - Payment Dates'!$D$2:$D$246,MATCH(B3164,'ZCB Curve - Payment Dates'!$A$2:$A$246,0))</f>
        <v>0.56433491315969797</v>
      </c>
      <c r="E3164" s="32">
        <f t="shared" si="49"/>
        <v>0.84650236973954696</v>
      </c>
    </row>
    <row r="3165" spans="1:5" x14ac:dyDescent="0.25">
      <c r="A3165" s="17">
        <v>303</v>
      </c>
      <c r="B3165" s="31">
        <v>50724</v>
      </c>
      <c r="C3165" s="32">
        <f>INDEX('Input Data'!$B:$B,A3165)/2+IF(A3165&lt;&gt;A3166,100,0)</f>
        <v>1.5</v>
      </c>
      <c r="D3165" s="33">
        <f>INDEX('ZCB Curve - Payment Dates'!$D$2:$D$246,MATCH(B3165,'ZCB Curve - Payment Dates'!$A$2:$A$246,0))</f>
        <v>0.54808398139057424</v>
      </c>
      <c r="E3165" s="32">
        <f t="shared" si="49"/>
        <v>0.82212597208586136</v>
      </c>
    </row>
    <row r="3166" spans="1:5" x14ac:dyDescent="0.25">
      <c r="A3166" s="17">
        <v>303</v>
      </c>
      <c r="B3166" s="31">
        <v>50905</v>
      </c>
      <c r="C3166" s="32">
        <f>INDEX('Input Data'!$B:$B,A3166)/2+IF(A3166&lt;&gt;A3167,100,0)</f>
        <v>1.5</v>
      </c>
      <c r="D3166" s="33">
        <f>INDEX('ZCB Curve - Payment Dates'!$D$2:$D$246,MATCH(B3166,'ZCB Curve - Payment Dates'!$A$2:$A$246,0))</f>
        <v>0.5323673246083096</v>
      </c>
      <c r="E3166" s="32">
        <f t="shared" si="49"/>
        <v>0.7985509869124644</v>
      </c>
    </row>
    <row r="3167" spans="1:5" x14ac:dyDescent="0.25">
      <c r="A3167" s="17">
        <v>303</v>
      </c>
      <c r="B3167" s="31">
        <v>51089</v>
      </c>
      <c r="C3167" s="32">
        <f>INDEX('Input Data'!$B:$B,A3167)/2+IF(A3167&lt;&gt;A3168,100,0)</f>
        <v>1.5</v>
      </c>
      <c r="D3167" s="33">
        <f>INDEX('ZCB Curve - Payment Dates'!$D$2:$D$246,MATCH(B3167,'ZCB Curve - Payment Dates'!$A$2:$A$246,0))</f>
        <v>0.51668806431098135</v>
      </c>
      <c r="E3167" s="32">
        <f t="shared" si="49"/>
        <v>0.77503209646647209</v>
      </c>
    </row>
    <row r="3168" spans="1:5" x14ac:dyDescent="0.25">
      <c r="A3168" s="17">
        <v>303</v>
      </c>
      <c r="B3168" s="31">
        <v>51271</v>
      </c>
      <c r="C3168" s="32">
        <f>INDEX('Input Data'!$B:$B,A3168)/2+IF(A3168&lt;&gt;A3169,100,0)</f>
        <v>1.5</v>
      </c>
      <c r="D3168" s="33">
        <f>INDEX('ZCB Curve - Payment Dates'!$D$2:$D$246,MATCH(B3168,'ZCB Curve - Payment Dates'!$A$2:$A$246,0))</f>
        <v>0.50149590020417278</v>
      </c>
      <c r="E3168" s="32">
        <f t="shared" si="49"/>
        <v>0.75224385030625918</v>
      </c>
    </row>
    <row r="3169" spans="1:5" x14ac:dyDescent="0.25">
      <c r="A3169" s="17">
        <v>303</v>
      </c>
      <c r="B3169" s="31">
        <v>51455</v>
      </c>
      <c r="C3169" s="32">
        <f>INDEX('Input Data'!$B:$B,A3169)/2+IF(A3169&lt;&gt;A3170,100,0)</f>
        <v>1.5</v>
      </c>
      <c r="D3169" s="33">
        <f>INDEX('ZCB Curve - Payment Dates'!$D$2:$D$246,MATCH(B3169,'ZCB Curve - Payment Dates'!$A$2:$A$246,0))</f>
        <v>0.48647538074270091</v>
      </c>
      <c r="E3169" s="32">
        <f t="shared" si="49"/>
        <v>0.72971307111405137</v>
      </c>
    </row>
    <row r="3170" spans="1:5" x14ac:dyDescent="0.25">
      <c r="A3170" s="17">
        <v>303</v>
      </c>
      <c r="B3170" s="31">
        <v>51636</v>
      </c>
      <c r="C3170" s="32">
        <f>INDEX('Input Data'!$B:$B,A3170)/2+IF(A3170&lt;&gt;A3171,100,0)</f>
        <v>1.5</v>
      </c>
      <c r="D3170" s="33">
        <f>INDEX('ZCB Curve - Payment Dates'!$D$2:$D$246,MATCH(B3170,'ZCB Curve - Payment Dates'!$A$2:$A$246,0))</f>
        <v>0.47204918703719451</v>
      </c>
      <c r="E3170" s="32">
        <f t="shared" si="49"/>
        <v>0.70807378055579173</v>
      </c>
    </row>
    <row r="3171" spans="1:5" x14ac:dyDescent="0.25">
      <c r="A3171" s="17">
        <v>303</v>
      </c>
      <c r="B3171" s="31">
        <v>51820</v>
      </c>
      <c r="C3171" s="32">
        <f>INDEX('Input Data'!$B:$B,A3171)/2+IF(A3171&lt;&gt;A3172,100,0)</f>
        <v>1.5</v>
      </c>
      <c r="D3171" s="33">
        <f>INDEX('ZCB Curve - Payment Dates'!$D$2:$D$246,MATCH(B3171,'ZCB Curve - Payment Dates'!$A$2:$A$246,0))</f>
        <v>0.45775548669345245</v>
      </c>
      <c r="E3171" s="32">
        <f t="shared" si="49"/>
        <v>0.68663323004017873</v>
      </c>
    </row>
    <row r="3172" spans="1:5" x14ac:dyDescent="0.25">
      <c r="A3172" s="17">
        <v>303</v>
      </c>
      <c r="B3172" s="31">
        <v>52001</v>
      </c>
      <c r="C3172" s="32">
        <f>INDEX('Input Data'!$B:$B,A3172)/2+IF(A3172&lt;&gt;A3173,100,0)</f>
        <v>1.5</v>
      </c>
      <c r="D3172" s="33">
        <f>INDEX('ZCB Curve - Payment Dates'!$D$2:$D$246,MATCH(B3172,'ZCB Curve - Payment Dates'!$A$2:$A$246,0))</f>
        <v>0.44407192118484318</v>
      </c>
      <c r="E3172" s="32">
        <f t="shared" si="49"/>
        <v>0.66610788177726477</v>
      </c>
    </row>
    <row r="3173" spans="1:5" x14ac:dyDescent="0.25">
      <c r="A3173" s="17">
        <v>303</v>
      </c>
      <c r="B3173" s="31">
        <v>52185</v>
      </c>
      <c r="C3173" s="32">
        <f>INDEX('Input Data'!$B:$B,A3173)/2+IF(A3173&lt;&gt;A3174,100,0)</f>
        <v>1.5</v>
      </c>
      <c r="D3173" s="33">
        <f>INDEX('ZCB Curve - Payment Dates'!$D$2:$D$246,MATCH(B3173,'ZCB Curve - Payment Dates'!$A$2:$A$246,0))</f>
        <v>0.43055647946672393</v>
      </c>
      <c r="E3173" s="32">
        <f t="shared" si="49"/>
        <v>0.64583471920008595</v>
      </c>
    </row>
    <row r="3174" spans="1:5" x14ac:dyDescent="0.25">
      <c r="A3174" s="17">
        <v>303</v>
      </c>
      <c r="B3174" s="31">
        <v>52366</v>
      </c>
      <c r="C3174" s="32">
        <f>INDEX('Input Data'!$B:$B,A3174)/2+IF(A3174&lt;&gt;A3175,100,0)</f>
        <v>1.5</v>
      </c>
      <c r="D3174" s="33">
        <f>INDEX('ZCB Curve - Payment Dates'!$D$2:$D$246,MATCH(B3174,'ZCB Curve - Payment Dates'!$A$2:$A$246,0))</f>
        <v>0.41765686229470528</v>
      </c>
      <c r="E3174" s="32">
        <f t="shared" si="49"/>
        <v>0.62648529344205794</v>
      </c>
    </row>
    <row r="3175" spans="1:5" x14ac:dyDescent="0.25">
      <c r="A3175" s="17">
        <v>303</v>
      </c>
      <c r="B3175" s="31">
        <v>52550</v>
      </c>
      <c r="C3175" s="32">
        <f>INDEX('Input Data'!$B:$B,A3175)/2+IF(A3175&lt;&gt;A3176,100,0)</f>
        <v>1.5</v>
      </c>
      <c r="D3175" s="33">
        <f>INDEX('ZCB Curve - Payment Dates'!$D$2:$D$246,MATCH(B3175,'ZCB Curve - Payment Dates'!$A$2:$A$246,0))</f>
        <v>0.40495237741553414</v>
      </c>
      <c r="E3175" s="32">
        <f t="shared" si="49"/>
        <v>0.60742856612330121</v>
      </c>
    </row>
    <row r="3176" spans="1:5" x14ac:dyDescent="0.25">
      <c r="A3176" s="17">
        <v>303</v>
      </c>
      <c r="B3176" s="31">
        <v>52732</v>
      </c>
      <c r="C3176" s="32">
        <f>INDEX('Input Data'!$B:$B,A3176)/2+IF(A3176&lt;&gt;A3177,100,0)</f>
        <v>1.5</v>
      </c>
      <c r="D3176" s="33">
        <f>INDEX('ZCB Curve - Payment Dates'!$D$2:$D$246,MATCH(B3176,'ZCB Curve - Payment Dates'!$A$2:$A$246,0))</f>
        <v>0.3927952920896523</v>
      </c>
      <c r="E3176" s="32">
        <f t="shared" si="49"/>
        <v>0.58919293813447848</v>
      </c>
    </row>
    <row r="3177" spans="1:5" x14ac:dyDescent="0.25">
      <c r="A3177" s="17">
        <v>303</v>
      </c>
      <c r="B3177" s="31">
        <v>52916</v>
      </c>
      <c r="C3177" s="32">
        <f>INDEX('Input Data'!$B:$B,A3177)/2+IF(A3177&lt;&gt;A3178,100,0)</f>
        <v>1.5</v>
      </c>
      <c r="D3177" s="33">
        <f>INDEX('ZCB Curve - Payment Dates'!$D$2:$D$246,MATCH(B3177,'ZCB Curve - Payment Dates'!$A$2:$A$246,0))</f>
        <v>0.38091684361752687</v>
      </c>
      <c r="E3177" s="32">
        <f t="shared" si="49"/>
        <v>0.57137526542629025</v>
      </c>
    </row>
    <row r="3178" spans="1:5" x14ac:dyDescent="0.25">
      <c r="A3178" s="17">
        <v>303</v>
      </c>
      <c r="B3178" s="31">
        <v>53097</v>
      </c>
      <c r="C3178" s="32">
        <f>INDEX('Input Data'!$B:$B,A3178)/2+IF(A3178&lt;&gt;A3179,100,0)</f>
        <v>101.5</v>
      </c>
      <c r="D3178" s="33">
        <f>INDEX('ZCB Curve - Payment Dates'!$D$2:$D$246,MATCH(B3178,'ZCB Curve - Payment Dates'!$A$2:$A$246,0))</f>
        <v>0.36964331092783359</v>
      </c>
      <c r="E3178" s="32">
        <f t="shared" si="49"/>
        <v>37.518796059175109</v>
      </c>
    </row>
    <row r="3179" spans="1:5" x14ac:dyDescent="0.25">
      <c r="A3179" s="17">
        <v>304</v>
      </c>
      <c r="B3179" s="31">
        <v>46341</v>
      </c>
      <c r="C3179" s="32">
        <f>INDEX('Input Data'!$B:$B,A3179)/2+IF(A3179&lt;&gt;A3180,100,0)</f>
        <v>2.5</v>
      </c>
      <c r="D3179" s="33">
        <f>INDEX('ZCB Curve - Payment Dates'!$D$2:$D$246,MATCH(B3179,'ZCB Curve - Payment Dates'!$A$2:$A$246,0))</f>
        <v>0.99245367292309439</v>
      </c>
      <c r="E3179" s="32">
        <f t="shared" si="49"/>
        <v>2.481134182307736</v>
      </c>
    </row>
    <row r="3180" spans="1:5" x14ac:dyDescent="0.25">
      <c r="A3180" s="17">
        <v>304</v>
      </c>
      <c r="B3180" s="31">
        <v>46522</v>
      </c>
      <c r="C3180" s="32">
        <f>INDEX('Input Data'!$B:$B,A3180)/2+IF(A3180&lt;&gt;A3181,100,0)</f>
        <v>2.5</v>
      </c>
      <c r="D3180" s="33">
        <f>INDEX('ZCB Curve - Payment Dates'!$D$2:$D$246,MATCH(B3180,'ZCB Curve - Payment Dates'!$A$2:$A$246,0))</f>
        <v>0.97242179559611874</v>
      </c>
      <c r="E3180" s="32">
        <f t="shared" si="49"/>
        <v>2.4310544889902967</v>
      </c>
    </row>
    <row r="3181" spans="1:5" x14ac:dyDescent="0.25">
      <c r="A3181" s="17">
        <v>304</v>
      </c>
      <c r="B3181" s="31">
        <v>46706</v>
      </c>
      <c r="C3181" s="32">
        <f>INDEX('Input Data'!$B:$B,A3181)/2+IF(A3181&lt;&gt;A3182,100,0)</f>
        <v>2.5</v>
      </c>
      <c r="D3181" s="33">
        <f>INDEX('ZCB Curve - Payment Dates'!$D$2:$D$246,MATCH(B3181,'ZCB Curve - Payment Dates'!$A$2:$A$246,0))</f>
        <v>0.95121018311627348</v>
      </c>
      <c r="E3181" s="32">
        <f t="shared" si="49"/>
        <v>2.3780254577906836</v>
      </c>
    </row>
    <row r="3182" spans="1:5" x14ac:dyDescent="0.25">
      <c r="A3182" s="17">
        <v>304</v>
      </c>
      <c r="B3182" s="31">
        <v>46888</v>
      </c>
      <c r="C3182" s="32">
        <f>INDEX('Input Data'!$B:$B,A3182)/2+IF(A3182&lt;&gt;A3183,100,0)</f>
        <v>2.5</v>
      </c>
      <c r="D3182" s="33">
        <f>INDEX('ZCB Curve - Payment Dates'!$D$2:$D$246,MATCH(B3182,'ZCB Curve - Payment Dates'!$A$2:$A$246,0))</f>
        <v>0.93000025435083566</v>
      </c>
      <c r="E3182" s="32">
        <f t="shared" si="49"/>
        <v>2.3250006358770889</v>
      </c>
    </row>
    <row r="3183" spans="1:5" x14ac:dyDescent="0.25">
      <c r="A3183" s="17">
        <v>304</v>
      </c>
      <c r="B3183" s="31">
        <v>47072</v>
      </c>
      <c r="C3183" s="32">
        <f>INDEX('Input Data'!$B:$B,A3183)/2+IF(A3183&lt;&gt;A3184,100,0)</f>
        <v>2.5</v>
      </c>
      <c r="D3183" s="33">
        <f>INDEX('ZCB Curve - Payment Dates'!$D$2:$D$246,MATCH(B3183,'ZCB Curve - Payment Dates'!$A$2:$A$246,0))</f>
        <v>0.90870125167038918</v>
      </c>
      <c r="E3183" s="32">
        <f t="shared" si="49"/>
        <v>2.2717531291759729</v>
      </c>
    </row>
    <row r="3184" spans="1:5" x14ac:dyDescent="0.25">
      <c r="A3184" s="17">
        <v>304</v>
      </c>
      <c r="B3184" s="31">
        <v>47253</v>
      </c>
      <c r="C3184" s="32">
        <f>INDEX('Input Data'!$B:$B,A3184)/2+IF(A3184&lt;&gt;A3185,100,0)</f>
        <v>2.5</v>
      </c>
      <c r="D3184" s="33">
        <f>INDEX('ZCB Curve - Payment Dates'!$D$2:$D$246,MATCH(B3184,'ZCB Curve - Payment Dates'!$A$2:$A$246,0))</f>
        <v>0.88809325063638844</v>
      </c>
      <c r="E3184" s="32">
        <f t="shared" si="49"/>
        <v>2.2202331265909709</v>
      </c>
    </row>
    <row r="3185" spans="1:5" x14ac:dyDescent="0.25">
      <c r="A3185" s="17">
        <v>304</v>
      </c>
      <c r="B3185" s="31">
        <v>47437</v>
      </c>
      <c r="C3185" s="32">
        <f>INDEX('Input Data'!$B:$B,A3185)/2+IF(A3185&lt;&gt;A3186,100,0)</f>
        <v>2.5</v>
      </c>
      <c r="D3185" s="33">
        <f>INDEX('ZCB Curve - Payment Dates'!$D$2:$D$246,MATCH(B3185,'ZCB Curve - Payment Dates'!$A$2:$A$246,0))</f>
        <v>0.86758824089536279</v>
      </c>
      <c r="E3185" s="32">
        <f t="shared" si="49"/>
        <v>2.168970602238407</v>
      </c>
    </row>
    <row r="3186" spans="1:5" x14ac:dyDescent="0.25">
      <c r="A3186" s="17">
        <v>304</v>
      </c>
      <c r="B3186" s="31">
        <v>47618</v>
      </c>
      <c r="C3186" s="32">
        <f>INDEX('Input Data'!$B:$B,A3186)/2+IF(A3186&lt;&gt;A3187,100,0)</f>
        <v>2.5</v>
      </c>
      <c r="D3186" s="33">
        <f>INDEX('ZCB Curve - Payment Dates'!$D$2:$D$246,MATCH(B3186,'ZCB Curve - Payment Dates'!$A$2:$A$246,0))</f>
        <v>0.84787416911783064</v>
      </c>
      <c r="E3186" s="32">
        <f t="shared" si="49"/>
        <v>2.1196854227945767</v>
      </c>
    </row>
    <row r="3187" spans="1:5" x14ac:dyDescent="0.25">
      <c r="A3187" s="17">
        <v>304</v>
      </c>
      <c r="B3187" s="31">
        <v>47802</v>
      </c>
      <c r="C3187" s="32">
        <f>INDEX('Input Data'!$B:$B,A3187)/2+IF(A3187&lt;&gt;A3188,100,0)</f>
        <v>2.5</v>
      </c>
      <c r="D3187" s="33">
        <f>INDEX('ZCB Curve - Payment Dates'!$D$2:$D$246,MATCH(B3187,'ZCB Curve - Payment Dates'!$A$2:$A$246,0))</f>
        <v>0.82827715028796722</v>
      </c>
      <c r="E3187" s="32">
        <f t="shared" si="49"/>
        <v>2.0706928757199181</v>
      </c>
    </row>
    <row r="3188" spans="1:5" x14ac:dyDescent="0.25">
      <c r="A3188" s="17">
        <v>304</v>
      </c>
      <c r="B3188" s="31">
        <v>47983</v>
      </c>
      <c r="C3188" s="32">
        <f>INDEX('Input Data'!$B:$B,A3188)/2+IF(A3188&lt;&gt;A3189,100,0)</f>
        <v>2.5</v>
      </c>
      <c r="D3188" s="33">
        <f>INDEX('ZCB Curve - Payment Dates'!$D$2:$D$246,MATCH(B3188,'ZCB Curve - Payment Dates'!$A$2:$A$246,0))</f>
        <v>0.80939067484273564</v>
      </c>
      <c r="E3188" s="32">
        <f t="shared" si="49"/>
        <v>2.023476687106839</v>
      </c>
    </row>
    <row r="3189" spans="1:5" x14ac:dyDescent="0.25">
      <c r="A3189" s="17">
        <v>304</v>
      </c>
      <c r="B3189" s="31">
        <v>48167</v>
      </c>
      <c r="C3189" s="32">
        <f>INDEX('Input Data'!$B:$B,A3189)/2+IF(A3189&lt;&gt;A3190,100,0)</f>
        <v>2.5</v>
      </c>
      <c r="D3189" s="33">
        <f>INDEX('ZCB Curve - Payment Dates'!$D$2:$D$246,MATCH(B3189,'ZCB Curve - Payment Dates'!$A$2:$A$246,0))</f>
        <v>0.79053567842581962</v>
      </c>
      <c r="E3189" s="32">
        <f t="shared" si="49"/>
        <v>1.9763391960645491</v>
      </c>
    </row>
    <row r="3190" spans="1:5" x14ac:dyDescent="0.25">
      <c r="A3190" s="17">
        <v>304</v>
      </c>
      <c r="B3190" s="31">
        <v>48349</v>
      </c>
      <c r="C3190" s="32">
        <f>INDEX('Input Data'!$B:$B,A3190)/2+IF(A3190&lt;&gt;A3191,100,0)</f>
        <v>2.5</v>
      </c>
      <c r="D3190" s="33">
        <f>INDEX('ZCB Curve - Payment Dates'!$D$2:$D$246,MATCH(B3190,'ZCB Curve - Payment Dates'!$A$2:$A$246,0))</f>
        <v>0.77217305702007488</v>
      </c>
      <c r="E3190" s="32">
        <f t="shared" si="49"/>
        <v>1.9304326425501872</v>
      </c>
    </row>
    <row r="3191" spans="1:5" x14ac:dyDescent="0.25">
      <c r="A3191" s="17">
        <v>304</v>
      </c>
      <c r="B3191" s="31">
        <v>48533</v>
      </c>
      <c r="C3191" s="32">
        <f>INDEX('Input Data'!$B:$B,A3191)/2+IF(A3191&lt;&gt;A3192,100,0)</f>
        <v>2.5</v>
      </c>
      <c r="D3191" s="33">
        <f>INDEX('ZCB Curve - Payment Dates'!$D$2:$D$246,MATCH(B3191,'ZCB Curve - Payment Dates'!$A$2:$A$246,0))</f>
        <v>0.75384766072076514</v>
      </c>
      <c r="E3191" s="32">
        <f t="shared" si="49"/>
        <v>1.8846191518019129</v>
      </c>
    </row>
    <row r="3192" spans="1:5" x14ac:dyDescent="0.25">
      <c r="A3192" s="17">
        <v>304</v>
      </c>
      <c r="B3192" s="31">
        <v>48714</v>
      </c>
      <c r="C3192" s="32">
        <f>INDEX('Input Data'!$B:$B,A3192)/2+IF(A3192&lt;&gt;A3193,100,0)</f>
        <v>2.5</v>
      </c>
      <c r="D3192" s="33">
        <f>INDEX('ZCB Curve - Payment Dates'!$D$2:$D$246,MATCH(B3192,'ZCB Curve - Payment Dates'!$A$2:$A$246,0))</f>
        <v>0.73601491848746747</v>
      </c>
      <c r="E3192" s="32">
        <f t="shared" si="49"/>
        <v>1.8400372962186686</v>
      </c>
    </row>
    <row r="3193" spans="1:5" x14ac:dyDescent="0.25">
      <c r="A3193" s="17">
        <v>304</v>
      </c>
      <c r="B3193" s="31">
        <v>48898</v>
      </c>
      <c r="C3193" s="32">
        <f>INDEX('Input Data'!$B:$B,A3193)/2+IF(A3193&lt;&gt;A3194,100,0)</f>
        <v>2.5</v>
      </c>
      <c r="D3193" s="33">
        <f>INDEX('ZCB Curve - Payment Dates'!$D$2:$D$246,MATCH(B3193,'ZCB Curve - Payment Dates'!$A$2:$A$246,0))</f>
        <v>0.71805338140354003</v>
      </c>
      <c r="E3193" s="32">
        <f t="shared" si="49"/>
        <v>1.7951334535088501</v>
      </c>
    </row>
    <row r="3194" spans="1:5" x14ac:dyDescent="0.25">
      <c r="A3194" s="17">
        <v>304</v>
      </c>
      <c r="B3194" s="31">
        <v>49079</v>
      </c>
      <c r="C3194" s="32">
        <f>INDEX('Input Data'!$B:$B,A3194)/2+IF(A3194&lt;&gt;A3195,100,0)</f>
        <v>2.5</v>
      </c>
      <c r="D3194" s="33">
        <f>INDEX('ZCB Curve - Payment Dates'!$D$2:$D$246,MATCH(B3194,'ZCB Curve - Payment Dates'!$A$2:$A$246,0))</f>
        <v>0.70052630492471468</v>
      </c>
      <c r="E3194" s="32">
        <f t="shared" si="49"/>
        <v>1.7513157623117868</v>
      </c>
    </row>
    <row r="3195" spans="1:5" x14ac:dyDescent="0.25">
      <c r="A3195" s="17">
        <v>304</v>
      </c>
      <c r="B3195" s="31">
        <v>49263</v>
      </c>
      <c r="C3195" s="32">
        <f>INDEX('Input Data'!$B:$B,A3195)/2+IF(A3195&lt;&gt;A3196,100,0)</f>
        <v>2.5</v>
      </c>
      <c r="D3195" s="33">
        <f>INDEX('ZCB Curve - Payment Dates'!$D$2:$D$246,MATCH(B3195,'ZCB Curve - Payment Dates'!$A$2:$A$246,0))</f>
        <v>0.68284221202539863</v>
      </c>
      <c r="E3195" s="32">
        <f t="shared" si="49"/>
        <v>1.7071055300634965</v>
      </c>
    </row>
    <row r="3196" spans="1:5" x14ac:dyDescent="0.25">
      <c r="A3196" s="17">
        <v>304</v>
      </c>
      <c r="B3196" s="31">
        <v>49444</v>
      </c>
      <c r="C3196" s="32">
        <f>INDEX('Input Data'!$B:$B,A3196)/2+IF(A3196&lt;&gt;A3197,100,0)</f>
        <v>2.5</v>
      </c>
      <c r="D3196" s="33">
        <f>INDEX('ZCB Curve - Payment Dates'!$D$2:$D$246,MATCH(B3196,'ZCB Curve - Payment Dates'!$A$2:$A$246,0))</f>
        <v>0.66557347415228496</v>
      </c>
      <c r="E3196" s="32">
        <f t="shared" si="49"/>
        <v>1.6639336853807123</v>
      </c>
    </row>
    <row r="3197" spans="1:5" x14ac:dyDescent="0.25">
      <c r="A3197" s="17">
        <v>304</v>
      </c>
      <c r="B3197" s="31">
        <v>49628</v>
      </c>
      <c r="C3197" s="32">
        <f>INDEX('Input Data'!$B:$B,A3197)/2+IF(A3197&lt;&gt;A3198,100,0)</f>
        <v>2.5</v>
      </c>
      <c r="D3197" s="33">
        <f>INDEX('ZCB Curve - Payment Dates'!$D$2:$D$246,MATCH(B3197,'ZCB Curve - Payment Dates'!$A$2:$A$246,0))</f>
        <v>0.64815361918127823</v>
      </c>
      <c r="E3197" s="32">
        <f t="shared" si="49"/>
        <v>1.6203840479531957</v>
      </c>
    </row>
    <row r="3198" spans="1:5" x14ac:dyDescent="0.25">
      <c r="A3198" s="17">
        <v>304</v>
      </c>
      <c r="B3198" s="31">
        <v>49810</v>
      </c>
      <c r="C3198" s="32">
        <f>INDEX('Input Data'!$B:$B,A3198)/2+IF(A3198&lt;&gt;A3199,100,0)</f>
        <v>2.5</v>
      </c>
      <c r="D3198" s="33">
        <f>INDEX('ZCB Curve - Payment Dates'!$D$2:$D$246,MATCH(B3198,'ZCB Curve - Payment Dates'!$A$2:$A$246,0))</f>
        <v>0.63106457078577471</v>
      </c>
      <c r="E3198" s="32">
        <f t="shared" si="49"/>
        <v>1.5776614269644367</v>
      </c>
    </row>
    <row r="3199" spans="1:5" x14ac:dyDescent="0.25">
      <c r="A3199" s="17">
        <v>304</v>
      </c>
      <c r="B3199" s="31">
        <v>49994</v>
      </c>
      <c r="C3199" s="32">
        <f>INDEX('Input Data'!$B:$B,A3199)/2+IF(A3199&lt;&gt;A3200,100,0)</f>
        <v>2.5</v>
      </c>
      <c r="D3199" s="33">
        <f>INDEX('ZCB Curve - Payment Dates'!$D$2:$D$246,MATCH(B3199,'ZCB Curve - Payment Dates'!$A$2:$A$246,0))</f>
        <v>0.61395227923184648</v>
      </c>
      <c r="E3199" s="32">
        <f t="shared" si="49"/>
        <v>1.5348806980796161</v>
      </c>
    </row>
    <row r="3200" spans="1:5" x14ac:dyDescent="0.25">
      <c r="A3200" s="17">
        <v>304</v>
      </c>
      <c r="B3200" s="31">
        <v>50175</v>
      </c>
      <c r="C3200" s="32">
        <f>INDEX('Input Data'!$B:$B,A3200)/2+IF(A3200&lt;&gt;A3201,100,0)</f>
        <v>2.5</v>
      </c>
      <c r="D3200" s="33">
        <f>INDEX('ZCB Curve - Payment Dates'!$D$2:$D$246,MATCH(B3200,'ZCB Curve - Payment Dates'!$A$2:$A$246,0))</f>
        <v>0.5972963482314616</v>
      </c>
      <c r="E3200" s="32">
        <f t="shared" si="49"/>
        <v>1.493240870578654</v>
      </c>
    </row>
    <row r="3201" spans="1:5" x14ac:dyDescent="0.25">
      <c r="A3201" s="17">
        <v>304</v>
      </c>
      <c r="B3201" s="31">
        <v>50359</v>
      </c>
      <c r="C3201" s="32">
        <f>INDEX('Input Data'!$B:$B,A3201)/2+IF(A3201&lt;&gt;A3202,100,0)</f>
        <v>2.5</v>
      </c>
      <c r="D3201" s="33">
        <f>INDEX('ZCB Curve - Payment Dates'!$D$2:$D$246,MATCH(B3201,'ZCB Curve - Payment Dates'!$A$2:$A$246,0))</f>
        <v>0.58056812006155756</v>
      </c>
      <c r="E3201" s="32">
        <f t="shared" si="49"/>
        <v>1.4514203001538939</v>
      </c>
    </row>
    <row r="3202" spans="1:5" x14ac:dyDescent="0.25">
      <c r="A3202" s="17">
        <v>304</v>
      </c>
      <c r="B3202" s="31">
        <v>50540</v>
      </c>
      <c r="C3202" s="32">
        <f>INDEX('Input Data'!$B:$B,A3202)/2+IF(A3202&lt;&gt;A3203,100,0)</f>
        <v>2.5</v>
      </c>
      <c r="D3202" s="33">
        <f>INDEX('ZCB Curve - Payment Dates'!$D$2:$D$246,MATCH(B3202,'ZCB Curve - Payment Dates'!$A$2:$A$246,0))</f>
        <v>0.56433491315969797</v>
      </c>
      <c r="E3202" s="32">
        <f t="shared" ref="E3202:E3265" si="50">C3202*D3202</f>
        <v>1.4108372828992448</v>
      </c>
    </row>
    <row r="3203" spans="1:5" x14ac:dyDescent="0.25">
      <c r="A3203" s="17">
        <v>304</v>
      </c>
      <c r="B3203" s="31">
        <v>50724</v>
      </c>
      <c r="C3203" s="32">
        <f>INDEX('Input Data'!$B:$B,A3203)/2+IF(A3203&lt;&gt;A3204,100,0)</f>
        <v>2.5</v>
      </c>
      <c r="D3203" s="33">
        <f>INDEX('ZCB Curve - Payment Dates'!$D$2:$D$246,MATCH(B3203,'ZCB Curve - Payment Dates'!$A$2:$A$246,0))</f>
        <v>0.54808398139057424</v>
      </c>
      <c r="E3203" s="32">
        <f t="shared" si="50"/>
        <v>1.3702099534764356</v>
      </c>
    </row>
    <row r="3204" spans="1:5" x14ac:dyDescent="0.25">
      <c r="A3204" s="17">
        <v>304</v>
      </c>
      <c r="B3204" s="31">
        <v>50905</v>
      </c>
      <c r="C3204" s="32">
        <f>INDEX('Input Data'!$B:$B,A3204)/2+IF(A3204&lt;&gt;A3205,100,0)</f>
        <v>2.5</v>
      </c>
      <c r="D3204" s="33">
        <f>INDEX('ZCB Curve - Payment Dates'!$D$2:$D$246,MATCH(B3204,'ZCB Curve - Payment Dates'!$A$2:$A$246,0))</f>
        <v>0.5323673246083096</v>
      </c>
      <c r="E3204" s="32">
        <f t="shared" si="50"/>
        <v>1.3309183115207741</v>
      </c>
    </row>
    <row r="3205" spans="1:5" x14ac:dyDescent="0.25">
      <c r="A3205" s="17">
        <v>304</v>
      </c>
      <c r="B3205" s="31">
        <v>51089</v>
      </c>
      <c r="C3205" s="32">
        <f>INDEX('Input Data'!$B:$B,A3205)/2+IF(A3205&lt;&gt;A3206,100,0)</f>
        <v>2.5</v>
      </c>
      <c r="D3205" s="33">
        <f>INDEX('ZCB Curve - Payment Dates'!$D$2:$D$246,MATCH(B3205,'ZCB Curve - Payment Dates'!$A$2:$A$246,0))</f>
        <v>0.51668806431098135</v>
      </c>
      <c r="E3205" s="32">
        <f t="shared" si="50"/>
        <v>1.2917201607774533</v>
      </c>
    </row>
    <row r="3206" spans="1:5" x14ac:dyDescent="0.25">
      <c r="A3206" s="17">
        <v>304</v>
      </c>
      <c r="B3206" s="31">
        <v>51271</v>
      </c>
      <c r="C3206" s="32">
        <f>INDEX('Input Data'!$B:$B,A3206)/2+IF(A3206&lt;&gt;A3207,100,0)</f>
        <v>2.5</v>
      </c>
      <c r="D3206" s="33">
        <f>INDEX('ZCB Curve - Payment Dates'!$D$2:$D$246,MATCH(B3206,'ZCB Curve - Payment Dates'!$A$2:$A$246,0))</f>
        <v>0.50149590020417278</v>
      </c>
      <c r="E3206" s="32">
        <f t="shared" si="50"/>
        <v>1.253739750510432</v>
      </c>
    </row>
    <row r="3207" spans="1:5" x14ac:dyDescent="0.25">
      <c r="A3207" s="17">
        <v>304</v>
      </c>
      <c r="B3207" s="31">
        <v>51455</v>
      </c>
      <c r="C3207" s="32">
        <f>INDEX('Input Data'!$B:$B,A3207)/2+IF(A3207&lt;&gt;A3208,100,0)</f>
        <v>2.5</v>
      </c>
      <c r="D3207" s="33">
        <f>INDEX('ZCB Curve - Payment Dates'!$D$2:$D$246,MATCH(B3207,'ZCB Curve - Payment Dates'!$A$2:$A$246,0))</f>
        <v>0.48647538074270091</v>
      </c>
      <c r="E3207" s="32">
        <f t="shared" si="50"/>
        <v>1.2161884518567523</v>
      </c>
    </row>
    <row r="3208" spans="1:5" x14ac:dyDescent="0.25">
      <c r="A3208" s="17">
        <v>304</v>
      </c>
      <c r="B3208" s="31">
        <v>51636</v>
      </c>
      <c r="C3208" s="32">
        <f>INDEX('Input Data'!$B:$B,A3208)/2+IF(A3208&lt;&gt;A3209,100,0)</f>
        <v>2.5</v>
      </c>
      <c r="D3208" s="33">
        <f>INDEX('ZCB Curve - Payment Dates'!$D$2:$D$246,MATCH(B3208,'ZCB Curve - Payment Dates'!$A$2:$A$246,0))</f>
        <v>0.47204918703719451</v>
      </c>
      <c r="E3208" s="32">
        <f t="shared" si="50"/>
        <v>1.1801229675929863</v>
      </c>
    </row>
    <row r="3209" spans="1:5" x14ac:dyDescent="0.25">
      <c r="A3209" s="17">
        <v>304</v>
      </c>
      <c r="B3209" s="31">
        <v>51820</v>
      </c>
      <c r="C3209" s="32">
        <f>INDEX('Input Data'!$B:$B,A3209)/2+IF(A3209&lt;&gt;A3210,100,0)</f>
        <v>2.5</v>
      </c>
      <c r="D3209" s="33">
        <f>INDEX('ZCB Curve - Payment Dates'!$D$2:$D$246,MATCH(B3209,'ZCB Curve - Payment Dates'!$A$2:$A$246,0))</f>
        <v>0.45775548669345245</v>
      </c>
      <c r="E3209" s="32">
        <f t="shared" si="50"/>
        <v>1.1443887167336311</v>
      </c>
    </row>
    <row r="3210" spans="1:5" x14ac:dyDescent="0.25">
      <c r="A3210" s="17">
        <v>304</v>
      </c>
      <c r="B3210" s="31">
        <v>52001</v>
      </c>
      <c r="C3210" s="32">
        <f>INDEX('Input Data'!$B:$B,A3210)/2+IF(A3210&lt;&gt;A3211,100,0)</f>
        <v>2.5</v>
      </c>
      <c r="D3210" s="33">
        <f>INDEX('ZCB Curve - Payment Dates'!$D$2:$D$246,MATCH(B3210,'ZCB Curve - Payment Dates'!$A$2:$A$246,0))</f>
        <v>0.44407192118484318</v>
      </c>
      <c r="E3210" s="32">
        <f t="shared" si="50"/>
        <v>1.1101798029621079</v>
      </c>
    </row>
    <row r="3211" spans="1:5" x14ac:dyDescent="0.25">
      <c r="A3211" s="17">
        <v>304</v>
      </c>
      <c r="B3211" s="31">
        <v>52185</v>
      </c>
      <c r="C3211" s="32">
        <f>INDEX('Input Data'!$B:$B,A3211)/2+IF(A3211&lt;&gt;A3212,100,0)</f>
        <v>2.5</v>
      </c>
      <c r="D3211" s="33">
        <f>INDEX('ZCB Curve - Payment Dates'!$D$2:$D$246,MATCH(B3211,'ZCB Curve - Payment Dates'!$A$2:$A$246,0))</f>
        <v>0.43055647946672393</v>
      </c>
      <c r="E3211" s="32">
        <f t="shared" si="50"/>
        <v>1.0763911986668098</v>
      </c>
    </row>
    <row r="3212" spans="1:5" x14ac:dyDescent="0.25">
      <c r="A3212" s="17">
        <v>304</v>
      </c>
      <c r="B3212" s="31">
        <v>52366</v>
      </c>
      <c r="C3212" s="32">
        <f>INDEX('Input Data'!$B:$B,A3212)/2+IF(A3212&lt;&gt;A3213,100,0)</f>
        <v>2.5</v>
      </c>
      <c r="D3212" s="33">
        <f>INDEX('ZCB Curve - Payment Dates'!$D$2:$D$246,MATCH(B3212,'ZCB Curve - Payment Dates'!$A$2:$A$246,0))</f>
        <v>0.41765686229470528</v>
      </c>
      <c r="E3212" s="32">
        <f t="shared" si="50"/>
        <v>1.0441421557367632</v>
      </c>
    </row>
    <row r="3213" spans="1:5" x14ac:dyDescent="0.25">
      <c r="A3213" s="17">
        <v>304</v>
      </c>
      <c r="B3213" s="31">
        <v>52550</v>
      </c>
      <c r="C3213" s="32">
        <f>INDEX('Input Data'!$B:$B,A3213)/2+IF(A3213&lt;&gt;A3214,100,0)</f>
        <v>2.5</v>
      </c>
      <c r="D3213" s="33">
        <f>INDEX('ZCB Curve - Payment Dates'!$D$2:$D$246,MATCH(B3213,'ZCB Curve - Payment Dates'!$A$2:$A$246,0))</f>
        <v>0.40495237741553414</v>
      </c>
      <c r="E3213" s="32">
        <f t="shared" si="50"/>
        <v>1.0123809435388353</v>
      </c>
    </row>
    <row r="3214" spans="1:5" x14ac:dyDescent="0.25">
      <c r="A3214" s="17">
        <v>304</v>
      </c>
      <c r="B3214" s="31">
        <v>52732</v>
      </c>
      <c r="C3214" s="32">
        <f>INDEX('Input Data'!$B:$B,A3214)/2+IF(A3214&lt;&gt;A3215,100,0)</f>
        <v>2.5</v>
      </c>
      <c r="D3214" s="33">
        <f>INDEX('ZCB Curve - Payment Dates'!$D$2:$D$246,MATCH(B3214,'ZCB Curve - Payment Dates'!$A$2:$A$246,0))</f>
        <v>0.3927952920896523</v>
      </c>
      <c r="E3214" s="32">
        <f t="shared" si="50"/>
        <v>0.98198823022413073</v>
      </c>
    </row>
    <row r="3215" spans="1:5" x14ac:dyDescent="0.25">
      <c r="A3215" s="17">
        <v>304</v>
      </c>
      <c r="B3215" s="31">
        <v>52916</v>
      </c>
      <c r="C3215" s="32">
        <f>INDEX('Input Data'!$B:$B,A3215)/2+IF(A3215&lt;&gt;A3216,100,0)</f>
        <v>2.5</v>
      </c>
      <c r="D3215" s="33">
        <f>INDEX('ZCB Curve - Payment Dates'!$D$2:$D$246,MATCH(B3215,'ZCB Curve - Payment Dates'!$A$2:$A$246,0))</f>
        <v>0.38091684361752687</v>
      </c>
      <c r="E3215" s="32">
        <f t="shared" si="50"/>
        <v>0.95229210904381723</v>
      </c>
    </row>
    <row r="3216" spans="1:5" x14ac:dyDescent="0.25">
      <c r="A3216" s="17">
        <v>304</v>
      </c>
      <c r="B3216" s="31">
        <v>53097</v>
      </c>
      <c r="C3216" s="32">
        <f>INDEX('Input Data'!$B:$B,A3216)/2+IF(A3216&lt;&gt;A3217,100,0)</f>
        <v>102.5</v>
      </c>
      <c r="D3216" s="33">
        <f>INDEX('ZCB Curve - Payment Dates'!$D$2:$D$246,MATCH(B3216,'ZCB Curve - Payment Dates'!$A$2:$A$246,0))</f>
        <v>0.36964331092783359</v>
      </c>
      <c r="E3216" s="32">
        <f t="shared" si="50"/>
        <v>37.888439370102944</v>
      </c>
    </row>
    <row r="3217" spans="1:5" x14ac:dyDescent="0.25">
      <c r="A3217" s="17">
        <v>305</v>
      </c>
      <c r="B3217" s="31">
        <v>46433</v>
      </c>
      <c r="C3217" s="32">
        <f>INDEX('Input Data'!$B:$B,A3217)/2+IF(A3217&lt;&gt;A3218,100,0)</f>
        <v>1.4375</v>
      </c>
      <c r="D3217" s="33">
        <f>INDEX('ZCB Curve - Payment Dates'!$D$2:$D$246,MATCH(B3217,'ZCB Curve - Payment Dates'!$A$2:$A$246,0))</f>
        <v>0.98242671792446301</v>
      </c>
      <c r="E3217" s="32">
        <f t="shared" si="50"/>
        <v>1.4122384070164156</v>
      </c>
    </row>
    <row r="3218" spans="1:5" x14ac:dyDescent="0.25">
      <c r="A3218" s="17">
        <v>305</v>
      </c>
      <c r="B3218" s="31">
        <v>46614</v>
      </c>
      <c r="C3218" s="32">
        <f>INDEX('Input Data'!$B:$B,A3218)/2+IF(A3218&lt;&gt;A3219,100,0)</f>
        <v>1.4375</v>
      </c>
      <c r="D3218" s="33">
        <f>INDEX('ZCB Curve - Payment Dates'!$D$2:$D$246,MATCH(B3218,'ZCB Curve - Payment Dates'!$A$2:$A$246,0))</f>
        <v>0.96187948164765535</v>
      </c>
      <c r="E3218" s="32">
        <f t="shared" si="50"/>
        <v>1.3827017548685046</v>
      </c>
    </row>
    <row r="3219" spans="1:5" x14ac:dyDescent="0.25">
      <c r="A3219" s="17">
        <v>305</v>
      </c>
      <c r="B3219" s="31">
        <v>46798</v>
      </c>
      <c r="C3219" s="32">
        <f>INDEX('Input Data'!$B:$B,A3219)/2+IF(A3219&lt;&gt;A3220,100,0)</f>
        <v>1.4375</v>
      </c>
      <c r="D3219" s="33">
        <f>INDEX('ZCB Curve - Payment Dates'!$D$2:$D$246,MATCH(B3219,'ZCB Curve - Payment Dates'!$A$2:$A$246,0))</f>
        <v>0.94049096132648802</v>
      </c>
      <c r="E3219" s="32">
        <f t="shared" si="50"/>
        <v>1.3519557569068266</v>
      </c>
    </row>
    <row r="3220" spans="1:5" x14ac:dyDescent="0.25">
      <c r="A3220" s="17">
        <v>305</v>
      </c>
      <c r="B3220" s="31">
        <v>46980</v>
      </c>
      <c r="C3220" s="32">
        <f>INDEX('Input Data'!$B:$B,A3220)/2+IF(A3220&lt;&gt;A3221,100,0)</f>
        <v>1.4375</v>
      </c>
      <c r="D3220" s="33">
        <f>INDEX('ZCB Curve - Payment Dates'!$D$2:$D$246,MATCH(B3220,'ZCB Curve - Payment Dates'!$A$2:$A$246,0))</f>
        <v>0.91931844130238327</v>
      </c>
      <c r="E3220" s="32">
        <f t="shared" si="50"/>
        <v>1.321520259372176</v>
      </c>
    </row>
    <row r="3221" spans="1:5" x14ac:dyDescent="0.25">
      <c r="A3221" s="17">
        <v>305</v>
      </c>
      <c r="B3221" s="31">
        <v>47164</v>
      </c>
      <c r="C3221" s="32">
        <f>INDEX('Input Data'!$B:$B,A3221)/2+IF(A3221&lt;&gt;A3222,100,0)</f>
        <v>1.4375</v>
      </c>
      <c r="D3221" s="33">
        <f>INDEX('ZCB Curve - Payment Dates'!$D$2:$D$246,MATCH(B3221,'ZCB Curve - Payment Dates'!$A$2:$A$246,0))</f>
        <v>0.89817430058086534</v>
      </c>
      <c r="E3221" s="32">
        <f t="shared" si="50"/>
        <v>1.291125557084994</v>
      </c>
    </row>
    <row r="3222" spans="1:5" x14ac:dyDescent="0.25">
      <c r="A3222" s="17">
        <v>305</v>
      </c>
      <c r="B3222" s="31">
        <v>47345</v>
      </c>
      <c r="C3222" s="32">
        <f>INDEX('Input Data'!$B:$B,A3222)/2+IF(A3222&lt;&gt;A3223,100,0)</f>
        <v>1.4375</v>
      </c>
      <c r="D3222" s="33">
        <f>INDEX('ZCB Curve - Payment Dates'!$D$2:$D$246,MATCH(B3222,'ZCB Curve - Payment Dates'!$A$2:$A$246,0))</f>
        <v>0.87778421628860481</v>
      </c>
      <c r="E3222" s="32">
        <f t="shared" si="50"/>
        <v>1.2618148109148695</v>
      </c>
    </row>
    <row r="3223" spans="1:5" x14ac:dyDescent="0.25">
      <c r="A3223" s="17">
        <v>305</v>
      </c>
      <c r="B3223" s="31">
        <v>47529</v>
      </c>
      <c r="C3223" s="32">
        <f>INDEX('Input Data'!$B:$B,A3223)/2+IF(A3223&lt;&gt;A3224,100,0)</f>
        <v>1.4375</v>
      </c>
      <c r="D3223" s="33">
        <f>INDEX('ZCB Curve - Payment Dates'!$D$2:$D$246,MATCH(B3223,'ZCB Curve - Payment Dates'!$A$2:$A$246,0))</f>
        <v>0.85751015570959666</v>
      </c>
      <c r="E3223" s="32">
        <f t="shared" si="50"/>
        <v>1.2326708488325453</v>
      </c>
    </row>
    <row r="3224" spans="1:5" x14ac:dyDescent="0.25">
      <c r="A3224" s="17">
        <v>305</v>
      </c>
      <c r="B3224" s="31">
        <v>47710</v>
      </c>
      <c r="C3224" s="32">
        <f>INDEX('Input Data'!$B:$B,A3224)/2+IF(A3224&lt;&gt;A3225,100,0)</f>
        <v>1.4375</v>
      </c>
      <c r="D3224" s="33">
        <f>INDEX('ZCB Curve - Payment Dates'!$D$2:$D$246,MATCH(B3224,'ZCB Curve - Payment Dates'!$A$2:$A$246,0))</f>
        <v>0.83802423748211174</v>
      </c>
      <c r="E3224" s="32">
        <f t="shared" si="50"/>
        <v>1.2046598413805356</v>
      </c>
    </row>
    <row r="3225" spans="1:5" x14ac:dyDescent="0.25">
      <c r="A3225" s="17">
        <v>305</v>
      </c>
      <c r="B3225" s="31">
        <v>47894</v>
      </c>
      <c r="C3225" s="32">
        <f>INDEX('Input Data'!$B:$B,A3225)/2+IF(A3225&lt;&gt;A3226,100,0)</f>
        <v>1.4375</v>
      </c>
      <c r="D3225" s="33">
        <f>INDEX('ZCB Curve - Payment Dates'!$D$2:$D$246,MATCH(B3225,'ZCB Curve - Payment Dates'!$A$2:$A$246,0))</f>
        <v>0.8186305474741673</v>
      </c>
      <c r="E3225" s="32">
        <f t="shared" si="50"/>
        <v>1.1767814119941156</v>
      </c>
    </row>
    <row r="3226" spans="1:5" x14ac:dyDescent="0.25">
      <c r="A3226" s="17">
        <v>305</v>
      </c>
      <c r="B3226" s="31">
        <v>48075</v>
      </c>
      <c r="C3226" s="32">
        <f>INDEX('Input Data'!$B:$B,A3226)/2+IF(A3226&lt;&gt;A3227,100,0)</f>
        <v>1.4375</v>
      </c>
      <c r="D3226" s="33">
        <f>INDEX('ZCB Curve - Payment Dates'!$D$2:$D$246,MATCH(B3226,'ZCB Curve - Payment Dates'!$A$2:$A$246,0))</f>
        <v>0.7999252334775927</v>
      </c>
      <c r="E3226" s="32">
        <f t="shared" si="50"/>
        <v>1.1498925231240396</v>
      </c>
    </row>
    <row r="3227" spans="1:5" x14ac:dyDescent="0.25">
      <c r="A3227" s="17">
        <v>305</v>
      </c>
      <c r="B3227" s="31">
        <v>48259</v>
      </c>
      <c r="C3227" s="32">
        <f>INDEX('Input Data'!$B:$B,A3227)/2+IF(A3227&lt;&gt;A3228,100,0)</f>
        <v>1.4375</v>
      </c>
      <c r="D3227" s="33">
        <f>INDEX('ZCB Curve - Payment Dates'!$D$2:$D$246,MATCH(B3227,'ZCB Curve - Payment Dates'!$A$2:$A$246,0))</f>
        <v>0.78121887027612602</v>
      </c>
      <c r="E3227" s="32">
        <f t="shared" si="50"/>
        <v>1.1230021260219312</v>
      </c>
    </row>
    <row r="3228" spans="1:5" x14ac:dyDescent="0.25">
      <c r="A3228" s="17">
        <v>305</v>
      </c>
      <c r="B3228" s="31">
        <v>48441</v>
      </c>
      <c r="C3228" s="32">
        <f>INDEX('Input Data'!$B:$B,A3228)/2+IF(A3228&lt;&gt;A3229,100,0)</f>
        <v>1.4375</v>
      </c>
      <c r="D3228" s="33">
        <f>INDEX('ZCB Curve - Payment Dates'!$D$2:$D$246,MATCH(B3228,'ZCB Curve - Payment Dates'!$A$2:$A$246,0))</f>
        <v>0.76298123459017864</v>
      </c>
      <c r="E3228" s="32">
        <f t="shared" si="50"/>
        <v>1.0967855247233818</v>
      </c>
    </row>
    <row r="3229" spans="1:5" x14ac:dyDescent="0.25">
      <c r="A3229" s="17">
        <v>305</v>
      </c>
      <c r="B3229" s="31">
        <v>48625</v>
      </c>
      <c r="C3229" s="32">
        <f>INDEX('Input Data'!$B:$B,A3229)/2+IF(A3229&lt;&gt;A3230,100,0)</f>
        <v>1.4375</v>
      </c>
      <c r="D3229" s="33">
        <f>INDEX('ZCB Curve - Payment Dates'!$D$2:$D$246,MATCH(B3229,'ZCB Curve - Payment Dates'!$A$2:$A$246,0))</f>
        <v>0.74476011611938586</v>
      </c>
      <c r="E3229" s="32">
        <f t="shared" si="50"/>
        <v>1.0705926669216173</v>
      </c>
    </row>
    <row r="3230" spans="1:5" x14ac:dyDescent="0.25">
      <c r="A3230" s="17">
        <v>305</v>
      </c>
      <c r="B3230" s="31">
        <v>48806</v>
      </c>
      <c r="C3230" s="32">
        <f>INDEX('Input Data'!$B:$B,A3230)/2+IF(A3230&lt;&gt;A3231,100,0)</f>
        <v>1.4375</v>
      </c>
      <c r="D3230" s="33">
        <f>INDEX('ZCB Curve - Payment Dates'!$D$2:$D$246,MATCH(B3230,'ZCB Curve - Payment Dates'!$A$2:$A$246,0))</f>
        <v>0.72701302496114584</v>
      </c>
      <c r="E3230" s="32">
        <f t="shared" si="50"/>
        <v>1.0450812233816471</v>
      </c>
    </row>
    <row r="3231" spans="1:5" x14ac:dyDescent="0.25">
      <c r="A3231" s="17">
        <v>305</v>
      </c>
      <c r="B3231" s="31">
        <v>48990</v>
      </c>
      <c r="C3231" s="32">
        <f>INDEX('Input Data'!$B:$B,A3231)/2+IF(A3231&lt;&gt;A3232,100,0)</f>
        <v>1.4375</v>
      </c>
      <c r="D3231" s="33">
        <f>INDEX('ZCB Curve - Payment Dates'!$D$2:$D$246,MATCH(B3231,'ZCB Curve - Payment Dates'!$A$2:$A$246,0))</f>
        <v>0.70912647031380449</v>
      </c>
      <c r="E3231" s="32">
        <f t="shared" si="50"/>
        <v>1.019369301076094</v>
      </c>
    </row>
    <row r="3232" spans="1:5" x14ac:dyDescent="0.25">
      <c r="A3232" s="17">
        <v>305</v>
      </c>
      <c r="B3232" s="31">
        <v>49171</v>
      </c>
      <c r="C3232" s="32">
        <f>INDEX('Input Data'!$B:$B,A3232)/2+IF(A3232&lt;&gt;A3233,100,0)</f>
        <v>1.4375</v>
      </c>
      <c r="D3232" s="33">
        <f>INDEX('ZCB Curve - Payment Dates'!$D$2:$D$246,MATCH(B3232,'ZCB Curve - Payment Dates'!$A$2:$A$246,0))</f>
        <v>0.6916661505723215</v>
      </c>
      <c r="E3232" s="32">
        <f t="shared" si="50"/>
        <v>0.99427009144771217</v>
      </c>
    </row>
    <row r="3233" spans="1:5" x14ac:dyDescent="0.25">
      <c r="A3233" s="17">
        <v>305</v>
      </c>
      <c r="B3233" s="31">
        <v>49355</v>
      </c>
      <c r="C3233" s="32">
        <f>INDEX('Input Data'!$B:$B,A3233)/2+IF(A3233&lt;&gt;A3234,100,0)</f>
        <v>1.4375</v>
      </c>
      <c r="D3233" s="33">
        <f>INDEX('ZCB Curve - Payment Dates'!$D$2:$D$246,MATCH(B3233,'ZCB Curve - Payment Dates'!$A$2:$A$246,0))</f>
        <v>0.674047377898778</v>
      </c>
      <c r="E3233" s="32">
        <f t="shared" si="50"/>
        <v>0.96894310572949338</v>
      </c>
    </row>
    <row r="3234" spans="1:5" x14ac:dyDescent="0.25">
      <c r="A3234" s="17">
        <v>305</v>
      </c>
      <c r="B3234" s="31">
        <v>49536</v>
      </c>
      <c r="C3234" s="32">
        <f>INDEX('Input Data'!$B:$B,A3234)/2+IF(A3234&lt;&gt;A3235,100,0)</f>
        <v>1.4375</v>
      </c>
      <c r="D3234" s="33">
        <f>INDEX('ZCB Curve - Payment Dates'!$D$2:$D$246,MATCH(B3234,'ZCB Curve - Payment Dates'!$A$2:$A$246,0))</f>
        <v>0.65684432300638129</v>
      </c>
      <c r="E3234" s="32">
        <f t="shared" si="50"/>
        <v>0.94421371432167311</v>
      </c>
    </row>
    <row r="3235" spans="1:5" x14ac:dyDescent="0.25">
      <c r="A3235" s="17">
        <v>305</v>
      </c>
      <c r="B3235" s="31">
        <v>49720</v>
      </c>
      <c r="C3235" s="32">
        <f>INDEX('Input Data'!$B:$B,A3235)/2+IF(A3235&lt;&gt;A3236,100,0)</f>
        <v>1.4375</v>
      </c>
      <c r="D3235" s="33">
        <f>INDEX('ZCB Curve - Payment Dates'!$D$2:$D$246,MATCH(B3235,'ZCB Curve - Payment Dates'!$A$2:$A$246,0))</f>
        <v>0.63949604524993764</v>
      </c>
      <c r="E3235" s="32">
        <f t="shared" si="50"/>
        <v>0.91927556504678531</v>
      </c>
    </row>
    <row r="3236" spans="1:5" x14ac:dyDescent="0.25">
      <c r="A3236" s="17">
        <v>305</v>
      </c>
      <c r="B3236" s="31">
        <v>49902</v>
      </c>
      <c r="C3236" s="32">
        <f>INDEX('Input Data'!$B:$B,A3236)/2+IF(A3236&lt;&gt;A3237,100,0)</f>
        <v>1.4375</v>
      </c>
      <c r="D3236" s="33">
        <f>INDEX('ZCB Curve - Payment Dates'!$D$2:$D$246,MATCH(B3236,'ZCB Curve - Payment Dates'!$A$2:$A$246,0))</f>
        <v>0.62248862376822711</v>
      </c>
      <c r="E3236" s="32">
        <f t="shared" si="50"/>
        <v>0.89482739666682642</v>
      </c>
    </row>
    <row r="3237" spans="1:5" x14ac:dyDescent="0.25">
      <c r="A3237" s="17">
        <v>305</v>
      </c>
      <c r="B3237" s="31">
        <v>50086</v>
      </c>
      <c r="C3237" s="32">
        <f>INDEX('Input Data'!$B:$B,A3237)/2+IF(A3237&lt;&gt;A3238,100,0)</f>
        <v>1.4375</v>
      </c>
      <c r="D3237" s="33">
        <f>INDEX('ZCB Curve - Payment Dates'!$D$2:$D$246,MATCH(B3237,'ZCB Curve - Payment Dates'!$A$2:$A$246,0))</f>
        <v>0.60546490876014969</v>
      </c>
      <c r="E3237" s="32">
        <f t="shared" si="50"/>
        <v>0.87035580634271514</v>
      </c>
    </row>
    <row r="3238" spans="1:5" x14ac:dyDescent="0.25">
      <c r="A3238" s="17">
        <v>305</v>
      </c>
      <c r="B3238" s="31">
        <v>50267</v>
      </c>
      <c r="C3238" s="32">
        <f>INDEX('Input Data'!$B:$B,A3238)/2+IF(A3238&lt;&gt;A3239,100,0)</f>
        <v>1.4375</v>
      </c>
      <c r="D3238" s="33">
        <f>INDEX('ZCB Curve - Payment Dates'!$D$2:$D$246,MATCH(B3238,'ZCB Curve - Payment Dates'!$A$2:$A$246,0))</f>
        <v>0.58890683803346977</v>
      </c>
      <c r="E3238" s="32">
        <f t="shared" si="50"/>
        <v>0.84655357967311284</v>
      </c>
    </row>
    <row r="3239" spans="1:5" x14ac:dyDescent="0.25">
      <c r="A3239" s="17">
        <v>305</v>
      </c>
      <c r="B3239" s="31">
        <v>50451</v>
      </c>
      <c r="C3239" s="32">
        <f>INDEX('Input Data'!$B:$B,A3239)/2+IF(A3239&lt;&gt;A3240,100,0)</f>
        <v>1.4375</v>
      </c>
      <c r="D3239" s="33">
        <f>INDEX('ZCB Curve - Payment Dates'!$D$2:$D$246,MATCH(B3239,'ZCB Curve - Payment Dates'!$A$2:$A$246,0))</f>
        <v>0.57228983695479263</v>
      </c>
      <c r="E3239" s="32">
        <f t="shared" si="50"/>
        <v>0.82266664062251438</v>
      </c>
    </row>
    <row r="3240" spans="1:5" x14ac:dyDescent="0.25">
      <c r="A3240" s="17">
        <v>305</v>
      </c>
      <c r="B3240" s="31">
        <v>50632</v>
      </c>
      <c r="C3240" s="32">
        <f>INDEX('Input Data'!$B:$B,A3240)/2+IF(A3240&lt;&gt;A3241,100,0)</f>
        <v>1.4375</v>
      </c>
      <c r="D3240" s="33">
        <f>INDEX('ZCB Curve - Payment Dates'!$D$2:$D$246,MATCH(B3240,'ZCB Curve - Payment Dates'!$A$2:$A$246,0))</f>
        <v>0.55617795699202288</v>
      </c>
      <c r="E3240" s="32">
        <f t="shared" si="50"/>
        <v>0.79950581317603286</v>
      </c>
    </row>
    <row r="3241" spans="1:5" x14ac:dyDescent="0.25">
      <c r="A3241" s="17">
        <v>305</v>
      </c>
      <c r="B3241" s="31">
        <v>50816</v>
      </c>
      <c r="C3241" s="32">
        <f>INDEX('Input Data'!$B:$B,A3241)/2+IF(A3241&lt;&gt;A3242,100,0)</f>
        <v>1.4375</v>
      </c>
      <c r="D3241" s="33">
        <f>INDEX('ZCB Curve - Payment Dates'!$D$2:$D$246,MATCH(B3241,'ZCB Curve - Payment Dates'!$A$2:$A$246,0))</f>
        <v>0.54006240951211237</v>
      </c>
      <c r="E3241" s="32">
        <f t="shared" si="50"/>
        <v>0.7763397136736615</v>
      </c>
    </row>
    <row r="3242" spans="1:5" x14ac:dyDescent="0.25">
      <c r="A3242" s="17">
        <v>305</v>
      </c>
      <c r="B3242" s="31">
        <v>50997</v>
      </c>
      <c r="C3242" s="32">
        <f>INDEX('Input Data'!$B:$B,A3242)/2+IF(A3242&lt;&gt;A3243,100,0)</f>
        <v>1.4375</v>
      </c>
      <c r="D3242" s="33">
        <f>INDEX('ZCB Curve - Payment Dates'!$D$2:$D$246,MATCH(B3242,'ZCB Curve - Payment Dates'!$A$2:$A$246,0))</f>
        <v>0.52449040173194583</v>
      </c>
      <c r="E3242" s="32">
        <f t="shared" si="50"/>
        <v>0.75395495248967215</v>
      </c>
    </row>
    <row r="3243" spans="1:5" x14ac:dyDescent="0.25">
      <c r="A3243" s="17">
        <v>305</v>
      </c>
      <c r="B3243" s="31">
        <v>51181</v>
      </c>
      <c r="C3243" s="32">
        <f>INDEX('Input Data'!$B:$B,A3243)/2+IF(A3243&lt;&gt;A3244,100,0)</f>
        <v>1.4375</v>
      </c>
      <c r="D3243" s="33">
        <f>INDEX('ZCB Curve - Payment Dates'!$D$2:$D$246,MATCH(B3243,'ZCB Curve - Payment Dates'!$A$2:$A$246,0))</f>
        <v>0.5089691698468306</v>
      </c>
      <c r="E3243" s="32">
        <f t="shared" si="50"/>
        <v>0.73164318165481901</v>
      </c>
    </row>
    <row r="3244" spans="1:5" x14ac:dyDescent="0.25">
      <c r="A3244" s="17">
        <v>305</v>
      </c>
      <c r="B3244" s="31">
        <v>51363</v>
      </c>
      <c r="C3244" s="32">
        <f>INDEX('Input Data'!$B:$B,A3244)/2+IF(A3244&lt;&gt;A3245,100,0)</f>
        <v>1.4375</v>
      </c>
      <c r="D3244" s="33">
        <f>INDEX('ZCB Curve - Payment Dates'!$D$2:$D$246,MATCH(B3244,'ZCB Curve - Payment Dates'!$A$2:$A$246,0))</f>
        <v>0.49394036022330806</v>
      </c>
      <c r="E3244" s="32">
        <f t="shared" si="50"/>
        <v>0.71003926782100535</v>
      </c>
    </row>
    <row r="3245" spans="1:5" x14ac:dyDescent="0.25">
      <c r="A3245" s="17">
        <v>305</v>
      </c>
      <c r="B3245" s="31">
        <v>51547</v>
      </c>
      <c r="C3245" s="32">
        <f>INDEX('Input Data'!$B:$B,A3245)/2+IF(A3245&lt;&gt;A3246,100,0)</f>
        <v>1.4375</v>
      </c>
      <c r="D3245" s="33">
        <f>INDEX('ZCB Curve - Payment Dates'!$D$2:$D$246,MATCH(B3245,'ZCB Curve - Payment Dates'!$A$2:$A$246,0))</f>
        <v>0.47909718957588998</v>
      </c>
      <c r="E3245" s="32">
        <f t="shared" si="50"/>
        <v>0.68870221001534182</v>
      </c>
    </row>
    <row r="3246" spans="1:5" x14ac:dyDescent="0.25">
      <c r="A3246" s="17">
        <v>305</v>
      </c>
      <c r="B3246" s="31">
        <v>51728</v>
      </c>
      <c r="C3246" s="32">
        <f>INDEX('Input Data'!$B:$B,A3246)/2+IF(A3246&lt;&gt;A3247,100,0)</f>
        <v>1.4375</v>
      </c>
      <c r="D3246" s="33">
        <f>INDEX('ZCB Curve - Payment Dates'!$D$2:$D$246,MATCH(B3246,'ZCB Curve - Payment Dates'!$A$2:$A$246,0))</f>
        <v>0.46485329459616059</v>
      </c>
      <c r="E3246" s="32">
        <f t="shared" si="50"/>
        <v>0.66822661098198088</v>
      </c>
    </row>
    <row r="3247" spans="1:5" x14ac:dyDescent="0.25">
      <c r="A3247" s="17">
        <v>305</v>
      </c>
      <c r="B3247" s="31">
        <v>51912</v>
      </c>
      <c r="C3247" s="32">
        <f>INDEX('Input Data'!$B:$B,A3247)/2+IF(A3247&lt;&gt;A3248,100,0)</f>
        <v>1.4375</v>
      </c>
      <c r="D3247" s="33">
        <f>INDEX('ZCB Curve - Payment Dates'!$D$2:$D$246,MATCH(B3247,'ZCB Curve - Payment Dates'!$A$2:$A$246,0))</f>
        <v>0.45075168915212815</v>
      </c>
      <c r="E3247" s="32">
        <f t="shared" si="50"/>
        <v>0.64795555315618425</v>
      </c>
    </row>
    <row r="3248" spans="1:5" x14ac:dyDescent="0.25">
      <c r="A3248" s="17">
        <v>305</v>
      </c>
      <c r="B3248" s="31">
        <v>52093</v>
      </c>
      <c r="C3248" s="32">
        <f>INDEX('Input Data'!$B:$B,A3248)/2+IF(A3248&lt;&gt;A3249,100,0)</f>
        <v>1.4375</v>
      </c>
      <c r="D3248" s="33">
        <f>INDEX('ZCB Curve - Payment Dates'!$D$2:$D$246,MATCH(B3248,'ZCB Curve - Payment Dates'!$A$2:$A$246,0))</f>
        <v>0.43726259018094221</v>
      </c>
      <c r="E3248" s="32">
        <f t="shared" si="50"/>
        <v>0.62856497338510442</v>
      </c>
    </row>
    <row r="3249" spans="1:5" x14ac:dyDescent="0.25">
      <c r="A3249" s="17">
        <v>305</v>
      </c>
      <c r="B3249" s="31">
        <v>52277</v>
      </c>
      <c r="C3249" s="32">
        <f>INDEX('Input Data'!$B:$B,A3249)/2+IF(A3249&lt;&gt;A3250,100,0)</f>
        <v>1.4375</v>
      </c>
      <c r="D3249" s="33">
        <f>INDEX('ZCB Curve - Payment Dates'!$D$2:$D$246,MATCH(B3249,'ZCB Curve - Payment Dates'!$A$2:$A$246,0))</f>
        <v>0.4239492285351204</v>
      </c>
      <c r="E3249" s="32">
        <f t="shared" si="50"/>
        <v>0.60942701601923555</v>
      </c>
    </row>
    <row r="3250" spans="1:5" x14ac:dyDescent="0.25">
      <c r="A3250" s="17">
        <v>305</v>
      </c>
      <c r="B3250" s="31">
        <v>52458</v>
      </c>
      <c r="C3250" s="32">
        <f>INDEX('Input Data'!$B:$B,A3250)/2+IF(A3250&lt;&gt;A3251,100,0)</f>
        <v>1.4375</v>
      </c>
      <c r="D3250" s="33">
        <f>INDEX('ZCB Curve - Payment Dates'!$D$2:$D$246,MATCH(B3250,'ZCB Curve - Payment Dates'!$A$2:$A$246,0))</f>
        <v>0.4112516019468152</v>
      </c>
      <c r="E3250" s="32">
        <f t="shared" si="50"/>
        <v>0.59117417779854686</v>
      </c>
    </row>
    <row r="3251" spans="1:5" x14ac:dyDescent="0.25">
      <c r="A3251" s="17">
        <v>305</v>
      </c>
      <c r="B3251" s="31">
        <v>52642</v>
      </c>
      <c r="C3251" s="32">
        <f>INDEX('Input Data'!$B:$B,A3251)/2+IF(A3251&lt;&gt;A3252,100,0)</f>
        <v>1.4375</v>
      </c>
      <c r="D3251" s="33">
        <f>INDEX('ZCB Curve - Payment Dates'!$D$2:$D$246,MATCH(B3251,'ZCB Curve - Payment Dates'!$A$2:$A$246,0))</f>
        <v>0.39875459879352759</v>
      </c>
      <c r="E3251" s="32">
        <f t="shared" si="50"/>
        <v>0.57320973576569589</v>
      </c>
    </row>
    <row r="3252" spans="1:5" x14ac:dyDescent="0.25">
      <c r="A3252" s="17">
        <v>305</v>
      </c>
      <c r="B3252" s="31">
        <v>52824</v>
      </c>
      <c r="C3252" s="32">
        <f>INDEX('Input Data'!$B:$B,A3252)/2+IF(A3252&lt;&gt;A3253,100,0)</f>
        <v>1.4375</v>
      </c>
      <c r="D3252" s="33">
        <f>INDEX('ZCB Curve - Payment Dates'!$D$2:$D$246,MATCH(B3252,'ZCB Curve - Payment Dates'!$A$2:$A$246,0))</f>
        <v>0.38680384560622083</v>
      </c>
      <c r="E3252" s="32">
        <f t="shared" si="50"/>
        <v>0.55603052805894249</v>
      </c>
    </row>
    <row r="3253" spans="1:5" x14ac:dyDescent="0.25">
      <c r="A3253" s="17">
        <v>305</v>
      </c>
      <c r="B3253" s="31">
        <v>53008</v>
      </c>
      <c r="C3253" s="32">
        <f>INDEX('Input Data'!$B:$B,A3253)/2+IF(A3253&lt;&gt;A3254,100,0)</f>
        <v>1.4375</v>
      </c>
      <c r="D3253" s="33">
        <f>INDEX('ZCB Curve - Payment Dates'!$D$2:$D$246,MATCH(B3253,'ZCB Curve - Payment Dates'!$A$2:$A$246,0))</f>
        <v>0.37513648791915083</v>
      </c>
      <c r="E3253" s="32">
        <f t="shared" si="50"/>
        <v>0.53925870138377929</v>
      </c>
    </row>
    <row r="3254" spans="1:5" x14ac:dyDescent="0.25">
      <c r="A3254" s="17">
        <v>305</v>
      </c>
      <c r="B3254" s="31">
        <v>53189</v>
      </c>
      <c r="C3254" s="32">
        <f>INDEX('Input Data'!$B:$B,A3254)/2+IF(A3254&lt;&gt;A3255,100,0)</f>
        <v>101.4375</v>
      </c>
      <c r="D3254" s="33">
        <f>INDEX('ZCB Curve - Payment Dates'!$D$2:$D$246,MATCH(B3254,'ZCB Curve - Payment Dates'!$A$2:$A$246,0))</f>
        <v>0.36406533257851953</v>
      </c>
      <c r="E3254" s="32">
        <f t="shared" si="50"/>
        <v>36.929877173433574</v>
      </c>
    </row>
    <row r="3255" spans="1:5" x14ac:dyDescent="0.25">
      <c r="A3255" s="17">
        <v>306</v>
      </c>
      <c r="B3255" s="31">
        <v>46433</v>
      </c>
      <c r="C3255" s="32">
        <f>INDEX('Input Data'!$B:$B,A3255)/2+IF(A3255&lt;&gt;A3256,100,0)</f>
        <v>2.4375</v>
      </c>
      <c r="D3255" s="33">
        <f>INDEX('ZCB Curve - Payment Dates'!$D$2:$D$246,MATCH(B3255,'ZCB Curve - Payment Dates'!$A$2:$A$246,0))</f>
        <v>0.98242671792446301</v>
      </c>
      <c r="E3255" s="32">
        <f t="shared" si="50"/>
        <v>2.3946651249408788</v>
      </c>
    </row>
    <row r="3256" spans="1:5" x14ac:dyDescent="0.25">
      <c r="A3256" s="17">
        <v>306</v>
      </c>
      <c r="B3256" s="31">
        <v>46614</v>
      </c>
      <c r="C3256" s="32">
        <f>INDEX('Input Data'!$B:$B,A3256)/2+IF(A3256&lt;&gt;A3257,100,0)</f>
        <v>2.4375</v>
      </c>
      <c r="D3256" s="33">
        <f>INDEX('ZCB Curve - Payment Dates'!$D$2:$D$246,MATCH(B3256,'ZCB Curve - Payment Dates'!$A$2:$A$246,0))</f>
        <v>0.96187948164765535</v>
      </c>
      <c r="E3256" s="32">
        <f t="shared" si="50"/>
        <v>2.3445812365161598</v>
      </c>
    </row>
    <row r="3257" spans="1:5" x14ac:dyDescent="0.25">
      <c r="A3257" s="17">
        <v>306</v>
      </c>
      <c r="B3257" s="31">
        <v>46798</v>
      </c>
      <c r="C3257" s="32">
        <f>INDEX('Input Data'!$B:$B,A3257)/2+IF(A3257&lt;&gt;A3258,100,0)</f>
        <v>2.4375</v>
      </c>
      <c r="D3257" s="33">
        <f>INDEX('ZCB Curve - Payment Dates'!$D$2:$D$246,MATCH(B3257,'ZCB Curve - Payment Dates'!$A$2:$A$246,0))</f>
        <v>0.94049096132648802</v>
      </c>
      <c r="E3257" s="32">
        <f t="shared" si="50"/>
        <v>2.2924467182333146</v>
      </c>
    </row>
    <row r="3258" spans="1:5" x14ac:dyDescent="0.25">
      <c r="A3258" s="17">
        <v>306</v>
      </c>
      <c r="B3258" s="31">
        <v>46980</v>
      </c>
      <c r="C3258" s="32">
        <f>INDEX('Input Data'!$B:$B,A3258)/2+IF(A3258&lt;&gt;A3259,100,0)</f>
        <v>2.4375</v>
      </c>
      <c r="D3258" s="33">
        <f>INDEX('ZCB Curve - Payment Dates'!$D$2:$D$246,MATCH(B3258,'ZCB Curve - Payment Dates'!$A$2:$A$246,0))</f>
        <v>0.91931844130238327</v>
      </c>
      <c r="E3258" s="32">
        <f t="shared" si="50"/>
        <v>2.2408387006745594</v>
      </c>
    </row>
    <row r="3259" spans="1:5" x14ac:dyDescent="0.25">
      <c r="A3259" s="17">
        <v>306</v>
      </c>
      <c r="B3259" s="31">
        <v>47164</v>
      </c>
      <c r="C3259" s="32">
        <f>INDEX('Input Data'!$B:$B,A3259)/2+IF(A3259&lt;&gt;A3260,100,0)</f>
        <v>2.4375</v>
      </c>
      <c r="D3259" s="33">
        <f>INDEX('ZCB Curve - Payment Dates'!$D$2:$D$246,MATCH(B3259,'ZCB Curve - Payment Dates'!$A$2:$A$246,0))</f>
        <v>0.89817430058086534</v>
      </c>
      <c r="E3259" s="32">
        <f t="shared" si="50"/>
        <v>2.1892998576658593</v>
      </c>
    </row>
    <row r="3260" spans="1:5" x14ac:dyDescent="0.25">
      <c r="A3260" s="17">
        <v>306</v>
      </c>
      <c r="B3260" s="31">
        <v>47345</v>
      </c>
      <c r="C3260" s="32">
        <f>INDEX('Input Data'!$B:$B,A3260)/2+IF(A3260&lt;&gt;A3261,100,0)</f>
        <v>2.4375</v>
      </c>
      <c r="D3260" s="33">
        <f>INDEX('ZCB Curve - Payment Dates'!$D$2:$D$246,MATCH(B3260,'ZCB Curve - Payment Dates'!$A$2:$A$246,0))</f>
        <v>0.87778421628860481</v>
      </c>
      <c r="E3260" s="32">
        <f t="shared" si="50"/>
        <v>2.1395990272034742</v>
      </c>
    </row>
    <row r="3261" spans="1:5" x14ac:dyDescent="0.25">
      <c r="A3261" s="17">
        <v>306</v>
      </c>
      <c r="B3261" s="31">
        <v>47529</v>
      </c>
      <c r="C3261" s="32">
        <f>INDEX('Input Data'!$B:$B,A3261)/2+IF(A3261&lt;&gt;A3262,100,0)</f>
        <v>2.4375</v>
      </c>
      <c r="D3261" s="33">
        <f>INDEX('ZCB Curve - Payment Dates'!$D$2:$D$246,MATCH(B3261,'ZCB Curve - Payment Dates'!$A$2:$A$246,0))</f>
        <v>0.85751015570959666</v>
      </c>
      <c r="E3261" s="32">
        <f t="shared" si="50"/>
        <v>2.0901810045421421</v>
      </c>
    </row>
    <row r="3262" spans="1:5" x14ac:dyDescent="0.25">
      <c r="A3262" s="17">
        <v>306</v>
      </c>
      <c r="B3262" s="31">
        <v>47710</v>
      </c>
      <c r="C3262" s="32">
        <f>INDEX('Input Data'!$B:$B,A3262)/2+IF(A3262&lt;&gt;A3263,100,0)</f>
        <v>2.4375</v>
      </c>
      <c r="D3262" s="33">
        <f>INDEX('ZCB Curve - Payment Dates'!$D$2:$D$246,MATCH(B3262,'ZCB Curve - Payment Dates'!$A$2:$A$246,0))</f>
        <v>0.83802423748211174</v>
      </c>
      <c r="E3262" s="32">
        <f t="shared" si="50"/>
        <v>2.0426840788626475</v>
      </c>
    </row>
    <row r="3263" spans="1:5" x14ac:dyDescent="0.25">
      <c r="A3263" s="17">
        <v>306</v>
      </c>
      <c r="B3263" s="31">
        <v>47894</v>
      </c>
      <c r="C3263" s="32">
        <f>INDEX('Input Data'!$B:$B,A3263)/2+IF(A3263&lt;&gt;A3264,100,0)</f>
        <v>2.4375</v>
      </c>
      <c r="D3263" s="33">
        <f>INDEX('ZCB Curve - Payment Dates'!$D$2:$D$246,MATCH(B3263,'ZCB Curve - Payment Dates'!$A$2:$A$246,0))</f>
        <v>0.8186305474741673</v>
      </c>
      <c r="E3263" s="32">
        <f t="shared" si="50"/>
        <v>1.9954119594682829</v>
      </c>
    </row>
    <row r="3264" spans="1:5" x14ac:dyDescent="0.25">
      <c r="A3264" s="17">
        <v>306</v>
      </c>
      <c r="B3264" s="31">
        <v>48075</v>
      </c>
      <c r="C3264" s="32">
        <f>INDEX('Input Data'!$B:$B,A3264)/2+IF(A3264&lt;&gt;A3265,100,0)</f>
        <v>2.4375</v>
      </c>
      <c r="D3264" s="33">
        <f>INDEX('ZCB Curve - Payment Dates'!$D$2:$D$246,MATCH(B3264,'ZCB Curve - Payment Dates'!$A$2:$A$246,0))</f>
        <v>0.7999252334775927</v>
      </c>
      <c r="E3264" s="32">
        <f t="shared" si="50"/>
        <v>1.9498177566016321</v>
      </c>
    </row>
    <row r="3265" spans="1:5" x14ac:dyDescent="0.25">
      <c r="A3265" s="17">
        <v>306</v>
      </c>
      <c r="B3265" s="31">
        <v>48259</v>
      </c>
      <c r="C3265" s="32">
        <f>INDEX('Input Data'!$B:$B,A3265)/2+IF(A3265&lt;&gt;A3266,100,0)</f>
        <v>2.4375</v>
      </c>
      <c r="D3265" s="33">
        <f>INDEX('ZCB Curve - Payment Dates'!$D$2:$D$246,MATCH(B3265,'ZCB Curve - Payment Dates'!$A$2:$A$246,0))</f>
        <v>0.78121887027612602</v>
      </c>
      <c r="E3265" s="32">
        <f t="shared" si="50"/>
        <v>1.9042209962980572</v>
      </c>
    </row>
    <row r="3266" spans="1:5" x14ac:dyDescent="0.25">
      <c r="A3266" s="17">
        <v>306</v>
      </c>
      <c r="B3266" s="31">
        <v>48441</v>
      </c>
      <c r="C3266" s="32">
        <f>INDEX('Input Data'!$B:$B,A3266)/2+IF(A3266&lt;&gt;A3267,100,0)</f>
        <v>2.4375</v>
      </c>
      <c r="D3266" s="33">
        <f>INDEX('ZCB Curve - Payment Dates'!$D$2:$D$246,MATCH(B3266,'ZCB Curve - Payment Dates'!$A$2:$A$246,0))</f>
        <v>0.76298123459017864</v>
      </c>
      <c r="E3266" s="32">
        <f t="shared" ref="E3266:E3329" si="51">C3266*D3266</f>
        <v>1.8597667593135605</v>
      </c>
    </row>
    <row r="3267" spans="1:5" x14ac:dyDescent="0.25">
      <c r="A3267" s="17">
        <v>306</v>
      </c>
      <c r="B3267" s="31">
        <v>48625</v>
      </c>
      <c r="C3267" s="32">
        <f>INDEX('Input Data'!$B:$B,A3267)/2+IF(A3267&lt;&gt;A3268,100,0)</f>
        <v>2.4375</v>
      </c>
      <c r="D3267" s="33">
        <f>INDEX('ZCB Curve - Payment Dates'!$D$2:$D$246,MATCH(B3267,'ZCB Curve - Payment Dates'!$A$2:$A$246,0))</f>
        <v>0.74476011611938586</v>
      </c>
      <c r="E3267" s="32">
        <f t="shared" si="51"/>
        <v>1.815352783041003</v>
      </c>
    </row>
    <row r="3268" spans="1:5" x14ac:dyDescent="0.25">
      <c r="A3268" s="17">
        <v>306</v>
      </c>
      <c r="B3268" s="31">
        <v>48806</v>
      </c>
      <c r="C3268" s="32">
        <f>INDEX('Input Data'!$B:$B,A3268)/2+IF(A3268&lt;&gt;A3269,100,0)</f>
        <v>2.4375</v>
      </c>
      <c r="D3268" s="33">
        <f>INDEX('ZCB Curve - Payment Dates'!$D$2:$D$246,MATCH(B3268,'ZCB Curve - Payment Dates'!$A$2:$A$246,0))</f>
        <v>0.72701302496114584</v>
      </c>
      <c r="E3268" s="32">
        <f t="shared" si="51"/>
        <v>1.7720942483427931</v>
      </c>
    </row>
    <row r="3269" spans="1:5" x14ac:dyDescent="0.25">
      <c r="A3269" s="17">
        <v>306</v>
      </c>
      <c r="B3269" s="31">
        <v>48990</v>
      </c>
      <c r="C3269" s="32">
        <f>INDEX('Input Data'!$B:$B,A3269)/2+IF(A3269&lt;&gt;A3270,100,0)</f>
        <v>2.4375</v>
      </c>
      <c r="D3269" s="33">
        <f>INDEX('ZCB Curve - Payment Dates'!$D$2:$D$246,MATCH(B3269,'ZCB Curve - Payment Dates'!$A$2:$A$246,0))</f>
        <v>0.70912647031380449</v>
      </c>
      <c r="E3269" s="32">
        <f t="shared" si="51"/>
        <v>1.7284957713898985</v>
      </c>
    </row>
    <row r="3270" spans="1:5" x14ac:dyDescent="0.25">
      <c r="A3270" s="17">
        <v>306</v>
      </c>
      <c r="B3270" s="31">
        <v>49171</v>
      </c>
      <c r="C3270" s="32">
        <f>INDEX('Input Data'!$B:$B,A3270)/2+IF(A3270&lt;&gt;A3271,100,0)</f>
        <v>2.4375</v>
      </c>
      <c r="D3270" s="33">
        <f>INDEX('ZCB Curve - Payment Dates'!$D$2:$D$246,MATCH(B3270,'ZCB Curve - Payment Dates'!$A$2:$A$246,0))</f>
        <v>0.6916661505723215</v>
      </c>
      <c r="E3270" s="32">
        <f t="shared" si="51"/>
        <v>1.6859362420200337</v>
      </c>
    </row>
    <row r="3271" spans="1:5" x14ac:dyDescent="0.25">
      <c r="A3271" s="17">
        <v>306</v>
      </c>
      <c r="B3271" s="31">
        <v>49355</v>
      </c>
      <c r="C3271" s="32">
        <f>INDEX('Input Data'!$B:$B,A3271)/2+IF(A3271&lt;&gt;A3272,100,0)</f>
        <v>2.4375</v>
      </c>
      <c r="D3271" s="33">
        <f>INDEX('ZCB Curve - Payment Dates'!$D$2:$D$246,MATCH(B3271,'ZCB Curve - Payment Dates'!$A$2:$A$246,0))</f>
        <v>0.674047377898778</v>
      </c>
      <c r="E3271" s="32">
        <f t="shared" si="51"/>
        <v>1.6429904836282714</v>
      </c>
    </row>
    <row r="3272" spans="1:5" x14ac:dyDescent="0.25">
      <c r="A3272" s="17">
        <v>306</v>
      </c>
      <c r="B3272" s="31">
        <v>49536</v>
      </c>
      <c r="C3272" s="32">
        <f>INDEX('Input Data'!$B:$B,A3272)/2+IF(A3272&lt;&gt;A3273,100,0)</f>
        <v>2.4375</v>
      </c>
      <c r="D3272" s="33">
        <f>INDEX('ZCB Curve - Payment Dates'!$D$2:$D$246,MATCH(B3272,'ZCB Curve - Payment Dates'!$A$2:$A$246,0))</f>
        <v>0.65684432300638129</v>
      </c>
      <c r="E3272" s="32">
        <f t="shared" si="51"/>
        <v>1.6010580373280543</v>
      </c>
    </row>
    <row r="3273" spans="1:5" x14ac:dyDescent="0.25">
      <c r="A3273" s="17">
        <v>306</v>
      </c>
      <c r="B3273" s="31">
        <v>49720</v>
      </c>
      <c r="C3273" s="32">
        <f>INDEX('Input Data'!$B:$B,A3273)/2+IF(A3273&lt;&gt;A3274,100,0)</f>
        <v>2.4375</v>
      </c>
      <c r="D3273" s="33">
        <f>INDEX('ZCB Curve - Payment Dates'!$D$2:$D$246,MATCH(B3273,'ZCB Curve - Payment Dates'!$A$2:$A$246,0))</f>
        <v>0.63949604524993764</v>
      </c>
      <c r="E3273" s="32">
        <f t="shared" si="51"/>
        <v>1.5587716102967231</v>
      </c>
    </row>
    <row r="3274" spans="1:5" x14ac:dyDescent="0.25">
      <c r="A3274" s="17">
        <v>306</v>
      </c>
      <c r="B3274" s="31">
        <v>49902</v>
      </c>
      <c r="C3274" s="32">
        <f>INDEX('Input Data'!$B:$B,A3274)/2+IF(A3274&lt;&gt;A3275,100,0)</f>
        <v>2.4375</v>
      </c>
      <c r="D3274" s="33">
        <f>INDEX('ZCB Curve - Payment Dates'!$D$2:$D$246,MATCH(B3274,'ZCB Curve - Payment Dates'!$A$2:$A$246,0))</f>
        <v>0.62248862376822711</v>
      </c>
      <c r="E3274" s="32">
        <f t="shared" si="51"/>
        <v>1.5173160204350535</v>
      </c>
    </row>
    <row r="3275" spans="1:5" x14ac:dyDescent="0.25">
      <c r="A3275" s="17">
        <v>306</v>
      </c>
      <c r="B3275" s="31">
        <v>50086</v>
      </c>
      <c r="C3275" s="32">
        <f>INDEX('Input Data'!$B:$B,A3275)/2+IF(A3275&lt;&gt;A3276,100,0)</f>
        <v>2.4375</v>
      </c>
      <c r="D3275" s="33">
        <f>INDEX('ZCB Curve - Payment Dates'!$D$2:$D$246,MATCH(B3275,'ZCB Curve - Payment Dates'!$A$2:$A$246,0))</f>
        <v>0.60546490876014969</v>
      </c>
      <c r="E3275" s="32">
        <f t="shared" si="51"/>
        <v>1.4758207151028648</v>
      </c>
    </row>
    <row r="3276" spans="1:5" x14ac:dyDescent="0.25">
      <c r="A3276" s="17">
        <v>306</v>
      </c>
      <c r="B3276" s="31">
        <v>50267</v>
      </c>
      <c r="C3276" s="32">
        <f>INDEX('Input Data'!$B:$B,A3276)/2+IF(A3276&lt;&gt;A3277,100,0)</f>
        <v>2.4375</v>
      </c>
      <c r="D3276" s="33">
        <f>INDEX('ZCB Curve - Payment Dates'!$D$2:$D$246,MATCH(B3276,'ZCB Curve - Payment Dates'!$A$2:$A$246,0))</f>
        <v>0.58890683803346977</v>
      </c>
      <c r="E3276" s="32">
        <f t="shared" si="51"/>
        <v>1.4354604177065826</v>
      </c>
    </row>
    <row r="3277" spans="1:5" x14ac:dyDescent="0.25">
      <c r="A3277" s="17">
        <v>306</v>
      </c>
      <c r="B3277" s="31">
        <v>50451</v>
      </c>
      <c r="C3277" s="32">
        <f>INDEX('Input Data'!$B:$B,A3277)/2+IF(A3277&lt;&gt;A3278,100,0)</f>
        <v>2.4375</v>
      </c>
      <c r="D3277" s="33">
        <f>INDEX('ZCB Curve - Payment Dates'!$D$2:$D$246,MATCH(B3277,'ZCB Curve - Payment Dates'!$A$2:$A$246,0))</f>
        <v>0.57228983695479263</v>
      </c>
      <c r="E3277" s="32">
        <f t="shared" si="51"/>
        <v>1.3949564775773071</v>
      </c>
    </row>
    <row r="3278" spans="1:5" x14ac:dyDescent="0.25">
      <c r="A3278" s="17">
        <v>306</v>
      </c>
      <c r="B3278" s="31">
        <v>50632</v>
      </c>
      <c r="C3278" s="32">
        <f>INDEX('Input Data'!$B:$B,A3278)/2+IF(A3278&lt;&gt;A3279,100,0)</f>
        <v>2.4375</v>
      </c>
      <c r="D3278" s="33">
        <f>INDEX('ZCB Curve - Payment Dates'!$D$2:$D$246,MATCH(B3278,'ZCB Curve - Payment Dates'!$A$2:$A$246,0))</f>
        <v>0.55617795699202288</v>
      </c>
      <c r="E3278" s="32">
        <f t="shared" si="51"/>
        <v>1.3556837701680557</v>
      </c>
    </row>
    <row r="3279" spans="1:5" x14ac:dyDescent="0.25">
      <c r="A3279" s="17">
        <v>306</v>
      </c>
      <c r="B3279" s="31">
        <v>50816</v>
      </c>
      <c r="C3279" s="32">
        <f>INDEX('Input Data'!$B:$B,A3279)/2+IF(A3279&lt;&gt;A3280,100,0)</f>
        <v>2.4375</v>
      </c>
      <c r="D3279" s="33">
        <f>INDEX('ZCB Curve - Payment Dates'!$D$2:$D$246,MATCH(B3279,'ZCB Curve - Payment Dates'!$A$2:$A$246,0))</f>
        <v>0.54006240951211237</v>
      </c>
      <c r="E3279" s="32">
        <f t="shared" si="51"/>
        <v>1.3164021231857739</v>
      </c>
    </row>
    <row r="3280" spans="1:5" x14ac:dyDescent="0.25">
      <c r="A3280" s="17">
        <v>306</v>
      </c>
      <c r="B3280" s="31">
        <v>50997</v>
      </c>
      <c r="C3280" s="32">
        <f>INDEX('Input Data'!$B:$B,A3280)/2+IF(A3280&lt;&gt;A3281,100,0)</f>
        <v>2.4375</v>
      </c>
      <c r="D3280" s="33">
        <f>INDEX('ZCB Curve - Payment Dates'!$D$2:$D$246,MATCH(B3280,'ZCB Curve - Payment Dates'!$A$2:$A$246,0))</f>
        <v>0.52449040173194583</v>
      </c>
      <c r="E3280" s="32">
        <f t="shared" si="51"/>
        <v>1.2784453542216179</v>
      </c>
    </row>
    <row r="3281" spans="1:5" x14ac:dyDescent="0.25">
      <c r="A3281" s="17">
        <v>306</v>
      </c>
      <c r="B3281" s="31">
        <v>51181</v>
      </c>
      <c r="C3281" s="32">
        <f>INDEX('Input Data'!$B:$B,A3281)/2+IF(A3281&lt;&gt;A3282,100,0)</f>
        <v>2.4375</v>
      </c>
      <c r="D3281" s="33">
        <f>INDEX('ZCB Curve - Payment Dates'!$D$2:$D$246,MATCH(B3281,'ZCB Curve - Payment Dates'!$A$2:$A$246,0))</f>
        <v>0.5089691698468306</v>
      </c>
      <c r="E3281" s="32">
        <f t="shared" si="51"/>
        <v>1.2406123515016496</v>
      </c>
    </row>
    <row r="3282" spans="1:5" x14ac:dyDescent="0.25">
      <c r="A3282" s="17">
        <v>306</v>
      </c>
      <c r="B3282" s="31">
        <v>51363</v>
      </c>
      <c r="C3282" s="32">
        <f>INDEX('Input Data'!$B:$B,A3282)/2+IF(A3282&lt;&gt;A3283,100,0)</f>
        <v>2.4375</v>
      </c>
      <c r="D3282" s="33">
        <f>INDEX('ZCB Curve - Payment Dates'!$D$2:$D$246,MATCH(B3282,'ZCB Curve - Payment Dates'!$A$2:$A$246,0))</f>
        <v>0.49394036022330806</v>
      </c>
      <c r="E3282" s="32">
        <f t="shared" si="51"/>
        <v>1.2039796280443134</v>
      </c>
    </row>
    <row r="3283" spans="1:5" x14ac:dyDescent="0.25">
      <c r="A3283" s="17">
        <v>306</v>
      </c>
      <c r="B3283" s="31">
        <v>51547</v>
      </c>
      <c r="C3283" s="32">
        <f>INDEX('Input Data'!$B:$B,A3283)/2+IF(A3283&lt;&gt;A3284,100,0)</f>
        <v>2.4375</v>
      </c>
      <c r="D3283" s="33">
        <f>INDEX('ZCB Curve - Payment Dates'!$D$2:$D$246,MATCH(B3283,'ZCB Curve - Payment Dates'!$A$2:$A$246,0))</f>
        <v>0.47909718957588998</v>
      </c>
      <c r="E3283" s="32">
        <f t="shared" si="51"/>
        <v>1.1677993995912319</v>
      </c>
    </row>
    <row r="3284" spans="1:5" x14ac:dyDescent="0.25">
      <c r="A3284" s="17">
        <v>306</v>
      </c>
      <c r="B3284" s="31">
        <v>51728</v>
      </c>
      <c r="C3284" s="32">
        <f>INDEX('Input Data'!$B:$B,A3284)/2+IF(A3284&lt;&gt;A3285,100,0)</f>
        <v>2.4375</v>
      </c>
      <c r="D3284" s="33">
        <f>INDEX('ZCB Curve - Payment Dates'!$D$2:$D$246,MATCH(B3284,'ZCB Curve - Payment Dates'!$A$2:$A$246,0))</f>
        <v>0.46485329459616059</v>
      </c>
      <c r="E3284" s="32">
        <f t="shared" si="51"/>
        <v>1.1330799055781415</v>
      </c>
    </row>
    <row r="3285" spans="1:5" x14ac:dyDescent="0.25">
      <c r="A3285" s="17">
        <v>306</v>
      </c>
      <c r="B3285" s="31">
        <v>51912</v>
      </c>
      <c r="C3285" s="32">
        <f>INDEX('Input Data'!$B:$B,A3285)/2+IF(A3285&lt;&gt;A3286,100,0)</f>
        <v>2.4375</v>
      </c>
      <c r="D3285" s="33">
        <f>INDEX('ZCB Curve - Payment Dates'!$D$2:$D$246,MATCH(B3285,'ZCB Curve - Payment Dates'!$A$2:$A$246,0))</f>
        <v>0.45075168915212815</v>
      </c>
      <c r="E3285" s="32">
        <f t="shared" si="51"/>
        <v>1.0987072423083124</v>
      </c>
    </row>
    <row r="3286" spans="1:5" x14ac:dyDescent="0.25">
      <c r="A3286" s="17">
        <v>306</v>
      </c>
      <c r="B3286" s="31">
        <v>52093</v>
      </c>
      <c r="C3286" s="32">
        <f>INDEX('Input Data'!$B:$B,A3286)/2+IF(A3286&lt;&gt;A3287,100,0)</f>
        <v>2.4375</v>
      </c>
      <c r="D3286" s="33">
        <f>INDEX('ZCB Curve - Payment Dates'!$D$2:$D$246,MATCH(B3286,'ZCB Curve - Payment Dates'!$A$2:$A$246,0))</f>
        <v>0.43726259018094221</v>
      </c>
      <c r="E3286" s="32">
        <f t="shared" si="51"/>
        <v>1.0658275635660466</v>
      </c>
    </row>
    <row r="3287" spans="1:5" x14ac:dyDescent="0.25">
      <c r="A3287" s="17">
        <v>306</v>
      </c>
      <c r="B3287" s="31">
        <v>52277</v>
      </c>
      <c r="C3287" s="32">
        <f>INDEX('Input Data'!$B:$B,A3287)/2+IF(A3287&lt;&gt;A3288,100,0)</f>
        <v>2.4375</v>
      </c>
      <c r="D3287" s="33">
        <f>INDEX('ZCB Curve - Payment Dates'!$D$2:$D$246,MATCH(B3287,'ZCB Curve - Payment Dates'!$A$2:$A$246,0))</f>
        <v>0.4239492285351204</v>
      </c>
      <c r="E3287" s="32">
        <f t="shared" si="51"/>
        <v>1.0333762445543559</v>
      </c>
    </row>
    <row r="3288" spans="1:5" x14ac:dyDescent="0.25">
      <c r="A3288" s="17">
        <v>306</v>
      </c>
      <c r="B3288" s="31">
        <v>52458</v>
      </c>
      <c r="C3288" s="32">
        <f>INDEX('Input Data'!$B:$B,A3288)/2+IF(A3288&lt;&gt;A3289,100,0)</f>
        <v>2.4375</v>
      </c>
      <c r="D3288" s="33">
        <f>INDEX('ZCB Curve - Payment Dates'!$D$2:$D$246,MATCH(B3288,'ZCB Curve - Payment Dates'!$A$2:$A$246,0))</f>
        <v>0.4112516019468152</v>
      </c>
      <c r="E3288" s="32">
        <f t="shared" si="51"/>
        <v>1.002425779745362</v>
      </c>
    </row>
    <row r="3289" spans="1:5" x14ac:dyDescent="0.25">
      <c r="A3289" s="17">
        <v>306</v>
      </c>
      <c r="B3289" s="31">
        <v>52642</v>
      </c>
      <c r="C3289" s="32">
        <f>INDEX('Input Data'!$B:$B,A3289)/2+IF(A3289&lt;&gt;A3290,100,0)</f>
        <v>2.4375</v>
      </c>
      <c r="D3289" s="33">
        <f>INDEX('ZCB Curve - Payment Dates'!$D$2:$D$246,MATCH(B3289,'ZCB Curve - Payment Dates'!$A$2:$A$246,0))</f>
        <v>0.39875459879352759</v>
      </c>
      <c r="E3289" s="32">
        <f t="shared" si="51"/>
        <v>0.97196433455922349</v>
      </c>
    </row>
    <row r="3290" spans="1:5" x14ac:dyDescent="0.25">
      <c r="A3290" s="17">
        <v>306</v>
      </c>
      <c r="B3290" s="31">
        <v>52824</v>
      </c>
      <c r="C3290" s="32">
        <f>INDEX('Input Data'!$B:$B,A3290)/2+IF(A3290&lt;&gt;A3291,100,0)</f>
        <v>2.4375</v>
      </c>
      <c r="D3290" s="33">
        <f>INDEX('ZCB Curve - Payment Dates'!$D$2:$D$246,MATCH(B3290,'ZCB Curve - Payment Dates'!$A$2:$A$246,0))</f>
        <v>0.38680384560622083</v>
      </c>
      <c r="E3290" s="32">
        <f t="shared" si="51"/>
        <v>0.94283437366516332</v>
      </c>
    </row>
    <row r="3291" spans="1:5" x14ac:dyDescent="0.25">
      <c r="A3291" s="17">
        <v>306</v>
      </c>
      <c r="B3291" s="31">
        <v>53008</v>
      </c>
      <c r="C3291" s="32">
        <f>INDEX('Input Data'!$B:$B,A3291)/2+IF(A3291&lt;&gt;A3292,100,0)</f>
        <v>2.4375</v>
      </c>
      <c r="D3291" s="33">
        <f>INDEX('ZCB Curve - Payment Dates'!$D$2:$D$246,MATCH(B3291,'ZCB Curve - Payment Dates'!$A$2:$A$246,0))</f>
        <v>0.37513648791915083</v>
      </c>
      <c r="E3291" s="32">
        <f t="shared" si="51"/>
        <v>0.91439518930293018</v>
      </c>
    </row>
    <row r="3292" spans="1:5" x14ac:dyDescent="0.25">
      <c r="A3292" s="17">
        <v>306</v>
      </c>
      <c r="B3292" s="31">
        <v>53189</v>
      </c>
      <c r="C3292" s="32">
        <f>INDEX('Input Data'!$B:$B,A3292)/2+IF(A3292&lt;&gt;A3293,100,0)</f>
        <v>102.4375</v>
      </c>
      <c r="D3292" s="33">
        <f>INDEX('ZCB Curve - Payment Dates'!$D$2:$D$246,MATCH(B3292,'ZCB Curve - Payment Dates'!$A$2:$A$246,0))</f>
        <v>0.36406533257851953</v>
      </c>
      <c r="E3292" s="32">
        <f t="shared" si="51"/>
        <v>37.293942506012094</v>
      </c>
    </row>
    <row r="3293" spans="1:5" x14ac:dyDescent="0.25">
      <c r="A3293" s="17">
        <v>307</v>
      </c>
      <c r="B3293" s="31">
        <v>46341</v>
      </c>
      <c r="C3293" s="32">
        <f>INDEX('Input Data'!$B:$B,A3293)/2+IF(A3293&lt;&gt;A3294,100,0)</f>
        <v>1.5</v>
      </c>
      <c r="D3293" s="33">
        <f>INDEX('ZCB Curve - Payment Dates'!$D$2:$D$246,MATCH(B3293,'ZCB Curve - Payment Dates'!$A$2:$A$246,0))</f>
        <v>0.99245367292309439</v>
      </c>
      <c r="E3293" s="32">
        <f t="shared" si="51"/>
        <v>1.4886805093846416</v>
      </c>
    </row>
    <row r="3294" spans="1:5" x14ac:dyDescent="0.25">
      <c r="A3294" s="17">
        <v>307</v>
      </c>
      <c r="B3294" s="31">
        <v>46522</v>
      </c>
      <c r="C3294" s="32">
        <f>INDEX('Input Data'!$B:$B,A3294)/2+IF(A3294&lt;&gt;A3295,100,0)</f>
        <v>1.5</v>
      </c>
      <c r="D3294" s="33">
        <f>INDEX('ZCB Curve - Payment Dates'!$D$2:$D$246,MATCH(B3294,'ZCB Curve - Payment Dates'!$A$2:$A$246,0))</f>
        <v>0.97242179559611874</v>
      </c>
      <c r="E3294" s="32">
        <f t="shared" si="51"/>
        <v>1.4586326933941782</v>
      </c>
    </row>
    <row r="3295" spans="1:5" x14ac:dyDescent="0.25">
      <c r="A3295" s="17">
        <v>307</v>
      </c>
      <c r="B3295" s="31">
        <v>46706</v>
      </c>
      <c r="C3295" s="32">
        <f>INDEX('Input Data'!$B:$B,A3295)/2+IF(A3295&lt;&gt;A3296,100,0)</f>
        <v>1.5</v>
      </c>
      <c r="D3295" s="33">
        <f>INDEX('ZCB Curve - Payment Dates'!$D$2:$D$246,MATCH(B3295,'ZCB Curve - Payment Dates'!$A$2:$A$246,0))</f>
        <v>0.95121018311627348</v>
      </c>
      <c r="E3295" s="32">
        <f t="shared" si="51"/>
        <v>1.4268152746744103</v>
      </c>
    </row>
    <row r="3296" spans="1:5" x14ac:dyDescent="0.25">
      <c r="A3296" s="17">
        <v>307</v>
      </c>
      <c r="B3296" s="31">
        <v>46888</v>
      </c>
      <c r="C3296" s="32">
        <f>INDEX('Input Data'!$B:$B,A3296)/2+IF(A3296&lt;&gt;A3297,100,0)</f>
        <v>1.5</v>
      </c>
      <c r="D3296" s="33">
        <f>INDEX('ZCB Curve - Payment Dates'!$D$2:$D$246,MATCH(B3296,'ZCB Curve - Payment Dates'!$A$2:$A$246,0))</f>
        <v>0.93000025435083566</v>
      </c>
      <c r="E3296" s="32">
        <f t="shared" si="51"/>
        <v>1.3950003815262535</v>
      </c>
    </row>
    <row r="3297" spans="1:5" x14ac:dyDescent="0.25">
      <c r="A3297" s="17">
        <v>307</v>
      </c>
      <c r="B3297" s="31">
        <v>47072</v>
      </c>
      <c r="C3297" s="32">
        <f>INDEX('Input Data'!$B:$B,A3297)/2+IF(A3297&lt;&gt;A3298,100,0)</f>
        <v>1.5</v>
      </c>
      <c r="D3297" s="33">
        <f>INDEX('ZCB Curve - Payment Dates'!$D$2:$D$246,MATCH(B3297,'ZCB Curve - Payment Dates'!$A$2:$A$246,0))</f>
        <v>0.90870125167038918</v>
      </c>
      <c r="E3297" s="32">
        <f t="shared" si="51"/>
        <v>1.3630518775055838</v>
      </c>
    </row>
    <row r="3298" spans="1:5" x14ac:dyDescent="0.25">
      <c r="A3298" s="17">
        <v>307</v>
      </c>
      <c r="B3298" s="31">
        <v>47253</v>
      </c>
      <c r="C3298" s="32">
        <f>INDEX('Input Data'!$B:$B,A3298)/2+IF(A3298&lt;&gt;A3299,100,0)</f>
        <v>1.5</v>
      </c>
      <c r="D3298" s="33">
        <f>INDEX('ZCB Curve - Payment Dates'!$D$2:$D$246,MATCH(B3298,'ZCB Curve - Payment Dates'!$A$2:$A$246,0))</f>
        <v>0.88809325063638844</v>
      </c>
      <c r="E3298" s="32">
        <f t="shared" si="51"/>
        <v>1.3321398759545826</v>
      </c>
    </row>
    <row r="3299" spans="1:5" x14ac:dyDescent="0.25">
      <c r="A3299" s="17">
        <v>307</v>
      </c>
      <c r="B3299" s="31">
        <v>47437</v>
      </c>
      <c r="C3299" s="32">
        <f>INDEX('Input Data'!$B:$B,A3299)/2+IF(A3299&lt;&gt;A3300,100,0)</f>
        <v>1.5</v>
      </c>
      <c r="D3299" s="33">
        <f>INDEX('ZCB Curve - Payment Dates'!$D$2:$D$246,MATCH(B3299,'ZCB Curve - Payment Dates'!$A$2:$A$246,0))</f>
        <v>0.86758824089536279</v>
      </c>
      <c r="E3299" s="32">
        <f t="shared" si="51"/>
        <v>1.3013823613430442</v>
      </c>
    </row>
    <row r="3300" spans="1:5" x14ac:dyDescent="0.25">
      <c r="A3300" s="17">
        <v>307</v>
      </c>
      <c r="B3300" s="31">
        <v>47618</v>
      </c>
      <c r="C3300" s="32">
        <f>INDEX('Input Data'!$B:$B,A3300)/2+IF(A3300&lt;&gt;A3301,100,0)</f>
        <v>1.5</v>
      </c>
      <c r="D3300" s="33">
        <f>INDEX('ZCB Curve - Payment Dates'!$D$2:$D$246,MATCH(B3300,'ZCB Curve - Payment Dates'!$A$2:$A$246,0))</f>
        <v>0.84787416911783064</v>
      </c>
      <c r="E3300" s="32">
        <f t="shared" si="51"/>
        <v>1.2718112536767459</v>
      </c>
    </row>
    <row r="3301" spans="1:5" x14ac:dyDescent="0.25">
      <c r="A3301" s="17">
        <v>307</v>
      </c>
      <c r="B3301" s="31">
        <v>47802</v>
      </c>
      <c r="C3301" s="32">
        <f>INDEX('Input Data'!$B:$B,A3301)/2+IF(A3301&lt;&gt;A3302,100,0)</f>
        <v>1.5</v>
      </c>
      <c r="D3301" s="33">
        <f>INDEX('ZCB Curve - Payment Dates'!$D$2:$D$246,MATCH(B3301,'ZCB Curve - Payment Dates'!$A$2:$A$246,0))</f>
        <v>0.82827715028796722</v>
      </c>
      <c r="E3301" s="32">
        <f t="shared" si="51"/>
        <v>1.2424157254319508</v>
      </c>
    </row>
    <row r="3302" spans="1:5" x14ac:dyDescent="0.25">
      <c r="A3302" s="17">
        <v>307</v>
      </c>
      <c r="B3302" s="31">
        <v>47983</v>
      </c>
      <c r="C3302" s="32">
        <f>INDEX('Input Data'!$B:$B,A3302)/2+IF(A3302&lt;&gt;A3303,100,0)</f>
        <v>1.5</v>
      </c>
      <c r="D3302" s="33">
        <f>INDEX('ZCB Curve - Payment Dates'!$D$2:$D$246,MATCH(B3302,'ZCB Curve - Payment Dates'!$A$2:$A$246,0))</f>
        <v>0.80939067484273564</v>
      </c>
      <c r="E3302" s="32">
        <f t="shared" si="51"/>
        <v>1.2140860122641035</v>
      </c>
    </row>
    <row r="3303" spans="1:5" x14ac:dyDescent="0.25">
      <c r="A3303" s="17">
        <v>307</v>
      </c>
      <c r="B3303" s="31">
        <v>48167</v>
      </c>
      <c r="C3303" s="32">
        <f>INDEX('Input Data'!$B:$B,A3303)/2+IF(A3303&lt;&gt;A3304,100,0)</f>
        <v>1.5</v>
      </c>
      <c r="D3303" s="33">
        <f>INDEX('ZCB Curve - Payment Dates'!$D$2:$D$246,MATCH(B3303,'ZCB Curve - Payment Dates'!$A$2:$A$246,0))</f>
        <v>0.79053567842581962</v>
      </c>
      <c r="E3303" s="32">
        <f t="shared" si="51"/>
        <v>1.1858035176387294</v>
      </c>
    </row>
    <row r="3304" spans="1:5" x14ac:dyDescent="0.25">
      <c r="A3304" s="17">
        <v>307</v>
      </c>
      <c r="B3304" s="31">
        <v>48349</v>
      </c>
      <c r="C3304" s="32">
        <f>INDEX('Input Data'!$B:$B,A3304)/2+IF(A3304&lt;&gt;A3305,100,0)</f>
        <v>1.5</v>
      </c>
      <c r="D3304" s="33">
        <f>INDEX('ZCB Curve - Payment Dates'!$D$2:$D$246,MATCH(B3304,'ZCB Curve - Payment Dates'!$A$2:$A$246,0))</f>
        <v>0.77217305702007488</v>
      </c>
      <c r="E3304" s="32">
        <f t="shared" si="51"/>
        <v>1.1582595855301123</v>
      </c>
    </row>
    <row r="3305" spans="1:5" x14ac:dyDescent="0.25">
      <c r="A3305" s="17">
        <v>307</v>
      </c>
      <c r="B3305" s="31">
        <v>48533</v>
      </c>
      <c r="C3305" s="32">
        <f>INDEX('Input Data'!$B:$B,A3305)/2+IF(A3305&lt;&gt;A3306,100,0)</f>
        <v>1.5</v>
      </c>
      <c r="D3305" s="33">
        <f>INDEX('ZCB Curve - Payment Dates'!$D$2:$D$246,MATCH(B3305,'ZCB Curve - Payment Dates'!$A$2:$A$246,0))</f>
        <v>0.75384766072076514</v>
      </c>
      <c r="E3305" s="32">
        <f t="shared" si="51"/>
        <v>1.1307714910811477</v>
      </c>
    </row>
    <row r="3306" spans="1:5" x14ac:dyDescent="0.25">
      <c r="A3306" s="17">
        <v>307</v>
      </c>
      <c r="B3306" s="31">
        <v>48714</v>
      </c>
      <c r="C3306" s="32">
        <f>INDEX('Input Data'!$B:$B,A3306)/2+IF(A3306&lt;&gt;A3307,100,0)</f>
        <v>1.5</v>
      </c>
      <c r="D3306" s="33">
        <f>INDEX('ZCB Curve - Payment Dates'!$D$2:$D$246,MATCH(B3306,'ZCB Curve - Payment Dates'!$A$2:$A$246,0))</f>
        <v>0.73601491848746747</v>
      </c>
      <c r="E3306" s="32">
        <f t="shared" si="51"/>
        <v>1.1040223777312013</v>
      </c>
    </row>
    <row r="3307" spans="1:5" x14ac:dyDescent="0.25">
      <c r="A3307" s="17">
        <v>307</v>
      </c>
      <c r="B3307" s="31">
        <v>48898</v>
      </c>
      <c r="C3307" s="32">
        <f>INDEX('Input Data'!$B:$B,A3307)/2+IF(A3307&lt;&gt;A3308,100,0)</f>
        <v>1.5</v>
      </c>
      <c r="D3307" s="33">
        <f>INDEX('ZCB Curve - Payment Dates'!$D$2:$D$246,MATCH(B3307,'ZCB Curve - Payment Dates'!$A$2:$A$246,0))</f>
        <v>0.71805338140354003</v>
      </c>
      <c r="E3307" s="32">
        <f t="shared" si="51"/>
        <v>1.07708007210531</v>
      </c>
    </row>
    <row r="3308" spans="1:5" x14ac:dyDescent="0.25">
      <c r="A3308" s="17">
        <v>307</v>
      </c>
      <c r="B3308" s="31">
        <v>49079</v>
      </c>
      <c r="C3308" s="32">
        <f>INDEX('Input Data'!$B:$B,A3308)/2+IF(A3308&lt;&gt;A3309,100,0)</f>
        <v>1.5</v>
      </c>
      <c r="D3308" s="33">
        <f>INDEX('ZCB Curve - Payment Dates'!$D$2:$D$246,MATCH(B3308,'ZCB Curve - Payment Dates'!$A$2:$A$246,0))</f>
        <v>0.70052630492471468</v>
      </c>
      <c r="E3308" s="32">
        <f t="shared" si="51"/>
        <v>1.050789457387072</v>
      </c>
    </row>
    <row r="3309" spans="1:5" x14ac:dyDescent="0.25">
      <c r="A3309" s="17">
        <v>307</v>
      </c>
      <c r="B3309" s="31">
        <v>49263</v>
      </c>
      <c r="C3309" s="32">
        <f>INDEX('Input Data'!$B:$B,A3309)/2+IF(A3309&lt;&gt;A3310,100,0)</f>
        <v>1.5</v>
      </c>
      <c r="D3309" s="33">
        <f>INDEX('ZCB Curve - Payment Dates'!$D$2:$D$246,MATCH(B3309,'ZCB Curve - Payment Dates'!$A$2:$A$246,0))</f>
        <v>0.68284221202539863</v>
      </c>
      <c r="E3309" s="32">
        <f t="shared" si="51"/>
        <v>1.024263318038098</v>
      </c>
    </row>
    <row r="3310" spans="1:5" x14ac:dyDescent="0.25">
      <c r="A3310" s="17">
        <v>307</v>
      </c>
      <c r="B3310" s="31">
        <v>49444</v>
      </c>
      <c r="C3310" s="32">
        <f>INDEX('Input Data'!$B:$B,A3310)/2+IF(A3310&lt;&gt;A3311,100,0)</f>
        <v>1.5</v>
      </c>
      <c r="D3310" s="33">
        <f>INDEX('ZCB Curve - Payment Dates'!$D$2:$D$246,MATCH(B3310,'ZCB Curve - Payment Dates'!$A$2:$A$246,0))</f>
        <v>0.66557347415228496</v>
      </c>
      <c r="E3310" s="32">
        <f t="shared" si="51"/>
        <v>0.99836021122842744</v>
      </c>
    </row>
    <row r="3311" spans="1:5" x14ac:dyDescent="0.25">
      <c r="A3311" s="17">
        <v>307</v>
      </c>
      <c r="B3311" s="31">
        <v>49628</v>
      </c>
      <c r="C3311" s="32">
        <f>INDEX('Input Data'!$B:$B,A3311)/2+IF(A3311&lt;&gt;A3312,100,0)</f>
        <v>1.5</v>
      </c>
      <c r="D3311" s="33">
        <f>INDEX('ZCB Curve - Payment Dates'!$D$2:$D$246,MATCH(B3311,'ZCB Curve - Payment Dates'!$A$2:$A$246,0))</f>
        <v>0.64815361918127823</v>
      </c>
      <c r="E3311" s="32">
        <f t="shared" si="51"/>
        <v>0.97223042877191734</v>
      </c>
    </row>
    <row r="3312" spans="1:5" x14ac:dyDescent="0.25">
      <c r="A3312" s="17">
        <v>307</v>
      </c>
      <c r="B3312" s="31">
        <v>49810</v>
      </c>
      <c r="C3312" s="32">
        <f>INDEX('Input Data'!$B:$B,A3312)/2+IF(A3312&lt;&gt;A3313,100,0)</f>
        <v>1.5</v>
      </c>
      <c r="D3312" s="33">
        <f>INDEX('ZCB Curve - Payment Dates'!$D$2:$D$246,MATCH(B3312,'ZCB Curve - Payment Dates'!$A$2:$A$246,0))</f>
        <v>0.63106457078577471</v>
      </c>
      <c r="E3312" s="32">
        <f t="shared" si="51"/>
        <v>0.94659685617866207</v>
      </c>
    </row>
    <row r="3313" spans="1:5" x14ac:dyDescent="0.25">
      <c r="A3313" s="17">
        <v>307</v>
      </c>
      <c r="B3313" s="31">
        <v>49994</v>
      </c>
      <c r="C3313" s="32">
        <f>INDEX('Input Data'!$B:$B,A3313)/2+IF(A3313&lt;&gt;A3314,100,0)</f>
        <v>1.5</v>
      </c>
      <c r="D3313" s="33">
        <f>INDEX('ZCB Curve - Payment Dates'!$D$2:$D$246,MATCH(B3313,'ZCB Curve - Payment Dates'!$A$2:$A$246,0))</f>
        <v>0.61395227923184648</v>
      </c>
      <c r="E3313" s="32">
        <f t="shared" si="51"/>
        <v>0.92092841884776977</v>
      </c>
    </row>
    <row r="3314" spans="1:5" x14ac:dyDescent="0.25">
      <c r="A3314" s="17">
        <v>307</v>
      </c>
      <c r="B3314" s="31">
        <v>50175</v>
      </c>
      <c r="C3314" s="32">
        <f>INDEX('Input Data'!$B:$B,A3314)/2+IF(A3314&lt;&gt;A3315,100,0)</f>
        <v>1.5</v>
      </c>
      <c r="D3314" s="33">
        <f>INDEX('ZCB Curve - Payment Dates'!$D$2:$D$246,MATCH(B3314,'ZCB Curve - Payment Dates'!$A$2:$A$246,0))</f>
        <v>0.5972963482314616</v>
      </c>
      <c r="E3314" s="32">
        <f t="shared" si="51"/>
        <v>0.89594452234719246</v>
      </c>
    </row>
    <row r="3315" spans="1:5" x14ac:dyDescent="0.25">
      <c r="A3315" s="17">
        <v>307</v>
      </c>
      <c r="B3315" s="31">
        <v>50359</v>
      </c>
      <c r="C3315" s="32">
        <f>INDEX('Input Data'!$B:$B,A3315)/2+IF(A3315&lt;&gt;A3316,100,0)</f>
        <v>1.5</v>
      </c>
      <c r="D3315" s="33">
        <f>INDEX('ZCB Curve - Payment Dates'!$D$2:$D$246,MATCH(B3315,'ZCB Curve - Payment Dates'!$A$2:$A$246,0))</f>
        <v>0.58056812006155756</v>
      </c>
      <c r="E3315" s="32">
        <f t="shared" si="51"/>
        <v>0.87085218009233634</v>
      </c>
    </row>
    <row r="3316" spans="1:5" x14ac:dyDescent="0.25">
      <c r="A3316" s="17">
        <v>307</v>
      </c>
      <c r="B3316" s="31">
        <v>50540</v>
      </c>
      <c r="C3316" s="32">
        <f>INDEX('Input Data'!$B:$B,A3316)/2+IF(A3316&lt;&gt;A3317,100,0)</f>
        <v>1.5</v>
      </c>
      <c r="D3316" s="33">
        <f>INDEX('ZCB Curve - Payment Dates'!$D$2:$D$246,MATCH(B3316,'ZCB Curve - Payment Dates'!$A$2:$A$246,0))</f>
        <v>0.56433491315969797</v>
      </c>
      <c r="E3316" s="32">
        <f t="shared" si="51"/>
        <v>0.84650236973954696</v>
      </c>
    </row>
    <row r="3317" spans="1:5" x14ac:dyDescent="0.25">
      <c r="A3317" s="17">
        <v>307</v>
      </c>
      <c r="B3317" s="31">
        <v>50724</v>
      </c>
      <c r="C3317" s="32">
        <f>INDEX('Input Data'!$B:$B,A3317)/2+IF(A3317&lt;&gt;A3318,100,0)</f>
        <v>1.5</v>
      </c>
      <c r="D3317" s="33">
        <f>INDEX('ZCB Curve - Payment Dates'!$D$2:$D$246,MATCH(B3317,'ZCB Curve - Payment Dates'!$A$2:$A$246,0))</f>
        <v>0.54808398139057424</v>
      </c>
      <c r="E3317" s="32">
        <f t="shared" si="51"/>
        <v>0.82212597208586136</v>
      </c>
    </row>
    <row r="3318" spans="1:5" x14ac:dyDescent="0.25">
      <c r="A3318" s="17">
        <v>307</v>
      </c>
      <c r="B3318" s="31">
        <v>50905</v>
      </c>
      <c r="C3318" s="32">
        <f>INDEX('Input Data'!$B:$B,A3318)/2+IF(A3318&lt;&gt;A3319,100,0)</f>
        <v>1.5</v>
      </c>
      <c r="D3318" s="33">
        <f>INDEX('ZCB Curve - Payment Dates'!$D$2:$D$246,MATCH(B3318,'ZCB Curve - Payment Dates'!$A$2:$A$246,0))</f>
        <v>0.5323673246083096</v>
      </c>
      <c r="E3318" s="32">
        <f t="shared" si="51"/>
        <v>0.7985509869124644</v>
      </c>
    </row>
    <row r="3319" spans="1:5" x14ac:dyDescent="0.25">
      <c r="A3319" s="17">
        <v>307</v>
      </c>
      <c r="B3319" s="31">
        <v>51089</v>
      </c>
      <c r="C3319" s="32">
        <f>INDEX('Input Data'!$B:$B,A3319)/2+IF(A3319&lt;&gt;A3320,100,0)</f>
        <v>1.5</v>
      </c>
      <c r="D3319" s="33">
        <f>INDEX('ZCB Curve - Payment Dates'!$D$2:$D$246,MATCH(B3319,'ZCB Curve - Payment Dates'!$A$2:$A$246,0))</f>
        <v>0.51668806431098135</v>
      </c>
      <c r="E3319" s="32">
        <f t="shared" si="51"/>
        <v>0.77503209646647209</v>
      </c>
    </row>
    <row r="3320" spans="1:5" x14ac:dyDescent="0.25">
      <c r="A3320" s="17">
        <v>307</v>
      </c>
      <c r="B3320" s="31">
        <v>51271</v>
      </c>
      <c r="C3320" s="32">
        <f>INDEX('Input Data'!$B:$B,A3320)/2+IF(A3320&lt;&gt;A3321,100,0)</f>
        <v>1.5</v>
      </c>
      <c r="D3320" s="33">
        <f>INDEX('ZCB Curve - Payment Dates'!$D$2:$D$246,MATCH(B3320,'ZCB Curve - Payment Dates'!$A$2:$A$246,0))</f>
        <v>0.50149590020417278</v>
      </c>
      <c r="E3320" s="32">
        <f t="shared" si="51"/>
        <v>0.75224385030625918</v>
      </c>
    </row>
    <row r="3321" spans="1:5" x14ac:dyDescent="0.25">
      <c r="A3321" s="17">
        <v>307</v>
      </c>
      <c r="B3321" s="31">
        <v>51455</v>
      </c>
      <c r="C3321" s="32">
        <f>INDEX('Input Data'!$B:$B,A3321)/2+IF(A3321&lt;&gt;A3322,100,0)</f>
        <v>1.5</v>
      </c>
      <c r="D3321" s="33">
        <f>INDEX('ZCB Curve - Payment Dates'!$D$2:$D$246,MATCH(B3321,'ZCB Curve - Payment Dates'!$A$2:$A$246,0))</f>
        <v>0.48647538074270091</v>
      </c>
      <c r="E3321" s="32">
        <f t="shared" si="51"/>
        <v>0.72971307111405137</v>
      </c>
    </row>
    <row r="3322" spans="1:5" x14ac:dyDescent="0.25">
      <c r="A3322" s="17">
        <v>307</v>
      </c>
      <c r="B3322" s="31">
        <v>51636</v>
      </c>
      <c r="C3322" s="32">
        <f>INDEX('Input Data'!$B:$B,A3322)/2+IF(A3322&lt;&gt;A3323,100,0)</f>
        <v>1.5</v>
      </c>
      <c r="D3322" s="33">
        <f>INDEX('ZCB Curve - Payment Dates'!$D$2:$D$246,MATCH(B3322,'ZCB Curve - Payment Dates'!$A$2:$A$246,0))</f>
        <v>0.47204918703719451</v>
      </c>
      <c r="E3322" s="32">
        <f t="shared" si="51"/>
        <v>0.70807378055579173</v>
      </c>
    </row>
    <row r="3323" spans="1:5" x14ac:dyDescent="0.25">
      <c r="A3323" s="17">
        <v>307</v>
      </c>
      <c r="B3323" s="31">
        <v>51820</v>
      </c>
      <c r="C3323" s="32">
        <f>INDEX('Input Data'!$B:$B,A3323)/2+IF(A3323&lt;&gt;A3324,100,0)</f>
        <v>1.5</v>
      </c>
      <c r="D3323" s="33">
        <f>INDEX('ZCB Curve - Payment Dates'!$D$2:$D$246,MATCH(B3323,'ZCB Curve - Payment Dates'!$A$2:$A$246,0))</f>
        <v>0.45775548669345245</v>
      </c>
      <c r="E3323" s="32">
        <f t="shared" si="51"/>
        <v>0.68663323004017873</v>
      </c>
    </row>
    <row r="3324" spans="1:5" x14ac:dyDescent="0.25">
      <c r="A3324" s="17">
        <v>307</v>
      </c>
      <c r="B3324" s="31">
        <v>52001</v>
      </c>
      <c r="C3324" s="32">
        <f>INDEX('Input Data'!$B:$B,A3324)/2+IF(A3324&lt;&gt;A3325,100,0)</f>
        <v>1.5</v>
      </c>
      <c r="D3324" s="33">
        <f>INDEX('ZCB Curve - Payment Dates'!$D$2:$D$246,MATCH(B3324,'ZCB Curve - Payment Dates'!$A$2:$A$246,0))</f>
        <v>0.44407192118484318</v>
      </c>
      <c r="E3324" s="32">
        <f t="shared" si="51"/>
        <v>0.66610788177726477</v>
      </c>
    </row>
    <row r="3325" spans="1:5" x14ac:dyDescent="0.25">
      <c r="A3325" s="17">
        <v>307</v>
      </c>
      <c r="B3325" s="31">
        <v>52185</v>
      </c>
      <c r="C3325" s="32">
        <f>INDEX('Input Data'!$B:$B,A3325)/2+IF(A3325&lt;&gt;A3326,100,0)</f>
        <v>1.5</v>
      </c>
      <c r="D3325" s="33">
        <f>INDEX('ZCB Curve - Payment Dates'!$D$2:$D$246,MATCH(B3325,'ZCB Curve - Payment Dates'!$A$2:$A$246,0))</f>
        <v>0.43055647946672393</v>
      </c>
      <c r="E3325" s="32">
        <f t="shared" si="51"/>
        <v>0.64583471920008595</v>
      </c>
    </row>
    <row r="3326" spans="1:5" x14ac:dyDescent="0.25">
      <c r="A3326" s="17">
        <v>307</v>
      </c>
      <c r="B3326" s="31">
        <v>52366</v>
      </c>
      <c r="C3326" s="32">
        <f>INDEX('Input Data'!$B:$B,A3326)/2+IF(A3326&lt;&gt;A3327,100,0)</f>
        <v>1.5</v>
      </c>
      <c r="D3326" s="33">
        <f>INDEX('ZCB Curve - Payment Dates'!$D$2:$D$246,MATCH(B3326,'ZCB Curve - Payment Dates'!$A$2:$A$246,0))</f>
        <v>0.41765686229470528</v>
      </c>
      <c r="E3326" s="32">
        <f t="shared" si="51"/>
        <v>0.62648529344205794</v>
      </c>
    </row>
    <row r="3327" spans="1:5" x14ac:dyDescent="0.25">
      <c r="A3327" s="17">
        <v>307</v>
      </c>
      <c r="B3327" s="31">
        <v>52550</v>
      </c>
      <c r="C3327" s="32">
        <f>INDEX('Input Data'!$B:$B,A3327)/2+IF(A3327&lt;&gt;A3328,100,0)</f>
        <v>1.5</v>
      </c>
      <c r="D3327" s="33">
        <f>INDEX('ZCB Curve - Payment Dates'!$D$2:$D$246,MATCH(B3327,'ZCB Curve - Payment Dates'!$A$2:$A$246,0))</f>
        <v>0.40495237741553414</v>
      </c>
      <c r="E3327" s="32">
        <f t="shared" si="51"/>
        <v>0.60742856612330121</v>
      </c>
    </row>
    <row r="3328" spans="1:5" x14ac:dyDescent="0.25">
      <c r="A3328" s="17">
        <v>307</v>
      </c>
      <c r="B3328" s="31">
        <v>52732</v>
      </c>
      <c r="C3328" s="32">
        <f>INDEX('Input Data'!$B:$B,A3328)/2+IF(A3328&lt;&gt;A3329,100,0)</f>
        <v>1.5</v>
      </c>
      <c r="D3328" s="33">
        <f>INDEX('ZCB Curve - Payment Dates'!$D$2:$D$246,MATCH(B3328,'ZCB Curve - Payment Dates'!$A$2:$A$246,0))</f>
        <v>0.3927952920896523</v>
      </c>
      <c r="E3328" s="32">
        <f t="shared" si="51"/>
        <v>0.58919293813447848</v>
      </c>
    </row>
    <row r="3329" spans="1:5" x14ac:dyDescent="0.25">
      <c r="A3329" s="17">
        <v>307</v>
      </c>
      <c r="B3329" s="31">
        <v>52916</v>
      </c>
      <c r="C3329" s="32">
        <f>INDEX('Input Data'!$B:$B,A3329)/2+IF(A3329&lt;&gt;A3330,100,0)</f>
        <v>1.5</v>
      </c>
      <c r="D3329" s="33">
        <f>INDEX('ZCB Curve - Payment Dates'!$D$2:$D$246,MATCH(B3329,'ZCB Curve - Payment Dates'!$A$2:$A$246,0))</f>
        <v>0.38091684361752687</v>
      </c>
      <c r="E3329" s="32">
        <f t="shared" si="51"/>
        <v>0.57137526542629025</v>
      </c>
    </row>
    <row r="3330" spans="1:5" x14ac:dyDescent="0.25">
      <c r="A3330" s="17">
        <v>307</v>
      </c>
      <c r="B3330" s="31">
        <v>53097</v>
      </c>
      <c r="C3330" s="32">
        <f>INDEX('Input Data'!$B:$B,A3330)/2+IF(A3330&lt;&gt;A3331,100,0)</f>
        <v>1.5</v>
      </c>
      <c r="D3330" s="33">
        <f>INDEX('ZCB Curve - Payment Dates'!$D$2:$D$246,MATCH(B3330,'ZCB Curve - Payment Dates'!$A$2:$A$246,0))</f>
        <v>0.36964331092783359</v>
      </c>
      <c r="E3330" s="32">
        <f t="shared" ref="E3330:E3393" si="52">C3330*D3330</f>
        <v>0.55446496639175036</v>
      </c>
    </row>
    <row r="3331" spans="1:5" x14ac:dyDescent="0.25">
      <c r="A3331" s="17">
        <v>307</v>
      </c>
      <c r="B3331" s="31">
        <v>53281</v>
      </c>
      <c r="C3331" s="32">
        <f>INDEX('Input Data'!$B:$B,A3331)/2+IF(A3331&lt;&gt;A3332,100,0)</f>
        <v>101.5</v>
      </c>
      <c r="D3331" s="33">
        <f>INDEX('ZCB Curve - Payment Dates'!$D$2:$D$246,MATCH(B3331,'ZCB Curve - Payment Dates'!$A$2:$A$246,0))</f>
        <v>0.35859090372935404</v>
      </c>
      <c r="E3331" s="32">
        <f t="shared" si="52"/>
        <v>36.396976728529438</v>
      </c>
    </row>
    <row r="3332" spans="1:5" x14ac:dyDescent="0.25">
      <c r="A3332" s="17">
        <v>308</v>
      </c>
      <c r="B3332" s="31">
        <v>46341</v>
      </c>
      <c r="C3332" s="32">
        <f>INDEX('Input Data'!$B:$B,A3332)/2+IF(A3332&lt;&gt;A3333,100,0)</f>
        <v>2.3125</v>
      </c>
      <c r="D3332" s="33">
        <f>INDEX('ZCB Curve - Payment Dates'!$D$2:$D$246,MATCH(B3332,'ZCB Curve - Payment Dates'!$A$2:$A$246,0))</f>
        <v>0.99245367292309439</v>
      </c>
      <c r="E3332" s="32">
        <f t="shared" si="52"/>
        <v>2.2950491186346555</v>
      </c>
    </row>
    <row r="3333" spans="1:5" x14ac:dyDescent="0.25">
      <c r="A3333" s="17">
        <v>308</v>
      </c>
      <c r="B3333" s="31">
        <v>46522</v>
      </c>
      <c r="C3333" s="32">
        <f>INDEX('Input Data'!$B:$B,A3333)/2+IF(A3333&lt;&gt;A3334,100,0)</f>
        <v>2.3125</v>
      </c>
      <c r="D3333" s="33">
        <f>INDEX('ZCB Curve - Payment Dates'!$D$2:$D$246,MATCH(B3333,'ZCB Curve - Payment Dates'!$A$2:$A$246,0))</f>
        <v>0.97242179559611874</v>
      </c>
      <c r="E3333" s="32">
        <f t="shared" si="52"/>
        <v>2.2487254023160248</v>
      </c>
    </row>
    <row r="3334" spans="1:5" x14ac:dyDescent="0.25">
      <c r="A3334" s="17">
        <v>308</v>
      </c>
      <c r="B3334" s="31">
        <v>46706</v>
      </c>
      <c r="C3334" s="32">
        <f>INDEX('Input Data'!$B:$B,A3334)/2+IF(A3334&lt;&gt;A3335,100,0)</f>
        <v>2.3125</v>
      </c>
      <c r="D3334" s="33">
        <f>INDEX('ZCB Curve - Payment Dates'!$D$2:$D$246,MATCH(B3334,'ZCB Curve - Payment Dates'!$A$2:$A$246,0))</f>
        <v>0.95121018311627348</v>
      </c>
      <c r="E3334" s="32">
        <f t="shared" si="52"/>
        <v>2.1996735484563823</v>
      </c>
    </row>
    <row r="3335" spans="1:5" x14ac:dyDescent="0.25">
      <c r="A3335" s="17">
        <v>308</v>
      </c>
      <c r="B3335" s="31">
        <v>46888</v>
      </c>
      <c r="C3335" s="32">
        <f>INDEX('Input Data'!$B:$B,A3335)/2+IF(A3335&lt;&gt;A3336,100,0)</f>
        <v>2.3125</v>
      </c>
      <c r="D3335" s="33">
        <f>INDEX('ZCB Curve - Payment Dates'!$D$2:$D$246,MATCH(B3335,'ZCB Curve - Payment Dates'!$A$2:$A$246,0))</f>
        <v>0.93000025435083566</v>
      </c>
      <c r="E3335" s="32">
        <f t="shared" si="52"/>
        <v>2.1506255881863074</v>
      </c>
    </row>
    <row r="3336" spans="1:5" x14ac:dyDescent="0.25">
      <c r="A3336" s="17">
        <v>308</v>
      </c>
      <c r="B3336" s="31">
        <v>47072</v>
      </c>
      <c r="C3336" s="32">
        <f>INDEX('Input Data'!$B:$B,A3336)/2+IF(A3336&lt;&gt;A3337,100,0)</f>
        <v>2.3125</v>
      </c>
      <c r="D3336" s="33">
        <f>INDEX('ZCB Curve - Payment Dates'!$D$2:$D$246,MATCH(B3336,'ZCB Curve - Payment Dates'!$A$2:$A$246,0))</f>
        <v>0.90870125167038918</v>
      </c>
      <c r="E3336" s="32">
        <f t="shared" si="52"/>
        <v>2.101371644487775</v>
      </c>
    </row>
    <row r="3337" spans="1:5" x14ac:dyDescent="0.25">
      <c r="A3337" s="17">
        <v>308</v>
      </c>
      <c r="B3337" s="31">
        <v>47253</v>
      </c>
      <c r="C3337" s="32">
        <f>INDEX('Input Data'!$B:$B,A3337)/2+IF(A3337&lt;&gt;A3338,100,0)</f>
        <v>2.3125</v>
      </c>
      <c r="D3337" s="33">
        <f>INDEX('ZCB Curve - Payment Dates'!$D$2:$D$246,MATCH(B3337,'ZCB Curve - Payment Dates'!$A$2:$A$246,0))</f>
        <v>0.88809325063638844</v>
      </c>
      <c r="E3337" s="32">
        <f t="shared" si="52"/>
        <v>2.0537156420966483</v>
      </c>
    </row>
    <row r="3338" spans="1:5" x14ac:dyDescent="0.25">
      <c r="A3338" s="17">
        <v>308</v>
      </c>
      <c r="B3338" s="31">
        <v>47437</v>
      </c>
      <c r="C3338" s="32">
        <f>INDEX('Input Data'!$B:$B,A3338)/2+IF(A3338&lt;&gt;A3339,100,0)</f>
        <v>2.3125</v>
      </c>
      <c r="D3338" s="33">
        <f>INDEX('ZCB Curve - Payment Dates'!$D$2:$D$246,MATCH(B3338,'ZCB Curve - Payment Dates'!$A$2:$A$246,0))</f>
        <v>0.86758824089536279</v>
      </c>
      <c r="E3338" s="32">
        <f t="shared" si="52"/>
        <v>2.0062978070705264</v>
      </c>
    </row>
    <row r="3339" spans="1:5" x14ac:dyDescent="0.25">
      <c r="A3339" s="17">
        <v>308</v>
      </c>
      <c r="B3339" s="31">
        <v>47618</v>
      </c>
      <c r="C3339" s="32">
        <f>INDEX('Input Data'!$B:$B,A3339)/2+IF(A3339&lt;&gt;A3340,100,0)</f>
        <v>2.3125</v>
      </c>
      <c r="D3339" s="33">
        <f>INDEX('ZCB Curve - Payment Dates'!$D$2:$D$246,MATCH(B3339,'ZCB Curve - Payment Dates'!$A$2:$A$246,0))</f>
        <v>0.84787416911783064</v>
      </c>
      <c r="E3339" s="32">
        <f t="shared" si="52"/>
        <v>1.9607090160849834</v>
      </c>
    </row>
    <row r="3340" spans="1:5" x14ac:dyDescent="0.25">
      <c r="A3340" s="17">
        <v>308</v>
      </c>
      <c r="B3340" s="31">
        <v>47802</v>
      </c>
      <c r="C3340" s="32">
        <f>INDEX('Input Data'!$B:$B,A3340)/2+IF(A3340&lt;&gt;A3341,100,0)</f>
        <v>2.3125</v>
      </c>
      <c r="D3340" s="33">
        <f>INDEX('ZCB Curve - Payment Dates'!$D$2:$D$246,MATCH(B3340,'ZCB Curve - Payment Dates'!$A$2:$A$246,0))</f>
        <v>0.82827715028796722</v>
      </c>
      <c r="E3340" s="32">
        <f t="shared" si="52"/>
        <v>1.9153909100409241</v>
      </c>
    </row>
    <row r="3341" spans="1:5" x14ac:dyDescent="0.25">
      <c r="A3341" s="17">
        <v>308</v>
      </c>
      <c r="B3341" s="31">
        <v>47983</v>
      </c>
      <c r="C3341" s="32">
        <f>INDEX('Input Data'!$B:$B,A3341)/2+IF(A3341&lt;&gt;A3342,100,0)</f>
        <v>2.3125</v>
      </c>
      <c r="D3341" s="33">
        <f>INDEX('ZCB Curve - Payment Dates'!$D$2:$D$246,MATCH(B3341,'ZCB Curve - Payment Dates'!$A$2:$A$246,0))</f>
        <v>0.80939067484273564</v>
      </c>
      <c r="E3341" s="32">
        <f t="shared" si="52"/>
        <v>1.8717159355738262</v>
      </c>
    </row>
    <row r="3342" spans="1:5" x14ac:dyDescent="0.25">
      <c r="A3342" s="17">
        <v>308</v>
      </c>
      <c r="B3342" s="31">
        <v>48167</v>
      </c>
      <c r="C3342" s="32">
        <f>INDEX('Input Data'!$B:$B,A3342)/2+IF(A3342&lt;&gt;A3343,100,0)</f>
        <v>2.3125</v>
      </c>
      <c r="D3342" s="33">
        <f>INDEX('ZCB Curve - Payment Dates'!$D$2:$D$246,MATCH(B3342,'ZCB Curve - Payment Dates'!$A$2:$A$246,0))</f>
        <v>0.79053567842581962</v>
      </c>
      <c r="E3342" s="32">
        <f t="shared" si="52"/>
        <v>1.8281137563597079</v>
      </c>
    </row>
    <row r="3343" spans="1:5" x14ac:dyDescent="0.25">
      <c r="A3343" s="17">
        <v>308</v>
      </c>
      <c r="B3343" s="31">
        <v>48349</v>
      </c>
      <c r="C3343" s="32">
        <f>INDEX('Input Data'!$B:$B,A3343)/2+IF(A3343&lt;&gt;A3344,100,0)</f>
        <v>2.3125</v>
      </c>
      <c r="D3343" s="33">
        <f>INDEX('ZCB Curve - Payment Dates'!$D$2:$D$246,MATCH(B3343,'ZCB Curve - Payment Dates'!$A$2:$A$246,0))</f>
        <v>0.77217305702007488</v>
      </c>
      <c r="E3343" s="32">
        <f t="shared" si="52"/>
        <v>1.7856501943589231</v>
      </c>
    </row>
    <row r="3344" spans="1:5" x14ac:dyDescent="0.25">
      <c r="A3344" s="17">
        <v>308</v>
      </c>
      <c r="B3344" s="31">
        <v>48533</v>
      </c>
      <c r="C3344" s="32">
        <f>INDEX('Input Data'!$B:$B,A3344)/2+IF(A3344&lt;&gt;A3345,100,0)</f>
        <v>2.3125</v>
      </c>
      <c r="D3344" s="33">
        <f>INDEX('ZCB Curve - Payment Dates'!$D$2:$D$246,MATCH(B3344,'ZCB Curve - Payment Dates'!$A$2:$A$246,0))</f>
        <v>0.75384766072076514</v>
      </c>
      <c r="E3344" s="32">
        <f t="shared" si="52"/>
        <v>1.7432727154167693</v>
      </c>
    </row>
    <row r="3345" spans="1:5" x14ac:dyDescent="0.25">
      <c r="A3345" s="17">
        <v>308</v>
      </c>
      <c r="B3345" s="31">
        <v>48714</v>
      </c>
      <c r="C3345" s="32">
        <f>INDEX('Input Data'!$B:$B,A3345)/2+IF(A3345&lt;&gt;A3346,100,0)</f>
        <v>2.3125</v>
      </c>
      <c r="D3345" s="33">
        <f>INDEX('ZCB Curve - Payment Dates'!$D$2:$D$246,MATCH(B3345,'ZCB Curve - Payment Dates'!$A$2:$A$246,0))</f>
        <v>0.73601491848746747</v>
      </c>
      <c r="E3345" s="32">
        <f t="shared" si="52"/>
        <v>1.7020344990022684</v>
      </c>
    </row>
    <row r="3346" spans="1:5" x14ac:dyDescent="0.25">
      <c r="A3346" s="17">
        <v>308</v>
      </c>
      <c r="B3346" s="31">
        <v>48898</v>
      </c>
      <c r="C3346" s="32">
        <f>INDEX('Input Data'!$B:$B,A3346)/2+IF(A3346&lt;&gt;A3347,100,0)</f>
        <v>2.3125</v>
      </c>
      <c r="D3346" s="33">
        <f>INDEX('ZCB Curve - Payment Dates'!$D$2:$D$246,MATCH(B3346,'ZCB Curve - Payment Dates'!$A$2:$A$246,0))</f>
        <v>0.71805338140354003</v>
      </c>
      <c r="E3346" s="32">
        <f t="shared" si="52"/>
        <v>1.6604984444956863</v>
      </c>
    </row>
    <row r="3347" spans="1:5" x14ac:dyDescent="0.25">
      <c r="A3347" s="17">
        <v>308</v>
      </c>
      <c r="B3347" s="31">
        <v>49079</v>
      </c>
      <c r="C3347" s="32">
        <f>INDEX('Input Data'!$B:$B,A3347)/2+IF(A3347&lt;&gt;A3348,100,0)</f>
        <v>2.3125</v>
      </c>
      <c r="D3347" s="33">
        <f>INDEX('ZCB Curve - Payment Dates'!$D$2:$D$246,MATCH(B3347,'ZCB Curve - Payment Dates'!$A$2:$A$246,0))</f>
        <v>0.70052630492471468</v>
      </c>
      <c r="E3347" s="32">
        <f t="shared" si="52"/>
        <v>1.6199670801384027</v>
      </c>
    </row>
    <row r="3348" spans="1:5" x14ac:dyDescent="0.25">
      <c r="A3348" s="17">
        <v>308</v>
      </c>
      <c r="B3348" s="31">
        <v>49263</v>
      </c>
      <c r="C3348" s="32">
        <f>INDEX('Input Data'!$B:$B,A3348)/2+IF(A3348&lt;&gt;A3349,100,0)</f>
        <v>2.3125</v>
      </c>
      <c r="D3348" s="33">
        <f>INDEX('ZCB Curve - Payment Dates'!$D$2:$D$246,MATCH(B3348,'ZCB Curve - Payment Dates'!$A$2:$A$246,0))</f>
        <v>0.68284221202539863</v>
      </c>
      <c r="E3348" s="32">
        <f t="shared" si="52"/>
        <v>1.5790726153087344</v>
      </c>
    </row>
    <row r="3349" spans="1:5" x14ac:dyDescent="0.25">
      <c r="A3349" s="17">
        <v>308</v>
      </c>
      <c r="B3349" s="31">
        <v>49444</v>
      </c>
      <c r="C3349" s="32">
        <f>INDEX('Input Data'!$B:$B,A3349)/2+IF(A3349&lt;&gt;A3350,100,0)</f>
        <v>2.3125</v>
      </c>
      <c r="D3349" s="33">
        <f>INDEX('ZCB Curve - Payment Dates'!$D$2:$D$246,MATCH(B3349,'ZCB Curve - Payment Dates'!$A$2:$A$246,0))</f>
        <v>0.66557347415228496</v>
      </c>
      <c r="E3349" s="32">
        <f t="shared" si="52"/>
        <v>1.539138658977159</v>
      </c>
    </row>
    <row r="3350" spans="1:5" x14ac:dyDescent="0.25">
      <c r="A3350" s="17">
        <v>308</v>
      </c>
      <c r="B3350" s="31">
        <v>49628</v>
      </c>
      <c r="C3350" s="32">
        <f>INDEX('Input Data'!$B:$B,A3350)/2+IF(A3350&lt;&gt;A3351,100,0)</f>
        <v>2.3125</v>
      </c>
      <c r="D3350" s="33">
        <f>INDEX('ZCB Curve - Payment Dates'!$D$2:$D$246,MATCH(B3350,'ZCB Curve - Payment Dates'!$A$2:$A$246,0))</f>
        <v>0.64815361918127823</v>
      </c>
      <c r="E3350" s="32">
        <f t="shared" si="52"/>
        <v>1.4988552443567058</v>
      </c>
    </row>
    <row r="3351" spans="1:5" x14ac:dyDescent="0.25">
      <c r="A3351" s="17">
        <v>308</v>
      </c>
      <c r="B3351" s="31">
        <v>49810</v>
      </c>
      <c r="C3351" s="32">
        <f>INDEX('Input Data'!$B:$B,A3351)/2+IF(A3351&lt;&gt;A3352,100,0)</f>
        <v>2.3125</v>
      </c>
      <c r="D3351" s="33">
        <f>INDEX('ZCB Curve - Payment Dates'!$D$2:$D$246,MATCH(B3351,'ZCB Curve - Payment Dates'!$A$2:$A$246,0))</f>
        <v>0.63106457078577471</v>
      </c>
      <c r="E3351" s="32">
        <f t="shared" si="52"/>
        <v>1.459336819942104</v>
      </c>
    </row>
    <row r="3352" spans="1:5" x14ac:dyDescent="0.25">
      <c r="A3352" s="17">
        <v>308</v>
      </c>
      <c r="B3352" s="31">
        <v>49994</v>
      </c>
      <c r="C3352" s="32">
        <f>INDEX('Input Data'!$B:$B,A3352)/2+IF(A3352&lt;&gt;A3353,100,0)</f>
        <v>2.3125</v>
      </c>
      <c r="D3352" s="33">
        <f>INDEX('ZCB Curve - Payment Dates'!$D$2:$D$246,MATCH(B3352,'ZCB Curve - Payment Dates'!$A$2:$A$246,0))</f>
        <v>0.61395227923184648</v>
      </c>
      <c r="E3352" s="32">
        <f t="shared" si="52"/>
        <v>1.419764645723645</v>
      </c>
    </row>
    <row r="3353" spans="1:5" x14ac:dyDescent="0.25">
      <c r="A3353" s="17">
        <v>308</v>
      </c>
      <c r="B3353" s="31">
        <v>50175</v>
      </c>
      <c r="C3353" s="32">
        <f>INDEX('Input Data'!$B:$B,A3353)/2+IF(A3353&lt;&gt;A3354,100,0)</f>
        <v>2.3125</v>
      </c>
      <c r="D3353" s="33">
        <f>INDEX('ZCB Curve - Payment Dates'!$D$2:$D$246,MATCH(B3353,'ZCB Curve - Payment Dates'!$A$2:$A$246,0))</f>
        <v>0.5972963482314616</v>
      </c>
      <c r="E3353" s="32">
        <f t="shared" si="52"/>
        <v>1.381247805285255</v>
      </c>
    </row>
    <row r="3354" spans="1:5" x14ac:dyDescent="0.25">
      <c r="A3354" s="17">
        <v>308</v>
      </c>
      <c r="B3354" s="31">
        <v>50359</v>
      </c>
      <c r="C3354" s="32">
        <f>INDEX('Input Data'!$B:$B,A3354)/2+IF(A3354&lt;&gt;A3355,100,0)</f>
        <v>2.3125</v>
      </c>
      <c r="D3354" s="33">
        <f>INDEX('ZCB Curve - Payment Dates'!$D$2:$D$246,MATCH(B3354,'ZCB Curve - Payment Dates'!$A$2:$A$246,0))</f>
        <v>0.58056812006155756</v>
      </c>
      <c r="E3354" s="32">
        <f t="shared" si="52"/>
        <v>1.3425637776423518</v>
      </c>
    </row>
    <row r="3355" spans="1:5" x14ac:dyDescent="0.25">
      <c r="A3355" s="17">
        <v>308</v>
      </c>
      <c r="B3355" s="31">
        <v>50540</v>
      </c>
      <c r="C3355" s="32">
        <f>INDEX('Input Data'!$B:$B,A3355)/2+IF(A3355&lt;&gt;A3356,100,0)</f>
        <v>2.3125</v>
      </c>
      <c r="D3355" s="33">
        <f>INDEX('ZCB Curve - Payment Dates'!$D$2:$D$246,MATCH(B3355,'ZCB Curve - Payment Dates'!$A$2:$A$246,0))</f>
        <v>0.56433491315969797</v>
      </c>
      <c r="E3355" s="32">
        <f t="shared" si="52"/>
        <v>1.3050244866818015</v>
      </c>
    </row>
    <row r="3356" spans="1:5" x14ac:dyDescent="0.25">
      <c r="A3356" s="17">
        <v>308</v>
      </c>
      <c r="B3356" s="31">
        <v>50724</v>
      </c>
      <c r="C3356" s="32">
        <f>INDEX('Input Data'!$B:$B,A3356)/2+IF(A3356&lt;&gt;A3357,100,0)</f>
        <v>2.3125</v>
      </c>
      <c r="D3356" s="33">
        <f>INDEX('ZCB Curve - Payment Dates'!$D$2:$D$246,MATCH(B3356,'ZCB Curve - Payment Dates'!$A$2:$A$246,0))</f>
        <v>0.54808398139057424</v>
      </c>
      <c r="E3356" s="32">
        <f t="shared" si="52"/>
        <v>1.267444206965703</v>
      </c>
    </row>
    <row r="3357" spans="1:5" x14ac:dyDescent="0.25">
      <c r="A3357" s="17">
        <v>308</v>
      </c>
      <c r="B3357" s="31">
        <v>50905</v>
      </c>
      <c r="C3357" s="32">
        <f>INDEX('Input Data'!$B:$B,A3357)/2+IF(A3357&lt;&gt;A3358,100,0)</f>
        <v>2.3125</v>
      </c>
      <c r="D3357" s="33">
        <f>INDEX('ZCB Curve - Payment Dates'!$D$2:$D$246,MATCH(B3357,'ZCB Curve - Payment Dates'!$A$2:$A$246,0))</f>
        <v>0.5323673246083096</v>
      </c>
      <c r="E3357" s="32">
        <f t="shared" si="52"/>
        <v>1.231099438156716</v>
      </c>
    </row>
    <row r="3358" spans="1:5" x14ac:dyDescent="0.25">
      <c r="A3358" s="17">
        <v>308</v>
      </c>
      <c r="B3358" s="31">
        <v>51089</v>
      </c>
      <c r="C3358" s="32">
        <f>INDEX('Input Data'!$B:$B,A3358)/2+IF(A3358&lt;&gt;A3359,100,0)</f>
        <v>2.3125</v>
      </c>
      <c r="D3358" s="33">
        <f>INDEX('ZCB Curve - Payment Dates'!$D$2:$D$246,MATCH(B3358,'ZCB Curve - Payment Dates'!$A$2:$A$246,0))</f>
        <v>0.51668806431098135</v>
      </c>
      <c r="E3358" s="32">
        <f t="shared" si="52"/>
        <v>1.1948411487191444</v>
      </c>
    </row>
    <row r="3359" spans="1:5" x14ac:dyDescent="0.25">
      <c r="A3359" s="17">
        <v>308</v>
      </c>
      <c r="B3359" s="31">
        <v>51271</v>
      </c>
      <c r="C3359" s="32">
        <f>INDEX('Input Data'!$B:$B,A3359)/2+IF(A3359&lt;&gt;A3360,100,0)</f>
        <v>2.3125</v>
      </c>
      <c r="D3359" s="33">
        <f>INDEX('ZCB Curve - Payment Dates'!$D$2:$D$246,MATCH(B3359,'ZCB Curve - Payment Dates'!$A$2:$A$246,0))</f>
        <v>0.50149590020417278</v>
      </c>
      <c r="E3359" s="32">
        <f t="shared" si="52"/>
        <v>1.1597092692221496</v>
      </c>
    </row>
    <row r="3360" spans="1:5" x14ac:dyDescent="0.25">
      <c r="A3360" s="17">
        <v>308</v>
      </c>
      <c r="B3360" s="31">
        <v>51455</v>
      </c>
      <c r="C3360" s="32">
        <f>INDEX('Input Data'!$B:$B,A3360)/2+IF(A3360&lt;&gt;A3361,100,0)</f>
        <v>2.3125</v>
      </c>
      <c r="D3360" s="33">
        <f>INDEX('ZCB Curve - Payment Dates'!$D$2:$D$246,MATCH(B3360,'ZCB Curve - Payment Dates'!$A$2:$A$246,0))</f>
        <v>0.48647538074270091</v>
      </c>
      <c r="E3360" s="32">
        <f t="shared" si="52"/>
        <v>1.1249743179674958</v>
      </c>
    </row>
    <row r="3361" spans="1:5" x14ac:dyDescent="0.25">
      <c r="A3361" s="17">
        <v>308</v>
      </c>
      <c r="B3361" s="31">
        <v>51636</v>
      </c>
      <c r="C3361" s="32">
        <f>INDEX('Input Data'!$B:$B,A3361)/2+IF(A3361&lt;&gt;A3362,100,0)</f>
        <v>2.3125</v>
      </c>
      <c r="D3361" s="33">
        <f>INDEX('ZCB Curve - Payment Dates'!$D$2:$D$246,MATCH(B3361,'ZCB Curve - Payment Dates'!$A$2:$A$246,0))</f>
        <v>0.47204918703719451</v>
      </c>
      <c r="E3361" s="32">
        <f t="shared" si="52"/>
        <v>1.0916137450235124</v>
      </c>
    </row>
    <row r="3362" spans="1:5" x14ac:dyDescent="0.25">
      <c r="A3362" s="17">
        <v>308</v>
      </c>
      <c r="B3362" s="31">
        <v>51820</v>
      </c>
      <c r="C3362" s="32">
        <f>INDEX('Input Data'!$B:$B,A3362)/2+IF(A3362&lt;&gt;A3363,100,0)</f>
        <v>2.3125</v>
      </c>
      <c r="D3362" s="33">
        <f>INDEX('ZCB Curve - Payment Dates'!$D$2:$D$246,MATCH(B3362,'ZCB Curve - Payment Dates'!$A$2:$A$246,0))</f>
        <v>0.45775548669345245</v>
      </c>
      <c r="E3362" s="32">
        <f t="shared" si="52"/>
        <v>1.0585595629786089</v>
      </c>
    </row>
    <row r="3363" spans="1:5" x14ac:dyDescent="0.25">
      <c r="A3363" s="17">
        <v>308</v>
      </c>
      <c r="B3363" s="31">
        <v>52001</v>
      </c>
      <c r="C3363" s="32">
        <f>INDEX('Input Data'!$B:$B,A3363)/2+IF(A3363&lt;&gt;A3364,100,0)</f>
        <v>2.3125</v>
      </c>
      <c r="D3363" s="33">
        <f>INDEX('ZCB Curve - Payment Dates'!$D$2:$D$246,MATCH(B3363,'ZCB Curve - Payment Dates'!$A$2:$A$246,0))</f>
        <v>0.44407192118484318</v>
      </c>
      <c r="E3363" s="32">
        <f t="shared" si="52"/>
        <v>1.0269163177399498</v>
      </c>
    </row>
    <row r="3364" spans="1:5" x14ac:dyDescent="0.25">
      <c r="A3364" s="17">
        <v>308</v>
      </c>
      <c r="B3364" s="31">
        <v>52185</v>
      </c>
      <c r="C3364" s="32">
        <f>INDEX('Input Data'!$B:$B,A3364)/2+IF(A3364&lt;&gt;A3365,100,0)</f>
        <v>2.3125</v>
      </c>
      <c r="D3364" s="33">
        <f>INDEX('ZCB Curve - Payment Dates'!$D$2:$D$246,MATCH(B3364,'ZCB Curve - Payment Dates'!$A$2:$A$246,0))</f>
        <v>0.43055647946672393</v>
      </c>
      <c r="E3364" s="32">
        <f t="shared" si="52"/>
        <v>0.99566185876679913</v>
      </c>
    </row>
    <row r="3365" spans="1:5" x14ac:dyDescent="0.25">
      <c r="A3365" s="17">
        <v>308</v>
      </c>
      <c r="B3365" s="31">
        <v>52366</v>
      </c>
      <c r="C3365" s="32">
        <f>INDEX('Input Data'!$B:$B,A3365)/2+IF(A3365&lt;&gt;A3366,100,0)</f>
        <v>2.3125</v>
      </c>
      <c r="D3365" s="33">
        <f>INDEX('ZCB Curve - Payment Dates'!$D$2:$D$246,MATCH(B3365,'ZCB Curve - Payment Dates'!$A$2:$A$246,0))</f>
        <v>0.41765686229470528</v>
      </c>
      <c r="E3365" s="32">
        <f t="shared" si="52"/>
        <v>0.96583149405650592</v>
      </c>
    </row>
    <row r="3366" spans="1:5" x14ac:dyDescent="0.25">
      <c r="A3366" s="17">
        <v>308</v>
      </c>
      <c r="B3366" s="31">
        <v>52550</v>
      </c>
      <c r="C3366" s="32">
        <f>INDEX('Input Data'!$B:$B,A3366)/2+IF(A3366&lt;&gt;A3367,100,0)</f>
        <v>2.3125</v>
      </c>
      <c r="D3366" s="33">
        <f>INDEX('ZCB Curve - Payment Dates'!$D$2:$D$246,MATCH(B3366,'ZCB Curve - Payment Dates'!$A$2:$A$246,0))</f>
        <v>0.40495237741553414</v>
      </c>
      <c r="E3366" s="32">
        <f t="shared" si="52"/>
        <v>0.93645237277342264</v>
      </c>
    </row>
    <row r="3367" spans="1:5" x14ac:dyDescent="0.25">
      <c r="A3367" s="17">
        <v>308</v>
      </c>
      <c r="B3367" s="31">
        <v>52732</v>
      </c>
      <c r="C3367" s="32">
        <f>INDEX('Input Data'!$B:$B,A3367)/2+IF(A3367&lt;&gt;A3368,100,0)</f>
        <v>2.3125</v>
      </c>
      <c r="D3367" s="33">
        <f>INDEX('ZCB Curve - Payment Dates'!$D$2:$D$246,MATCH(B3367,'ZCB Curve - Payment Dates'!$A$2:$A$246,0))</f>
        <v>0.3927952920896523</v>
      </c>
      <c r="E3367" s="32">
        <f t="shared" si="52"/>
        <v>0.90833911295732095</v>
      </c>
    </row>
    <row r="3368" spans="1:5" x14ac:dyDescent="0.25">
      <c r="A3368" s="17">
        <v>308</v>
      </c>
      <c r="B3368" s="31">
        <v>52916</v>
      </c>
      <c r="C3368" s="32">
        <f>INDEX('Input Data'!$B:$B,A3368)/2+IF(A3368&lt;&gt;A3369,100,0)</f>
        <v>2.3125</v>
      </c>
      <c r="D3368" s="33">
        <f>INDEX('ZCB Curve - Payment Dates'!$D$2:$D$246,MATCH(B3368,'ZCB Curve - Payment Dates'!$A$2:$A$246,0))</f>
        <v>0.38091684361752687</v>
      </c>
      <c r="E3368" s="32">
        <f t="shared" si="52"/>
        <v>0.88087020086553092</v>
      </c>
    </row>
    <row r="3369" spans="1:5" x14ac:dyDescent="0.25">
      <c r="A3369" s="17">
        <v>308</v>
      </c>
      <c r="B3369" s="31">
        <v>53097</v>
      </c>
      <c r="C3369" s="32">
        <f>INDEX('Input Data'!$B:$B,A3369)/2+IF(A3369&lt;&gt;A3370,100,0)</f>
        <v>2.3125</v>
      </c>
      <c r="D3369" s="33">
        <f>INDEX('ZCB Curve - Payment Dates'!$D$2:$D$246,MATCH(B3369,'ZCB Curve - Payment Dates'!$A$2:$A$246,0))</f>
        <v>0.36964331092783359</v>
      </c>
      <c r="E3369" s="32">
        <f t="shared" si="52"/>
        <v>0.85480015652061514</v>
      </c>
    </row>
    <row r="3370" spans="1:5" x14ac:dyDescent="0.25">
      <c r="A3370" s="17">
        <v>308</v>
      </c>
      <c r="B3370" s="31">
        <v>53281</v>
      </c>
      <c r="C3370" s="32">
        <f>INDEX('Input Data'!$B:$B,A3370)/2+IF(A3370&lt;&gt;A3371,100,0)</f>
        <v>102.3125</v>
      </c>
      <c r="D3370" s="33">
        <f>INDEX('ZCB Curve - Payment Dates'!$D$2:$D$246,MATCH(B3370,'ZCB Curve - Payment Dates'!$A$2:$A$246,0))</f>
        <v>0.35859090372935404</v>
      </c>
      <c r="E3370" s="32">
        <f t="shared" si="52"/>
        <v>36.688331837809535</v>
      </c>
    </row>
    <row r="3371" spans="1:5" x14ac:dyDescent="0.25">
      <c r="A3371" s="17">
        <v>309</v>
      </c>
      <c r="B3371" s="31">
        <v>46433</v>
      </c>
      <c r="C3371" s="32">
        <f>INDEX('Input Data'!$B:$B,A3371)/2+IF(A3371&lt;&gt;A3372,100,0)</f>
        <v>1.25</v>
      </c>
      <c r="D3371" s="33">
        <f>INDEX('ZCB Curve - Payment Dates'!$D$2:$D$246,MATCH(B3371,'ZCB Curve - Payment Dates'!$A$2:$A$246,0))</f>
        <v>0.98242671792446301</v>
      </c>
      <c r="E3371" s="32">
        <f t="shared" si="52"/>
        <v>1.2280333974055788</v>
      </c>
    </row>
    <row r="3372" spans="1:5" x14ac:dyDescent="0.25">
      <c r="A3372" s="17">
        <v>309</v>
      </c>
      <c r="B3372" s="31">
        <v>46614</v>
      </c>
      <c r="C3372" s="32">
        <f>INDEX('Input Data'!$B:$B,A3372)/2+IF(A3372&lt;&gt;A3373,100,0)</f>
        <v>1.25</v>
      </c>
      <c r="D3372" s="33">
        <f>INDEX('ZCB Curve - Payment Dates'!$D$2:$D$246,MATCH(B3372,'ZCB Curve - Payment Dates'!$A$2:$A$246,0))</f>
        <v>0.96187948164765535</v>
      </c>
      <c r="E3372" s="32">
        <f t="shared" si="52"/>
        <v>1.2023493520595692</v>
      </c>
    </row>
    <row r="3373" spans="1:5" x14ac:dyDescent="0.25">
      <c r="A3373" s="17">
        <v>309</v>
      </c>
      <c r="B3373" s="31">
        <v>46798</v>
      </c>
      <c r="C3373" s="32">
        <f>INDEX('Input Data'!$B:$B,A3373)/2+IF(A3373&lt;&gt;A3374,100,0)</f>
        <v>1.25</v>
      </c>
      <c r="D3373" s="33">
        <f>INDEX('ZCB Curve - Payment Dates'!$D$2:$D$246,MATCH(B3373,'ZCB Curve - Payment Dates'!$A$2:$A$246,0))</f>
        <v>0.94049096132648802</v>
      </c>
      <c r="E3373" s="32">
        <f t="shared" si="52"/>
        <v>1.1756137016581101</v>
      </c>
    </row>
    <row r="3374" spans="1:5" x14ac:dyDescent="0.25">
      <c r="A3374" s="17">
        <v>309</v>
      </c>
      <c r="B3374" s="31">
        <v>46980</v>
      </c>
      <c r="C3374" s="32">
        <f>INDEX('Input Data'!$B:$B,A3374)/2+IF(A3374&lt;&gt;A3375,100,0)</f>
        <v>1.25</v>
      </c>
      <c r="D3374" s="33">
        <f>INDEX('ZCB Curve - Payment Dates'!$D$2:$D$246,MATCH(B3374,'ZCB Curve - Payment Dates'!$A$2:$A$246,0))</f>
        <v>0.91931844130238327</v>
      </c>
      <c r="E3374" s="32">
        <f t="shared" si="52"/>
        <v>1.1491480516279791</v>
      </c>
    </row>
    <row r="3375" spans="1:5" x14ac:dyDescent="0.25">
      <c r="A3375" s="17">
        <v>309</v>
      </c>
      <c r="B3375" s="31">
        <v>47164</v>
      </c>
      <c r="C3375" s="32">
        <f>INDEX('Input Data'!$B:$B,A3375)/2+IF(A3375&lt;&gt;A3376,100,0)</f>
        <v>1.25</v>
      </c>
      <c r="D3375" s="33">
        <f>INDEX('ZCB Curve - Payment Dates'!$D$2:$D$246,MATCH(B3375,'ZCB Curve - Payment Dates'!$A$2:$A$246,0))</f>
        <v>0.89817430058086534</v>
      </c>
      <c r="E3375" s="32">
        <f t="shared" si="52"/>
        <v>1.1227178757260816</v>
      </c>
    </row>
    <row r="3376" spans="1:5" x14ac:dyDescent="0.25">
      <c r="A3376" s="17">
        <v>309</v>
      </c>
      <c r="B3376" s="31">
        <v>47345</v>
      </c>
      <c r="C3376" s="32">
        <f>INDEX('Input Data'!$B:$B,A3376)/2+IF(A3376&lt;&gt;A3377,100,0)</f>
        <v>1.25</v>
      </c>
      <c r="D3376" s="33">
        <f>INDEX('ZCB Curve - Payment Dates'!$D$2:$D$246,MATCH(B3376,'ZCB Curve - Payment Dates'!$A$2:$A$246,0))</f>
        <v>0.87778421628860481</v>
      </c>
      <c r="E3376" s="32">
        <f t="shared" si="52"/>
        <v>1.0972302703607559</v>
      </c>
    </row>
    <row r="3377" spans="1:5" x14ac:dyDescent="0.25">
      <c r="A3377" s="17">
        <v>309</v>
      </c>
      <c r="B3377" s="31">
        <v>47529</v>
      </c>
      <c r="C3377" s="32">
        <f>INDEX('Input Data'!$B:$B,A3377)/2+IF(A3377&lt;&gt;A3378,100,0)</f>
        <v>1.25</v>
      </c>
      <c r="D3377" s="33">
        <f>INDEX('ZCB Curve - Payment Dates'!$D$2:$D$246,MATCH(B3377,'ZCB Curve - Payment Dates'!$A$2:$A$246,0))</f>
        <v>0.85751015570959666</v>
      </c>
      <c r="E3377" s="32">
        <f t="shared" si="52"/>
        <v>1.0718876946369957</v>
      </c>
    </row>
    <row r="3378" spans="1:5" x14ac:dyDescent="0.25">
      <c r="A3378" s="17">
        <v>309</v>
      </c>
      <c r="B3378" s="31">
        <v>47710</v>
      </c>
      <c r="C3378" s="32">
        <f>INDEX('Input Data'!$B:$B,A3378)/2+IF(A3378&lt;&gt;A3379,100,0)</f>
        <v>1.25</v>
      </c>
      <c r="D3378" s="33">
        <f>INDEX('ZCB Curve - Payment Dates'!$D$2:$D$246,MATCH(B3378,'ZCB Curve - Payment Dates'!$A$2:$A$246,0))</f>
        <v>0.83802423748211174</v>
      </c>
      <c r="E3378" s="32">
        <f t="shared" si="52"/>
        <v>1.0475302968526397</v>
      </c>
    </row>
    <row r="3379" spans="1:5" x14ac:dyDescent="0.25">
      <c r="A3379" s="17">
        <v>309</v>
      </c>
      <c r="B3379" s="31">
        <v>47894</v>
      </c>
      <c r="C3379" s="32">
        <f>INDEX('Input Data'!$B:$B,A3379)/2+IF(A3379&lt;&gt;A3380,100,0)</f>
        <v>1.25</v>
      </c>
      <c r="D3379" s="33">
        <f>INDEX('ZCB Curve - Payment Dates'!$D$2:$D$246,MATCH(B3379,'ZCB Curve - Payment Dates'!$A$2:$A$246,0))</f>
        <v>0.8186305474741673</v>
      </c>
      <c r="E3379" s="32">
        <f t="shared" si="52"/>
        <v>1.0232881843427091</v>
      </c>
    </row>
    <row r="3380" spans="1:5" x14ac:dyDescent="0.25">
      <c r="A3380" s="17">
        <v>309</v>
      </c>
      <c r="B3380" s="31">
        <v>48075</v>
      </c>
      <c r="C3380" s="32">
        <f>INDEX('Input Data'!$B:$B,A3380)/2+IF(A3380&lt;&gt;A3381,100,0)</f>
        <v>1.25</v>
      </c>
      <c r="D3380" s="33">
        <f>INDEX('ZCB Curve - Payment Dates'!$D$2:$D$246,MATCH(B3380,'ZCB Curve - Payment Dates'!$A$2:$A$246,0))</f>
        <v>0.7999252334775927</v>
      </c>
      <c r="E3380" s="32">
        <f t="shared" si="52"/>
        <v>0.9999065418469909</v>
      </c>
    </row>
    <row r="3381" spans="1:5" x14ac:dyDescent="0.25">
      <c r="A3381" s="17">
        <v>309</v>
      </c>
      <c r="B3381" s="31">
        <v>48259</v>
      </c>
      <c r="C3381" s="32">
        <f>INDEX('Input Data'!$B:$B,A3381)/2+IF(A3381&lt;&gt;A3382,100,0)</f>
        <v>1.25</v>
      </c>
      <c r="D3381" s="33">
        <f>INDEX('ZCB Curve - Payment Dates'!$D$2:$D$246,MATCH(B3381,'ZCB Curve - Payment Dates'!$A$2:$A$246,0))</f>
        <v>0.78121887027612602</v>
      </c>
      <c r="E3381" s="32">
        <f t="shared" si="52"/>
        <v>0.97652358784515747</v>
      </c>
    </row>
    <row r="3382" spans="1:5" x14ac:dyDescent="0.25">
      <c r="A3382" s="17">
        <v>309</v>
      </c>
      <c r="B3382" s="31">
        <v>48441</v>
      </c>
      <c r="C3382" s="32">
        <f>INDEX('Input Data'!$B:$B,A3382)/2+IF(A3382&lt;&gt;A3383,100,0)</f>
        <v>1.25</v>
      </c>
      <c r="D3382" s="33">
        <f>INDEX('ZCB Curve - Payment Dates'!$D$2:$D$246,MATCH(B3382,'ZCB Curve - Payment Dates'!$A$2:$A$246,0))</f>
        <v>0.76298123459017864</v>
      </c>
      <c r="E3382" s="32">
        <f t="shared" si="52"/>
        <v>0.95372654323772332</v>
      </c>
    </row>
    <row r="3383" spans="1:5" x14ac:dyDescent="0.25">
      <c r="A3383" s="17">
        <v>309</v>
      </c>
      <c r="B3383" s="31">
        <v>48625</v>
      </c>
      <c r="C3383" s="32">
        <f>INDEX('Input Data'!$B:$B,A3383)/2+IF(A3383&lt;&gt;A3384,100,0)</f>
        <v>1.25</v>
      </c>
      <c r="D3383" s="33">
        <f>INDEX('ZCB Curve - Payment Dates'!$D$2:$D$246,MATCH(B3383,'ZCB Curve - Payment Dates'!$A$2:$A$246,0))</f>
        <v>0.74476011611938586</v>
      </c>
      <c r="E3383" s="32">
        <f t="shared" si="52"/>
        <v>0.93095014514923236</v>
      </c>
    </row>
    <row r="3384" spans="1:5" x14ac:dyDescent="0.25">
      <c r="A3384" s="17">
        <v>309</v>
      </c>
      <c r="B3384" s="31">
        <v>48806</v>
      </c>
      <c r="C3384" s="32">
        <f>INDEX('Input Data'!$B:$B,A3384)/2+IF(A3384&lt;&gt;A3385,100,0)</f>
        <v>1.25</v>
      </c>
      <c r="D3384" s="33">
        <f>INDEX('ZCB Curve - Payment Dates'!$D$2:$D$246,MATCH(B3384,'ZCB Curve - Payment Dates'!$A$2:$A$246,0))</f>
        <v>0.72701302496114584</v>
      </c>
      <c r="E3384" s="32">
        <f t="shared" si="52"/>
        <v>0.90876628120143232</v>
      </c>
    </row>
    <row r="3385" spans="1:5" x14ac:dyDescent="0.25">
      <c r="A3385" s="17">
        <v>309</v>
      </c>
      <c r="B3385" s="31">
        <v>48990</v>
      </c>
      <c r="C3385" s="32">
        <f>INDEX('Input Data'!$B:$B,A3385)/2+IF(A3385&lt;&gt;A3386,100,0)</f>
        <v>1.25</v>
      </c>
      <c r="D3385" s="33">
        <f>INDEX('ZCB Curve - Payment Dates'!$D$2:$D$246,MATCH(B3385,'ZCB Curve - Payment Dates'!$A$2:$A$246,0))</f>
        <v>0.70912647031380449</v>
      </c>
      <c r="E3385" s="32">
        <f t="shared" si="52"/>
        <v>0.88640808789225556</v>
      </c>
    </row>
    <row r="3386" spans="1:5" x14ac:dyDescent="0.25">
      <c r="A3386" s="17">
        <v>309</v>
      </c>
      <c r="B3386" s="31">
        <v>49171</v>
      </c>
      <c r="C3386" s="32">
        <f>INDEX('Input Data'!$B:$B,A3386)/2+IF(A3386&lt;&gt;A3387,100,0)</f>
        <v>1.25</v>
      </c>
      <c r="D3386" s="33">
        <f>INDEX('ZCB Curve - Payment Dates'!$D$2:$D$246,MATCH(B3386,'ZCB Curve - Payment Dates'!$A$2:$A$246,0))</f>
        <v>0.6916661505723215</v>
      </c>
      <c r="E3386" s="32">
        <f t="shared" si="52"/>
        <v>0.86458268821540185</v>
      </c>
    </row>
    <row r="3387" spans="1:5" x14ac:dyDescent="0.25">
      <c r="A3387" s="17">
        <v>309</v>
      </c>
      <c r="B3387" s="31">
        <v>49355</v>
      </c>
      <c r="C3387" s="32">
        <f>INDEX('Input Data'!$B:$B,A3387)/2+IF(A3387&lt;&gt;A3388,100,0)</f>
        <v>1.25</v>
      </c>
      <c r="D3387" s="33">
        <f>INDEX('ZCB Curve - Payment Dates'!$D$2:$D$246,MATCH(B3387,'ZCB Curve - Payment Dates'!$A$2:$A$246,0))</f>
        <v>0.674047377898778</v>
      </c>
      <c r="E3387" s="32">
        <f t="shared" si="52"/>
        <v>0.84255922237347247</v>
      </c>
    </row>
    <row r="3388" spans="1:5" x14ac:dyDescent="0.25">
      <c r="A3388" s="17">
        <v>309</v>
      </c>
      <c r="B3388" s="31">
        <v>49536</v>
      </c>
      <c r="C3388" s="32">
        <f>INDEX('Input Data'!$B:$B,A3388)/2+IF(A3388&lt;&gt;A3389,100,0)</f>
        <v>1.25</v>
      </c>
      <c r="D3388" s="33">
        <f>INDEX('ZCB Curve - Payment Dates'!$D$2:$D$246,MATCH(B3388,'ZCB Curve - Payment Dates'!$A$2:$A$246,0))</f>
        <v>0.65684432300638129</v>
      </c>
      <c r="E3388" s="32">
        <f t="shared" si="52"/>
        <v>0.82105540375797659</v>
      </c>
    </row>
    <row r="3389" spans="1:5" x14ac:dyDescent="0.25">
      <c r="A3389" s="17">
        <v>309</v>
      </c>
      <c r="B3389" s="31">
        <v>49720</v>
      </c>
      <c r="C3389" s="32">
        <f>INDEX('Input Data'!$B:$B,A3389)/2+IF(A3389&lt;&gt;A3390,100,0)</f>
        <v>1.25</v>
      </c>
      <c r="D3389" s="33">
        <f>INDEX('ZCB Curve - Payment Dates'!$D$2:$D$246,MATCH(B3389,'ZCB Curve - Payment Dates'!$A$2:$A$246,0))</f>
        <v>0.63949604524993764</v>
      </c>
      <c r="E3389" s="32">
        <f t="shared" si="52"/>
        <v>0.79937005656242199</v>
      </c>
    </row>
    <row r="3390" spans="1:5" x14ac:dyDescent="0.25">
      <c r="A3390" s="17">
        <v>309</v>
      </c>
      <c r="B3390" s="31">
        <v>49902</v>
      </c>
      <c r="C3390" s="32">
        <f>INDEX('Input Data'!$B:$B,A3390)/2+IF(A3390&lt;&gt;A3391,100,0)</f>
        <v>1.25</v>
      </c>
      <c r="D3390" s="33">
        <f>INDEX('ZCB Curve - Payment Dates'!$D$2:$D$246,MATCH(B3390,'ZCB Curve - Payment Dates'!$A$2:$A$246,0))</f>
        <v>0.62248862376822711</v>
      </c>
      <c r="E3390" s="32">
        <f t="shared" si="52"/>
        <v>0.77811077971028386</v>
      </c>
    </row>
    <row r="3391" spans="1:5" x14ac:dyDescent="0.25">
      <c r="A3391" s="17">
        <v>309</v>
      </c>
      <c r="B3391" s="31">
        <v>50086</v>
      </c>
      <c r="C3391" s="32">
        <f>INDEX('Input Data'!$B:$B,A3391)/2+IF(A3391&lt;&gt;A3392,100,0)</f>
        <v>1.25</v>
      </c>
      <c r="D3391" s="33">
        <f>INDEX('ZCB Curve - Payment Dates'!$D$2:$D$246,MATCH(B3391,'ZCB Curve - Payment Dates'!$A$2:$A$246,0))</f>
        <v>0.60546490876014969</v>
      </c>
      <c r="E3391" s="32">
        <f t="shared" si="52"/>
        <v>0.75683113595018714</v>
      </c>
    </row>
    <row r="3392" spans="1:5" x14ac:dyDescent="0.25">
      <c r="A3392" s="17">
        <v>309</v>
      </c>
      <c r="B3392" s="31">
        <v>50267</v>
      </c>
      <c r="C3392" s="32">
        <f>INDEX('Input Data'!$B:$B,A3392)/2+IF(A3392&lt;&gt;A3393,100,0)</f>
        <v>1.25</v>
      </c>
      <c r="D3392" s="33">
        <f>INDEX('ZCB Curve - Payment Dates'!$D$2:$D$246,MATCH(B3392,'ZCB Curve - Payment Dates'!$A$2:$A$246,0))</f>
        <v>0.58890683803346977</v>
      </c>
      <c r="E3392" s="32">
        <f t="shared" si="52"/>
        <v>0.73613354754183724</v>
      </c>
    </row>
    <row r="3393" spans="1:5" x14ac:dyDescent="0.25">
      <c r="A3393" s="17">
        <v>309</v>
      </c>
      <c r="B3393" s="31">
        <v>50451</v>
      </c>
      <c r="C3393" s="32">
        <f>INDEX('Input Data'!$B:$B,A3393)/2+IF(A3393&lt;&gt;A3394,100,0)</f>
        <v>1.25</v>
      </c>
      <c r="D3393" s="33">
        <f>INDEX('ZCB Curve - Payment Dates'!$D$2:$D$246,MATCH(B3393,'ZCB Curve - Payment Dates'!$A$2:$A$246,0))</f>
        <v>0.57228983695479263</v>
      </c>
      <c r="E3393" s="32">
        <f t="shared" si="52"/>
        <v>0.71536229619349079</v>
      </c>
    </row>
    <row r="3394" spans="1:5" x14ac:dyDescent="0.25">
      <c r="A3394" s="17">
        <v>309</v>
      </c>
      <c r="B3394" s="31">
        <v>50632</v>
      </c>
      <c r="C3394" s="32">
        <f>INDEX('Input Data'!$B:$B,A3394)/2+IF(A3394&lt;&gt;A3395,100,0)</f>
        <v>1.25</v>
      </c>
      <c r="D3394" s="33">
        <f>INDEX('ZCB Curve - Payment Dates'!$D$2:$D$246,MATCH(B3394,'ZCB Curve - Payment Dates'!$A$2:$A$246,0))</f>
        <v>0.55617795699202288</v>
      </c>
      <c r="E3394" s="32">
        <f t="shared" ref="E3394:E3457" si="53">C3394*D3394</f>
        <v>0.6952224462400286</v>
      </c>
    </row>
    <row r="3395" spans="1:5" x14ac:dyDescent="0.25">
      <c r="A3395" s="17">
        <v>309</v>
      </c>
      <c r="B3395" s="31">
        <v>50816</v>
      </c>
      <c r="C3395" s="32">
        <f>INDEX('Input Data'!$B:$B,A3395)/2+IF(A3395&lt;&gt;A3396,100,0)</f>
        <v>1.25</v>
      </c>
      <c r="D3395" s="33">
        <f>INDEX('ZCB Curve - Payment Dates'!$D$2:$D$246,MATCH(B3395,'ZCB Curve - Payment Dates'!$A$2:$A$246,0))</f>
        <v>0.54006240951211237</v>
      </c>
      <c r="E3395" s="32">
        <f t="shared" si="53"/>
        <v>0.67507801189014049</v>
      </c>
    </row>
    <row r="3396" spans="1:5" x14ac:dyDescent="0.25">
      <c r="A3396" s="17">
        <v>309</v>
      </c>
      <c r="B3396" s="31">
        <v>50997</v>
      </c>
      <c r="C3396" s="32">
        <f>INDEX('Input Data'!$B:$B,A3396)/2+IF(A3396&lt;&gt;A3397,100,0)</f>
        <v>1.25</v>
      </c>
      <c r="D3396" s="33">
        <f>INDEX('ZCB Curve - Payment Dates'!$D$2:$D$246,MATCH(B3396,'ZCB Curve - Payment Dates'!$A$2:$A$246,0))</f>
        <v>0.52449040173194583</v>
      </c>
      <c r="E3396" s="32">
        <f t="shared" si="53"/>
        <v>0.65561300216493223</v>
      </c>
    </row>
    <row r="3397" spans="1:5" x14ac:dyDescent="0.25">
      <c r="A3397" s="17">
        <v>309</v>
      </c>
      <c r="B3397" s="31">
        <v>51181</v>
      </c>
      <c r="C3397" s="32">
        <f>INDEX('Input Data'!$B:$B,A3397)/2+IF(A3397&lt;&gt;A3398,100,0)</f>
        <v>1.25</v>
      </c>
      <c r="D3397" s="33">
        <f>INDEX('ZCB Curve - Payment Dates'!$D$2:$D$246,MATCH(B3397,'ZCB Curve - Payment Dates'!$A$2:$A$246,0))</f>
        <v>0.5089691698468306</v>
      </c>
      <c r="E3397" s="32">
        <f t="shared" si="53"/>
        <v>0.6362114623085382</v>
      </c>
    </row>
    <row r="3398" spans="1:5" x14ac:dyDescent="0.25">
      <c r="A3398" s="17">
        <v>309</v>
      </c>
      <c r="B3398" s="31">
        <v>51363</v>
      </c>
      <c r="C3398" s="32">
        <f>INDEX('Input Data'!$B:$B,A3398)/2+IF(A3398&lt;&gt;A3399,100,0)</f>
        <v>1.25</v>
      </c>
      <c r="D3398" s="33">
        <f>INDEX('ZCB Curve - Payment Dates'!$D$2:$D$246,MATCH(B3398,'ZCB Curve - Payment Dates'!$A$2:$A$246,0))</f>
        <v>0.49394036022330806</v>
      </c>
      <c r="E3398" s="32">
        <f t="shared" si="53"/>
        <v>0.61742545027913509</v>
      </c>
    </row>
    <row r="3399" spans="1:5" x14ac:dyDescent="0.25">
      <c r="A3399" s="17">
        <v>309</v>
      </c>
      <c r="B3399" s="31">
        <v>51547</v>
      </c>
      <c r="C3399" s="32">
        <f>INDEX('Input Data'!$B:$B,A3399)/2+IF(A3399&lt;&gt;A3400,100,0)</f>
        <v>1.25</v>
      </c>
      <c r="D3399" s="33">
        <f>INDEX('ZCB Curve - Payment Dates'!$D$2:$D$246,MATCH(B3399,'ZCB Curve - Payment Dates'!$A$2:$A$246,0))</f>
        <v>0.47909718957588998</v>
      </c>
      <c r="E3399" s="32">
        <f t="shared" si="53"/>
        <v>0.59887148696986248</v>
      </c>
    </row>
    <row r="3400" spans="1:5" x14ac:dyDescent="0.25">
      <c r="A3400" s="17">
        <v>309</v>
      </c>
      <c r="B3400" s="31">
        <v>51728</v>
      </c>
      <c r="C3400" s="32">
        <f>INDEX('Input Data'!$B:$B,A3400)/2+IF(A3400&lt;&gt;A3401,100,0)</f>
        <v>1.25</v>
      </c>
      <c r="D3400" s="33">
        <f>INDEX('ZCB Curve - Payment Dates'!$D$2:$D$246,MATCH(B3400,'ZCB Curve - Payment Dates'!$A$2:$A$246,0))</f>
        <v>0.46485329459616059</v>
      </c>
      <c r="E3400" s="32">
        <f t="shared" si="53"/>
        <v>0.58106661824520078</v>
      </c>
    </row>
    <row r="3401" spans="1:5" x14ac:dyDescent="0.25">
      <c r="A3401" s="17">
        <v>309</v>
      </c>
      <c r="B3401" s="31">
        <v>51912</v>
      </c>
      <c r="C3401" s="32">
        <f>INDEX('Input Data'!$B:$B,A3401)/2+IF(A3401&lt;&gt;A3402,100,0)</f>
        <v>1.25</v>
      </c>
      <c r="D3401" s="33">
        <f>INDEX('ZCB Curve - Payment Dates'!$D$2:$D$246,MATCH(B3401,'ZCB Curve - Payment Dates'!$A$2:$A$246,0))</f>
        <v>0.45075168915212815</v>
      </c>
      <c r="E3401" s="32">
        <f t="shared" si="53"/>
        <v>0.56343961144016019</v>
      </c>
    </row>
    <row r="3402" spans="1:5" x14ac:dyDescent="0.25">
      <c r="A3402" s="17">
        <v>309</v>
      </c>
      <c r="B3402" s="31">
        <v>52093</v>
      </c>
      <c r="C3402" s="32">
        <f>INDEX('Input Data'!$B:$B,A3402)/2+IF(A3402&lt;&gt;A3403,100,0)</f>
        <v>1.25</v>
      </c>
      <c r="D3402" s="33">
        <f>INDEX('ZCB Curve - Payment Dates'!$D$2:$D$246,MATCH(B3402,'ZCB Curve - Payment Dates'!$A$2:$A$246,0))</f>
        <v>0.43726259018094221</v>
      </c>
      <c r="E3402" s="32">
        <f t="shared" si="53"/>
        <v>0.54657823772617775</v>
      </c>
    </row>
    <row r="3403" spans="1:5" x14ac:dyDescent="0.25">
      <c r="A3403" s="17">
        <v>309</v>
      </c>
      <c r="B3403" s="31">
        <v>52277</v>
      </c>
      <c r="C3403" s="32">
        <f>INDEX('Input Data'!$B:$B,A3403)/2+IF(A3403&lt;&gt;A3404,100,0)</f>
        <v>1.25</v>
      </c>
      <c r="D3403" s="33">
        <f>INDEX('ZCB Curve - Payment Dates'!$D$2:$D$246,MATCH(B3403,'ZCB Curve - Payment Dates'!$A$2:$A$246,0))</f>
        <v>0.4239492285351204</v>
      </c>
      <c r="E3403" s="32">
        <f t="shared" si="53"/>
        <v>0.52993653566890053</v>
      </c>
    </row>
    <row r="3404" spans="1:5" x14ac:dyDescent="0.25">
      <c r="A3404" s="17">
        <v>309</v>
      </c>
      <c r="B3404" s="31">
        <v>52458</v>
      </c>
      <c r="C3404" s="32">
        <f>INDEX('Input Data'!$B:$B,A3404)/2+IF(A3404&lt;&gt;A3405,100,0)</f>
        <v>1.25</v>
      </c>
      <c r="D3404" s="33">
        <f>INDEX('ZCB Curve - Payment Dates'!$D$2:$D$246,MATCH(B3404,'ZCB Curve - Payment Dates'!$A$2:$A$246,0))</f>
        <v>0.4112516019468152</v>
      </c>
      <c r="E3404" s="32">
        <f t="shared" si="53"/>
        <v>0.51406450243351898</v>
      </c>
    </row>
    <row r="3405" spans="1:5" x14ac:dyDescent="0.25">
      <c r="A3405" s="17">
        <v>309</v>
      </c>
      <c r="B3405" s="31">
        <v>52642</v>
      </c>
      <c r="C3405" s="32">
        <f>INDEX('Input Data'!$B:$B,A3405)/2+IF(A3405&lt;&gt;A3406,100,0)</f>
        <v>1.25</v>
      </c>
      <c r="D3405" s="33">
        <f>INDEX('ZCB Curve - Payment Dates'!$D$2:$D$246,MATCH(B3405,'ZCB Curve - Payment Dates'!$A$2:$A$246,0))</f>
        <v>0.39875459879352759</v>
      </c>
      <c r="E3405" s="32">
        <f t="shared" si="53"/>
        <v>0.49844324849190946</v>
      </c>
    </row>
    <row r="3406" spans="1:5" x14ac:dyDescent="0.25">
      <c r="A3406" s="17">
        <v>309</v>
      </c>
      <c r="B3406" s="31">
        <v>52824</v>
      </c>
      <c r="C3406" s="32">
        <f>INDEX('Input Data'!$B:$B,A3406)/2+IF(A3406&lt;&gt;A3407,100,0)</f>
        <v>1.25</v>
      </c>
      <c r="D3406" s="33">
        <f>INDEX('ZCB Curve - Payment Dates'!$D$2:$D$246,MATCH(B3406,'ZCB Curve - Payment Dates'!$A$2:$A$246,0))</f>
        <v>0.38680384560622083</v>
      </c>
      <c r="E3406" s="32">
        <f t="shared" si="53"/>
        <v>0.48350480700777604</v>
      </c>
    </row>
    <row r="3407" spans="1:5" x14ac:dyDescent="0.25">
      <c r="A3407" s="17">
        <v>309</v>
      </c>
      <c r="B3407" s="31">
        <v>53008</v>
      </c>
      <c r="C3407" s="32">
        <f>INDEX('Input Data'!$B:$B,A3407)/2+IF(A3407&lt;&gt;A3408,100,0)</f>
        <v>1.25</v>
      </c>
      <c r="D3407" s="33">
        <f>INDEX('ZCB Curve - Payment Dates'!$D$2:$D$246,MATCH(B3407,'ZCB Curve - Payment Dates'!$A$2:$A$246,0))</f>
        <v>0.37513648791915083</v>
      </c>
      <c r="E3407" s="32">
        <f t="shared" si="53"/>
        <v>0.46892060989893852</v>
      </c>
    </row>
    <row r="3408" spans="1:5" x14ac:dyDescent="0.25">
      <c r="A3408" s="17">
        <v>309</v>
      </c>
      <c r="B3408" s="31">
        <v>53189</v>
      </c>
      <c r="C3408" s="32">
        <f>INDEX('Input Data'!$B:$B,A3408)/2+IF(A3408&lt;&gt;A3409,100,0)</f>
        <v>1.25</v>
      </c>
      <c r="D3408" s="33">
        <f>INDEX('ZCB Curve - Payment Dates'!$D$2:$D$246,MATCH(B3408,'ZCB Curve - Payment Dates'!$A$2:$A$246,0))</f>
        <v>0.36406533257851953</v>
      </c>
      <c r="E3408" s="32">
        <f t="shared" si="53"/>
        <v>0.4550816657231494</v>
      </c>
    </row>
    <row r="3409" spans="1:5" x14ac:dyDescent="0.25">
      <c r="A3409" s="17">
        <v>309</v>
      </c>
      <c r="B3409" s="31">
        <v>53373</v>
      </c>
      <c r="C3409" s="32">
        <f>INDEX('Input Data'!$B:$B,A3409)/2+IF(A3409&lt;&gt;A3410,100,0)</f>
        <v>101.25</v>
      </c>
      <c r="D3409" s="33">
        <f>INDEX('ZCB Curve - Payment Dates'!$D$2:$D$246,MATCH(B3409,'ZCB Curve - Payment Dates'!$A$2:$A$246,0))</f>
        <v>0.35322166892031259</v>
      </c>
      <c r="E3409" s="32">
        <f t="shared" si="53"/>
        <v>35.763693978181649</v>
      </c>
    </row>
    <row r="3410" spans="1:5" x14ac:dyDescent="0.25">
      <c r="A3410" s="17">
        <v>310</v>
      </c>
      <c r="B3410" s="31">
        <v>46433</v>
      </c>
      <c r="C3410" s="32">
        <f>INDEX('Input Data'!$B:$B,A3410)/2+IF(A3410&lt;&gt;A3411,100,0)</f>
        <v>2.3125</v>
      </c>
      <c r="D3410" s="33">
        <f>INDEX('ZCB Curve - Payment Dates'!$D$2:$D$246,MATCH(B3410,'ZCB Curve - Payment Dates'!$A$2:$A$246,0))</f>
        <v>0.98242671792446301</v>
      </c>
      <c r="E3410" s="32">
        <f t="shared" si="53"/>
        <v>2.2718617852003207</v>
      </c>
    </row>
    <row r="3411" spans="1:5" x14ac:dyDescent="0.25">
      <c r="A3411" s="17">
        <v>310</v>
      </c>
      <c r="B3411" s="31">
        <v>46614</v>
      </c>
      <c r="C3411" s="32">
        <f>INDEX('Input Data'!$B:$B,A3411)/2+IF(A3411&lt;&gt;A3412,100,0)</f>
        <v>2.3125</v>
      </c>
      <c r="D3411" s="33">
        <f>INDEX('ZCB Curve - Payment Dates'!$D$2:$D$246,MATCH(B3411,'ZCB Curve - Payment Dates'!$A$2:$A$246,0))</f>
        <v>0.96187948164765535</v>
      </c>
      <c r="E3411" s="32">
        <f t="shared" si="53"/>
        <v>2.2243463013102032</v>
      </c>
    </row>
    <row r="3412" spans="1:5" x14ac:dyDescent="0.25">
      <c r="A3412" s="17">
        <v>310</v>
      </c>
      <c r="B3412" s="31">
        <v>46798</v>
      </c>
      <c r="C3412" s="32">
        <f>INDEX('Input Data'!$B:$B,A3412)/2+IF(A3412&lt;&gt;A3413,100,0)</f>
        <v>2.3125</v>
      </c>
      <c r="D3412" s="33">
        <f>INDEX('ZCB Curve - Payment Dates'!$D$2:$D$246,MATCH(B3412,'ZCB Curve - Payment Dates'!$A$2:$A$246,0))</f>
        <v>0.94049096132648802</v>
      </c>
      <c r="E3412" s="32">
        <f t="shared" si="53"/>
        <v>2.1748853480675034</v>
      </c>
    </row>
    <row r="3413" spans="1:5" x14ac:dyDescent="0.25">
      <c r="A3413" s="17">
        <v>310</v>
      </c>
      <c r="B3413" s="31">
        <v>46980</v>
      </c>
      <c r="C3413" s="32">
        <f>INDEX('Input Data'!$B:$B,A3413)/2+IF(A3413&lt;&gt;A3414,100,0)</f>
        <v>2.3125</v>
      </c>
      <c r="D3413" s="33">
        <f>INDEX('ZCB Curve - Payment Dates'!$D$2:$D$246,MATCH(B3413,'ZCB Curve - Payment Dates'!$A$2:$A$246,0))</f>
        <v>0.91931844130238327</v>
      </c>
      <c r="E3413" s="32">
        <f t="shared" si="53"/>
        <v>2.1259238955117614</v>
      </c>
    </row>
    <row r="3414" spans="1:5" x14ac:dyDescent="0.25">
      <c r="A3414" s="17">
        <v>310</v>
      </c>
      <c r="B3414" s="31">
        <v>47164</v>
      </c>
      <c r="C3414" s="32">
        <f>INDEX('Input Data'!$B:$B,A3414)/2+IF(A3414&lt;&gt;A3415,100,0)</f>
        <v>2.3125</v>
      </c>
      <c r="D3414" s="33">
        <f>INDEX('ZCB Curve - Payment Dates'!$D$2:$D$246,MATCH(B3414,'ZCB Curve - Payment Dates'!$A$2:$A$246,0))</f>
        <v>0.89817430058086534</v>
      </c>
      <c r="E3414" s="32">
        <f t="shared" si="53"/>
        <v>2.0770280700932511</v>
      </c>
    </row>
    <row r="3415" spans="1:5" x14ac:dyDescent="0.25">
      <c r="A3415" s="17">
        <v>310</v>
      </c>
      <c r="B3415" s="31">
        <v>47345</v>
      </c>
      <c r="C3415" s="32">
        <f>INDEX('Input Data'!$B:$B,A3415)/2+IF(A3415&lt;&gt;A3416,100,0)</f>
        <v>2.3125</v>
      </c>
      <c r="D3415" s="33">
        <f>INDEX('ZCB Curve - Payment Dates'!$D$2:$D$246,MATCH(B3415,'ZCB Curve - Payment Dates'!$A$2:$A$246,0))</f>
        <v>0.87778421628860481</v>
      </c>
      <c r="E3415" s="32">
        <f t="shared" si="53"/>
        <v>2.0298760001673988</v>
      </c>
    </row>
    <row r="3416" spans="1:5" x14ac:dyDescent="0.25">
      <c r="A3416" s="17">
        <v>310</v>
      </c>
      <c r="B3416" s="31">
        <v>47529</v>
      </c>
      <c r="C3416" s="32">
        <f>INDEX('Input Data'!$B:$B,A3416)/2+IF(A3416&lt;&gt;A3417,100,0)</f>
        <v>2.3125</v>
      </c>
      <c r="D3416" s="33">
        <f>INDEX('ZCB Curve - Payment Dates'!$D$2:$D$246,MATCH(B3416,'ZCB Curve - Payment Dates'!$A$2:$A$246,0))</f>
        <v>0.85751015570959666</v>
      </c>
      <c r="E3416" s="32">
        <f t="shared" si="53"/>
        <v>1.9829922350784424</v>
      </c>
    </row>
    <row r="3417" spans="1:5" x14ac:dyDescent="0.25">
      <c r="A3417" s="17">
        <v>310</v>
      </c>
      <c r="B3417" s="31">
        <v>47710</v>
      </c>
      <c r="C3417" s="32">
        <f>INDEX('Input Data'!$B:$B,A3417)/2+IF(A3417&lt;&gt;A3418,100,0)</f>
        <v>2.3125</v>
      </c>
      <c r="D3417" s="33">
        <f>INDEX('ZCB Curve - Payment Dates'!$D$2:$D$246,MATCH(B3417,'ZCB Curve - Payment Dates'!$A$2:$A$246,0))</f>
        <v>0.83802423748211174</v>
      </c>
      <c r="E3417" s="32">
        <f t="shared" si="53"/>
        <v>1.9379310491773833</v>
      </c>
    </row>
    <row r="3418" spans="1:5" x14ac:dyDescent="0.25">
      <c r="A3418" s="17">
        <v>310</v>
      </c>
      <c r="B3418" s="31">
        <v>47894</v>
      </c>
      <c r="C3418" s="32">
        <f>INDEX('Input Data'!$B:$B,A3418)/2+IF(A3418&lt;&gt;A3419,100,0)</f>
        <v>2.3125</v>
      </c>
      <c r="D3418" s="33">
        <f>INDEX('ZCB Curve - Payment Dates'!$D$2:$D$246,MATCH(B3418,'ZCB Curve - Payment Dates'!$A$2:$A$246,0))</f>
        <v>0.8186305474741673</v>
      </c>
      <c r="E3418" s="32">
        <f t="shared" si="53"/>
        <v>1.8930831410340119</v>
      </c>
    </row>
    <row r="3419" spans="1:5" x14ac:dyDescent="0.25">
      <c r="A3419" s="17">
        <v>310</v>
      </c>
      <c r="B3419" s="31">
        <v>48075</v>
      </c>
      <c r="C3419" s="32">
        <f>INDEX('Input Data'!$B:$B,A3419)/2+IF(A3419&lt;&gt;A3420,100,0)</f>
        <v>2.3125</v>
      </c>
      <c r="D3419" s="33">
        <f>INDEX('ZCB Curve - Payment Dates'!$D$2:$D$246,MATCH(B3419,'ZCB Curve - Payment Dates'!$A$2:$A$246,0))</f>
        <v>0.7999252334775927</v>
      </c>
      <c r="E3419" s="32">
        <f t="shared" si="53"/>
        <v>1.849827102416933</v>
      </c>
    </row>
    <row r="3420" spans="1:5" x14ac:dyDescent="0.25">
      <c r="A3420" s="17">
        <v>310</v>
      </c>
      <c r="B3420" s="31">
        <v>48259</v>
      </c>
      <c r="C3420" s="32">
        <f>INDEX('Input Data'!$B:$B,A3420)/2+IF(A3420&lt;&gt;A3421,100,0)</f>
        <v>2.3125</v>
      </c>
      <c r="D3420" s="33">
        <f>INDEX('ZCB Curve - Payment Dates'!$D$2:$D$246,MATCH(B3420,'ZCB Curve - Payment Dates'!$A$2:$A$246,0))</f>
        <v>0.78121887027612602</v>
      </c>
      <c r="E3420" s="32">
        <f t="shared" si="53"/>
        <v>1.8065686375135415</v>
      </c>
    </row>
    <row r="3421" spans="1:5" x14ac:dyDescent="0.25">
      <c r="A3421" s="17">
        <v>310</v>
      </c>
      <c r="B3421" s="31">
        <v>48441</v>
      </c>
      <c r="C3421" s="32">
        <f>INDEX('Input Data'!$B:$B,A3421)/2+IF(A3421&lt;&gt;A3422,100,0)</f>
        <v>2.3125</v>
      </c>
      <c r="D3421" s="33">
        <f>INDEX('ZCB Curve - Payment Dates'!$D$2:$D$246,MATCH(B3421,'ZCB Curve - Payment Dates'!$A$2:$A$246,0))</f>
        <v>0.76298123459017864</v>
      </c>
      <c r="E3421" s="32">
        <f t="shared" si="53"/>
        <v>1.764394104989788</v>
      </c>
    </row>
    <row r="3422" spans="1:5" x14ac:dyDescent="0.25">
      <c r="A3422" s="17">
        <v>310</v>
      </c>
      <c r="B3422" s="31">
        <v>48625</v>
      </c>
      <c r="C3422" s="32">
        <f>INDEX('Input Data'!$B:$B,A3422)/2+IF(A3422&lt;&gt;A3423,100,0)</f>
        <v>2.3125</v>
      </c>
      <c r="D3422" s="33">
        <f>INDEX('ZCB Curve - Payment Dates'!$D$2:$D$246,MATCH(B3422,'ZCB Curve - Payment Dates'!$A$2:$A$246,0))</f>
        <v>0.74476011611938586</v>
      </c>
      <c r="E3422" s="32">
        <f t="shared" si="53"/>
        <v>1.7222577685260798</v>
      </c>
    </row>
    <row r="3423" spans="1:5" x14ac:dyDescent="0.25">
      <c r="A3423" s="17">
        <v>310</v>
      </c>
      <c r="B3423" s="31">
        <v>48806</v>
      </c>
      <c r="C3423" s="32">
        <f>INDEX('Input Data'!$B:$B,A3423)/2+IF(A3423&lt;&gt;A3424,100,0)</f>
        <v>2.3125</v>
      </c>
      <c r="D3423" s="33">
        <f>INDEX('ZCB Curve - Payment Dates'!$D$2:$D$246,MATCH(B3423,'ZCB Curve - Payment Dates'!$A$2:$A$246,0))</f>
        <v>0.72701302496114584</v>
      </c>
      <c r="E3423" s="32">
        <f t="shared" si="53"/>
        <v>1.6812176202226496</v>
      </c>
    </row>
    <row r="3424" spans="1:5" x14ac:dyDescent="0.25">
      <c r="A3424" s="17">
        <v>310</v>
      </c>
      <c r="B3424" s="31">
        <v>48990</v>
      </c>
      <c r="C3424" s="32">
        <f>INDEX('Input Data'!$B:$B,A3424)/2+IF(A3424&lt;&gt;A3425,100,0)</f>
        <v>2.3125</v>
      </c>
      <c r="D3424" s="33">
        <f>INDEX('ZCB Curve - Payment Dates'!$D$2:$D$246,MATCH(B3424,'ZCB Curve - Payment Dates'!$A$2:$A$246,0))</f>
        <v>0.70912647031380449</v>
      </c>
      <c r="E3424" s="32">
        <f t="shared" si="53"/>
        <v>1.6398549626006729</v>
      </c>
    </row>
    <row r="3425" spans="1:5" x14ac:dyDescent="0.25">
      <c r="A3425" s="17">
        <v>310</v>
      </c>
      <c r="B3425" s="31">
        <v>49171</v>
      </c>
      <c r="C3425" s="32">
        <f>INDEX('Input Data'!$B:$B,A3425)/2+IF(A3425&lt;&gt;A3426,100,0)</f>
        <v>2.3125</v>
      </c>
      <c r="D3425" s="33">
        <f>INDEX('ZCB Curve - Payment Dates'!$D$2:$D$246,MATCH(B3425,'ZCB Curve - Payment Dates'!$A$2:$A$246,0))</f>
        <v>0.6916661505723215</v>
      </c>
      <c r="E3425" s="32">
        <f t="shared" si="53"/>
        <v>1.5994779731984934</v>
      </c>
    </row>
    <row r="3426" spans="1:5" x14ac:dyDescent="0.25">
      <c r="A3426" s="17">
        <v>310</v>
      </c>
      <c r="B3426" s="31">
        <v>49355</v>
      </c>
      <c r="C3426" s="32">
        <f>INDEX('Input Data'!$B:$B,A3426)/2+IF(A3426&lt;&gt;A3427,100,0)</f>
        <v>2.3125</v>
      </c>
      <c r="D3426" s="33">
        <f>INDEX('ZCB Curve - Payment Dates'!$D$2:$D$246,MATCH(B3426,'ZCB Curve - Payment Dates'!$A$2:$A$246,0))</f>
        <v>0.674047377898778</v>
      </c>
      <c r="E3426" s="32">
        <f t="shared" si="53"/>
        <v>1.558734561390924</v>
      </c>
    </row>
    <row r="3427" spans="1:5" x14ac:dyDescent="0.25">
      <c r="A3427" s="17">
        <v>310</v>
      </c>
      <c r="B3427" s="31">
        <v>49536</v>
      </c>
      <c r="C3427" s="32">
        <f>INDEX('Input Data'!$B:$B,A3427)/2+IF(A3427&lt;&gt;A3428,100,0)</f>
        <v>2.3125</v>
      </c>
      <c r="D3427" s="33">
        <f>INDEX('ZCB Curve - Payment Dates'!$D$2:$D$246,MATCH(B3427,'ZCB Curve - Payment Dates'!$A$2:$A$246,0))</f>
        <v>0.65684432300638129</v>
      </c>
      <c r="E3427" s="32">
        <f t="shared" si="53"/>
        <v>1.5189524969522568</v>
      </c>
    </row>
    <row r="3428" spans="1:5" x14ac:dyDescent="0.25">
      <c r="A3428" s="17">
        <v>310</v>
      </c>
      <c r="B3428" s="31">
        <v>49720</v>
      </c>
      <c r="C3428" s="32">
        <f>INDEX('Input Data'!$B:$B,A3428)/2+IF(A3428&lt;&gt;A3429,100,0)</f>
        <v>2.3125</v>
      </c>
      <c r="D3428" s="33">
        <f>INDEX('ZCB Curve - Payment Dates'!$D$2:$D$246,MATCH(B3428,'ZCB Curve - Payment Dates'!$A$2:$A$246,0))</f>
        <v>0.63949604524993764</v>
      </c>
      <c r="E3428" s="32">
        <f t="shared" si="53"/>
        <v>1.4788346046404808</v>
      </c>
    </row>
    <row r="3429" spans="1:5" x14ac:dyDescent="0.25">
      <c r="A3429" s="17">
        <v>310</v>
      </c>
      <c r="B3429" s="31">
        <v>49902</v>
      </c>
      <c r="C3429" s="32">
        <f>INDEX('Input Data'!$B:$B,A3429)/2+IF(A3429&lt;&gt;A3430,100,0)</f>
        <v>2.3125</v>
      </c>
      <c r="D3429" s="33">
        <f>INDEX('ZCB Curve - Payment Dates'!$D$2:$D$246,MATCH(B3429,'ZCB Curve - Payment Dates'!$A$2:$A$246,0))</f>
        <v>0.62248862376822711</v>
      </c>
      <c r="E3429" s="32">
        <f t="shared" si="53"/>
        <v>1.4395049424640252</v>
      </c>
    </row>
    <row r="3430" spans="1:5" x14ac:dyDescent="0.25">
      <c r="A3430" s="17">
        <v>310</v>
      </c>
      <c r="B3430" s="31">
        <v>50086</v>
      </c>
      <c r="C3430" s="32">
        <f>INDEX('Input Data'!$B:$B,A3430)/2+IF(A3430&lt;&gt;A3431,100,0)</f>
        <v>2.3125</v>
      </c>
      <c r="D3430" s="33">
        <f>INDEX('ZCB Curve - Payment Dates'!$D$2:$D$246,MATCH(B3430,'ZCB Curve - Payment Dates'!$A$2:$A$246,0))</f>
        <v>0.60546490876014969</v>
      </c>
      <c r="E3430" s="32">
        <f t="shared" si="53"/>
        <v>1.4001376015078462</v>
      </c>
    </row>
    <row r="3431" spans="1:5" x14ac:dyDescent="0.25">
      <c r="A3431" s="17">
        <v>310</v>
      </c>
      <c r="B3431" s="31">
        <v>50267</v>
      </c>
      <c r="C3431" s="32">
        <f>INDEX('Input Data'!$B:$B,A3431)/2+IF(A3431&lt;&gt;A3432,100,0)</f>
        <v>2.3125</v>
      </c>
      <c r="D3431" s="33">
        <f>INDEX('ZCB Curve - Payment Dates'!$D$2:$D$246,MATCH(B3431,'ZCB Curve - Payment Dates'!$A$2:$A$246,0))</f>
        <v>0.58890683803346977</v>
      </c>
      <c r="E3431" s="32">
        <f t="shared" si="53"/>
        <v>1.3618470629523989</v>
      </c>
    </row>
    <row r="3432" spans="1:5" x14ac:dyDescent="0.25">
      <c r="A3432" s="17">
        <v>310</v>
      </c>
      <c r="B3432" s="31">
        <v>50451</v>
      </c>
      <c r="C3432" s="32">
        <f>INDEX('Input Data'!$B:$B,A3432)/2+IF(A3432&lt;&gt;A3433,100,0)</f>
        <v>2.3125</v>
      </c>
      <c r="D3432" s="33">
        <f>INDEX('ZCB Curve - Payment Dates'!$D$2:$D$246,MATCH(B3432,'ZCB Curve - Payment Dates'!$A$2:$A$246,0))</f>
        <v>0.57228983695479263</v>
      </c>
      <c r="E3432" s="32">
        <f t="shared" si="53"/>
        <v>1.323420247957958</v>
      </c>
    </row>
    <row r="3433" spans="1:5" x14ac:dyDescent="0.25">
      <c r="A3433" s="17">
        <v>310</v>
      </c>
      <c r="B3433" s="31">
        <v>50632</v>
      </c>
      <c r="C3433" s="32">
        <f>INDEX('Input Data'!$B:$B,A3433)/2+IF(A3433&lt;&gt;A3434,100,0)</f>
        <v>2.3125</v>
      </c>
      <c r="D3433" s="33">
        <f>INDEX('ZCB Curve - Payment Dates'!$D$2:$D$246,MATCH(B3433,'ZCB Curve - Payment Dates'!$A$2:$A$246,0))</f>
        <v>0.55617795699202288</v>
      </c>
      <c r="E3433" s="32">
        <f t="shared" si="53"/>
        <v>1.2861615255440528</v>
      </c>
    </row>
    <row r="3434" spans="1:5" x14ac:dyDescent="0.25">
      <c r="A3434" s="17">
        <v>310</v>
      </c>
      <c r="B3434" s="31">
        <v>50816</v>
      </c>
      <c r="C3434" s="32">
        <f>INDEX('Input Data'!$B:$B,A3434)/2+IF(A3434&lt;&gt;A3435,100,0)</f>
        <v>2.3125</v>
      </c>
      <c r="D3434" s="33">
        <f>INDEX('ZCB Curve - Payment Dates'!$D$2:$D$246,MATCH(B3434,'ZCB Curve - Payment Dates'!$A$2:$A$246,0))</f>
        <v>0.54006240951211237</v>
      </c>
      <c r="E3434" s="32">
        <f t="shared" si="53"/>
        <v>1.2488943219967599</v>
      </c>
    </row>
    <row r="3435" spans="1:5" x14ac:dyDescent="0.25">
      <c r="A3435" s="17">
        <v>310</v>
      </c>
      <c r="B3435" s="31">
        <v>50997</v>
      </c>
      <c r="C3435" s="32">
        <f>INDEX('Input Data'!$B:$B,A3435)/2+IF(A3435&lt;&gt;A3436,100,0)</f>
        <v>2.3125</v>
      </c>
      <c r="D3435" s="33">
        <f>INDEX('ZCB Curve - Payment Dates'!$D$2:$D$246,MATCH(B3435,'ZCB Curve - Payment Dates'!$A$2:$A$246,0))</f>
        <v>0.52449040173194583</v>
      </c>
      <c r="E3435" s="32">
        <f t="shared" si="53"/>
        <v>1.2128840540051247</v>
      </c>
    </row>
    <row r="3436" spans="1:5" x14ac:dyDescent="0.25">
      <c r="A3436" s="17">
        <v>310</v>
      </c>
      <c r="B3436" s="31">
        <v>51181</v>
      </c>
      <c r="C3436" s="32">
        <f>INDEX('Input Data'!$B:$B,A3436)/2+IF(A3436&lt;&gt;A3437,100,0)</f>
        <v>2.3125</v>
      </c>
      <c r="D3436" s="33">
        <f>INDEX('ZCB Curve - Payment Dates'!$D$2:$D$246,MATCH(B3436,'ZCB Curve - Payment Dates'!$A$2:$A$246,0))</f>
        <v>0.5089691698468306</v>
      </c>
      <c r="E3436" s="32">
        <f t="shared" si="53"/>
        <v>1.1769912052707958</v>
      </c>
    </row>
    <row r="3437" spans="1:5" x14ac:dyDescent="0.25">
      <c r="A3437" s="17">
        <v>310</v>
      </c>
      <c r="B3437" s="31">
        <v>51363</v>
      </c>
      <c r="C3437" s="32">
        <f>INDEX('Input Data'!$B:$B,A3437)/2+IF(A3437&lt;&gt;A3438,100,0)</f>
        <v>2.3125</v>
      </c>
      <c r="D3437" s="33">
        <f>INDEX('ZCB Curve - Payment Dates'!$D$2:$D$246,MATCH(B3437,'ZCB Curve - Payment Dates'!$A$2:$A$246,0))</f>
        <v>0.49394036022330806</v>
      </c>
      <c r="E3437" s="32">
        <f t="shared" si="53"/>
        <v>1.1422370830163999</v>
      </c>
    </row>
    <row r="3438" spans="1:5" x14ac:dyDescent="0.25">
      <c r="A3438" s="17">
        <v>310</v>
      </c>
      <c r="B3438" s="31">
        <v>51547</v>
      </c>
      <c r="C3438" s="32">
        <f>INDEX('Input Data'!$B:$B,A3438)/2+IF(A3438&lt;&gt;A3439,100,0)</f>
        <v>2.3125</v>
      </c>
      <c r="D3438" s="33">
        <f>INDEX('ZCB Curve - Payment Dates'!$D$2:$D$246,MATCH(B3438,'ZCB Curve - Payment Dates'!$A$2:$A$246,0))</f>
        <v>0.47909718957588998</v>
      </c>
      <c r="E3438" s="32">
        <f t="shared" si="53"/>
        <v>1.1079122508942456</v>
      </c>
    </row>
    <row r="3439" spans="1:5" x14ac:dyDescent="0.25">
      <c r="A3439" s="17">
        <v>310</v>
      </c>
      <c r="B3439" s="31">
        <v>51728</v>
      </c>
      <c r="C3439" s="32">
        <f>INDEX('Input Data'!$B:$B,A3439)/2+IF(A3439&lt;&gt;A3440,100,0)</f>
        <v>2.3125</v>
      </c>
      <c r="D3439" s="33">
        <f>INDEX('ZCB Curve - Payment Dates'!$D$2:$D$246,MATCH(B3439,'ZCB Curve - Payment Dates'!$A$2:$A$246,0))</f>
        <v>0.46485329459616059</v>
      </c>
      <c r="E3439" s="32">
        <f t="shared" si="53"/>
        <v>1.0749732437536215</v>
      </c>
    </row>
    <row r="3440" spans="1:5" x14ac:dyDescent="0.25">
      <c r="A3440" s="17">
        <v>310</v>
      </c>
      <c r="B3440" s="31">
        <v>51912</v>
      </c>
      <c r="C3440" s="32">
        <f>INDEX('Input Data'!$B:$B,A3440)/2+IF(A3440&lt;&gt;A3441,100,0)</f>
        <v>2.3125</v>
      </c>
      <c r="D3440" s="33">
        <f>INDEX('ZCB Curve - Payment Dates'!$D$2:$D$246,MATCH(B3440,'ZCB Curve - Payment Dates'!$A$2:$A$246,0))</f>
        <v>0.45075168915212815</v>
      </c>
      <c r="E3440" s="32">
        <f t="shared" si="53"/>
        <v>1.0423632811642964</v>
      </c>
    </row>
    <row r="3441" spans="1:5" x14ac:dyDescent="0.25">
      <c r="A3441" s="17">
        <v>310</v>
      </c>
      <c r="B3441" s="31">
        <v>52093</v>
      </c>
      <c r="C3441" s="32">
        <f>INDEX('Input Data'!$B:$B,A3441)/2+IF(A3441&lt;&gt;A3442,100,0)</f>
        <v>2.3125</v>
      </c>
      <c r="D3441" s="33">
        <f>INDEX('ZCB Curve - Payment Dates'!$D$2:$D$246,MATCH(B3441,'ZCB Curve - Payment Dates'!$A$2:$A$246,0))</f>
        <v>0.43726259018094221</v>
      </c>
      <c r="E3441" s="32">
        <f t="shared" si="53"/>
        <v>1.0111697397934289</v>
      </c>
    </row>
    <row r="3442" spans="1:5" x14ac:dyDescent="0.25">
      <c r="A3442" s="17">
        <v>310</v>
      </c>
      <c r="B3442" s="31">
        <v>52277</v>
      </c>
      <c r="C3442" s="32">
        <f>INDEX('Input Data'!$B:$B,A3442)/2+IF(A3442&lt;&gt;A3443,100,0)</f>
        <v>2.3125</v>
      </c>
      <c r="D3442" s="33">
        <f>INDEX('ZCB Curve - Payment Dates'!$D$2:$D$246,MATCH(B3442,'ZCB Curve - Payment Dates'!$A$2:$A$246,0))</f>
        <v>0.4239492285351204</v>
      </c>
      <c r="E3442" s="32">
        <f t="shared" si="53"/>
        <v>0.98038259098746594</v>
      </c>
    </row>
    <row r="3443" spans="1:5" x14ac:dyDescent="0.25">
      <c r="A3443" s="17">
        <v>310</v>
      </c>
      <c r="B3443" s="31">
        <v>52458</v>
      </c>
      <c r="C3443" s="32">
        <f>INDEX('Input Data'!$B:$B,A3443)/2+IF(A3443&lt;&gt;A3444,100,0)</f>
        <v>2.3125</v>
      </c>
      <c r="D3443" s="33">
        <f>INDEX('ZCB Curve - Payment Dates'!$D$2:$D$246,MATCH(B3443,'ZCB Curve - Payment Dates'!$A$2:$A$246,0))</f>
        <v>0.4112516019468152</v>
      </c>
      <c r="E3443" s="32">
        <f t="shared" si="53"/>
        <v>0.95101932950201018</v>
      </c>
    </row>
    <row r="3444" spans="1:5" x14ac:dyDescent="0.25">
      <c r="A3444" s="17">
        <v>310</v>
      </c>
      <c r="B3444" s="31">
        <v>52642</v>
      </c>
      <c r="C3444" s="32">
        <f>INDEX('Input Data'!$B:$B,A3444)/2+IF(A3444&lt;&gt;A3445,100,0)</f>
        <v>2.3125</v>
      </c>
      <c r="D3444" s="33">
        <f>INDEX('ZCB Curve - Payment Dates'!$D$2:$D$246,MATCH(B3444,'ZCB Curve - Payment Dates'!$A$2:$A$246,0))</f>
        <v>0.39875459879352759</v>
      </c>
      <c r="E3444" s="32">
        <f t="shared" si="53"/>
        <v>0.92212000971003261</v>
      </c>
    </row>
    <row r="3445" spans="1:5" x14ac:dyDescent="0.25">
      <c r="A3445" s="17">
        <v>310</v>
      </c>
      <c r="B3445" s="31">
        <v>52824</v>
      </c>
      <c r="C3445" s="32">
        <f>INDEX('Input Data'!$B:$B,A3445)/2+IF(A3445&lt;&gt;A3446,100,0)</f>
        <v>2.3125</v>
      </c>
      <c r="D3445" s="33">
        <f>INDEX('ZCB Curve - Payment Dates'!$D$2:$D$246,MATCH(B3445,'ZCB Curve - Payment Dates'!$A$2:$A$246,0))</f>
        <v>0.38680384560622083</v>
      </c>
      <c r="E3445" s="32">
        <f t="shared" si="53"/>
        <v>0.89448389296438569</v>
      </c>
    </row>
    <row r="3446" spans="1:5" x14ac:dyDescent="0.25">
      <c r="A3446" s="17">
        <v>310</v>
      </c>
      <c r="B3446" s="31">
        <v>53008</v>
      </c>
      <c r="C3446" s="32">
        <f>INDEX('Input Data'!$B:$B,A3446)/2+IF(A3446&lt;&gt;A3447,100,0)</f>
        <v>2.3125</v>
      </c>
      <c r="D3446" s="33">
        <f>INDEX('ZCB Curve - Payment Dates'!$D$2:$D$246,MATCH(B3446,'ZCB Curve - Payment Dates'!$A$2:$A$246,0))</f>
        <v>0.37513648791915083</v>
      </c>
      <c r="E3446" s="32">
        <f t="shared" si="53"/>
        <v>0.86750312831303633</v>
      </c>
    </row>
    <row r="3447" spans="1:5" x14ac:dyDescent="0.25">
      <c r="A3447" s="17">
        <v>310</v>
      </c>
      <c r="B3447" s="31">
        <v>53189</v>
      </c>
      <c r="C3447" s="32">
        <f>INDEX('Input Data'!$B:$B,A3447)/2+IF(A3447&lt;&gt;A3448,100,0)</f>
        <v>2.3125</v>
      </c>
      <c r="D3447" s="33">
        <f>INDEX('ZCB Curve - Payment Dates'!$D$2:$D$246,MATCH(B3447,'ZCB Curve - Payment Dates'!$A$2:$A$246,0))</f>
        <v>0.36406533257851953</v>
      </c>
      <c r="E3447" s="32">
        <f t="shared" si="53"/>
        <v>0.84190108158782639</v>
      </c>
    </row>
    <row r="3448" spans="1:5" x14ac:dyDescent="0.25">
      <c r="A3448" s="17">
        <v>310</v>
      </c>
      <c r="B3448" s="31">
        <v>53373</v>
      </c>
      <c r="C3448" s="32">
        <f>INDEX('Input Data'!$B:$B,A3448)/2+IF(A3448&lt;&gt;A3449,100,0)</f>
        <v>102.3125</v>
      </c>
      <c r="D3448" s="33">
        <f>INDEX('ZCB Curve - Payment Dates'!$D$2:$D$246,MATCH(B3448,'ZCB Curve - Payment Dates'!$A$2:$A$246,0))</f>
        <v>0.35322166892031259</v>
      </c>
      <c r="E3448" s="32">
        <f t="shared" si="53"/>
        <v>36.138992001409484</v>
      </c>
    </row>
    <row r="3449" spans="1:5" x14ac:dyDescent="0.25">
      <c r="A3449" s="17">
        <v>311</v>
      </c>
      <c r="B3449" s="31">
        <v>46341</v>
      </c>
      <c r="C3449" s="32">
        <f>INDEX('Input Data'!$B:$B,A3449)/2+IF(A3449&lt;&gt;A3450,100,0)</f>
        <v>1.25</v>
      </c>
      <c r="D3449" s="33">
        <f>INDEX('ZCB Curve - Payment Dates'!$D$2:$D$246,MATCH(B3449,'ZCB Curve - Payment Dates'!$A$2:$A$246,0))</f>
        <v>0.99245367292309439</v>
      </c>
      <c r="E3449" s="32">
        <f t="shared" si="53"/>
        <v>1.240567091153868</v>
      </c>
    </row>
    <row r="3450" spans="1:5" x14ac:dyDescent="0.25">
      <c r="A3450" s="17">
        <v>311</v>
      </c>
      <c r="B3450" s="31">
        <v>46522</v>
      </c>
      <c r="C3450" s="32">
        <f>INDEX('Input Data'!$B:$B,A3450)/2+IF(A3450&lt;&gt;A3451,100,0)</f>
        <v>1.25</v>
      </c>
      <c r="D3450" s="33">
        <f>INDEX('ZCB Curve - Payment Dates'!$D$2:$D$246,MATCH(B3450,'ZCB Curve - Payment Dates'!$A$2:$A$246,0))</f>
        <v>0.97242179559611874</v>
      </c>
      <c r="E3450" s="32">
        <f t="shared" si="53"/>
        <v>1.2155272444951484</v>
      </c>
    </row>
    <row r="3451" spans="1:5" x14ac:dyDescent="0.25">
      <c r="A3451" s="17">
        <v>311</v>
      </c>
      <c r="B3451" s="31">
        <v>46706</v>
      </c>
      <c r="C3451" s="32">
        <f>INDEX('Input Data'!$B:$B,A3451)/2+IF(A3451&lt;&gt;A3452,100,0)</f>
        <v>1.25</v>
      </c>
      <c r="D3451" s="33">
        <f>INDEX('ZCB Curve - Payment Dates'!$D$2:$D$246,MATCH(B3451,'ZCB Curve - Payment Dates'!$A$2:$A$246,0))</f>
        <v>0.95121018311627348</v>
      </c>
      <c r="E3451" s="32">
        <f t="shared" si="53"/>
        <v>1.1890127288953418</v>
      </c>
    </row>
    <row r="3452" spans="1:5" x14ac:dyDescent="0.25">
      <c r="A3452" s="17">
        <v>311</v>
      </c>
      <c r="B3452" s="31">
        <v>46888</v>
      </c>
      <c r="C3452" s="32">
        <f>INDEX('Input Data'!$B:$B,A3452)/2+IF(A3452&lt;&gt;A3453,100,0)</f>
        <v>1.25</v>
      </c>
      <c r="D3452" s="33">
        <f>INDEX('ZCB Curve - Payment Dates'!$D$2:$D$246,MATCH(B3452,'ZCB Curve - Payment Dates'!$A$2:$A$246,0))</f>
        <v>0.93000025435083566</v>
      </c>
      <c r="E3452" s="32">
        <f t="shared" si="53"/>
        <v>1.1625003179385445</v>
      </c>
    </row>
    <row r="3453" spans="1:5" x14ac:dyDescent="0.25">
      <c r="A3453" s="17">
        <v>311</v>
      </c>
      <c r="B3453" s="31">
        <v>47072</v>
      </c>
      <c r="C3453" s="32">
        <f>INDEX('Input Data'!$B:$B,A3453)/2+IF(A3453&lt;&gt;A3454,100,0)</f>
        <v>1.25</v>
      </c>
      <c r="D3453" s="33">
        <f>INDEX('ZCB Curve - Payment Dates'!$D$2:$D$246,MATCH(B3453,'ZCB Curve - Payment Dates'!$A$2:$A$246,0))</f>
        <v>0.90870125167038918</v>
      </c>
      <c r="E3453" s="32">
        <f t="shared" si="53"/>
        <v>1.1358765645879865</v>
      </c>
    </row>
    <row r="3454" spans="1:5" x14ac:dyDescent="0.25">
      <c r="A3454" s="17">
        <v>311</v>
      </c>
      <c r="B3454" s="31">
        <v>47253</v>
      </c>
      <c r="C3454" s="32">
        <f>INDEX('Input Data'!$B:$B,A3454)/2+IF(A3454&lt;&gt;A3455,100,0)</f>
        <v>1.25</v>
      </c>
      <c r="D3454" s="33">
        <f>INDEX('ZCB Curve - Payment Dates'!$D$2:$D$246,MATCH(B3454,'ZCB Curve - Payment Dates'!$A$2:$A$246,0))</f>
        <v>0.88809325063638844</v>
      </c>
      <c r="E3454" s="32">
        <f t="shared" si="53"/>
        <v>1.1101165632954855</v>
      </c>
    </row>
    <row r="3455" spans="1:5" x14ac:dyDescent="0.25">
      <c r="A3455" s="17">
        <v>311</v>
      </c>
      <c r="B3455" s="31">
        <v>47437</v>
      </c>
      <c r="C3455" s="32">
        <f>INDEX('Input Data'!$B:$B,A3455)/2+IF(A3455&lt;&gt;A3456,100,0)</f>
        <v>1.25</v>
      </c>
      <c r="D3455" s="33">
        <f>INDEX('ZCB Curve - Payment Dates'!$D$2:$D$246,MATCH(B3455,'ZCB Curve - Payment Dates'!$A$2:$A$246,0))</f>
        <v>0.86758824089536279</v>
      </c>
      <c r="E3455" s="32">
        <f t="shared" si="53"/>
        <v>1.0844853011192035</v>
      </c>
    </row>
    <row r="3456" spans="1:5" x14ac:dyDescent="0.25">
      <c r="A3456" s="17">
        <v>311</v>
      </c>
      <c r="B3456" s="31">
        <v>47618</v>
      </c>
      <c r="C3456" s="32">
        <f>INDEX('Input Data'!$B:$B,A3456)/2+IF(A3456&lt;&gt;A3457,100,0)</f>
        <v>1.25</v>
      </c>
      <c r="D3456" s="33">
        <f>INDEX('ZCB Curve - Payment Dates'!$D$2:$D$246,MATCH(B3456,'ZCB Curve - Payment Dates'!$A$2:$A$246,0))</f>
        <v>0.84787416911783064</v>
      </c>
      <c r="E3456" s="32">
        <f t="shared" si="53"/>
        <v>1.0598427113972884</v>
      </c>
    </row>
    <row r="3457" spans="1:5" x14ac:dyDescent="0.25">
      <c r="A3457" s="17">
        <v>311</v>
      </c>
      <c r="B3457" s="31">
        <v>47802</v>
      </c>
      <c r="C3457" s="32">
        <f>INDEX('Input Data'!$B:$B,A3457)/2+IF(A3457&lt;&gt;A3458,100,0)</f>
        <v>1.25</v>
      </c>
      <c r="D3457" s="33">
        <f>INDEX('ZCB Curve - Payment Dates'!$D$2:$D$246,MATCH(B3457,'ZCB Curve - Payment Dates'!$A$2:$A$246,0))</f>
        <v>0.82827715028796722</v>
      </c>
      <c r="E3457" s="32">
        <f t="shared" si="53"/>
        <v>1.0353464378599591</v>
      </c>
    </row>
    <row r="3458" spans="1:5" x14ac:dyDescent="0.25">
      <c r="A3458" s="17">
        <v>311</v>
      </c>
      <c r="B3458" s="31">
        <v>47983</v>
      </c>
      <c r="C3458" s="32">
        <f>INDEX('Input Data'!$B:$B,A3458)/2+IF(A3458&lt;&gt;A3459,100,0)</f>
        <v>1.25</v>
      </c>
      <c r="D3458" s="33">
        <f>INDEX('ZCB Curve - Payment Dates'!$D$2:$D$246,MATCH(B3458,'ZCB Curve - Payment Dates'!$A$2:$A$246,0))</f>
        <v>0.80939067484273564</v>
      </c>
      <c r="E3458" s="32">
        <f t="shared" ref="E3458:E3521" si="54">C3458*D3458</f>
        <v>1.0117383435534195</v>
      </c>
    </row>
    <row r="3459" spans="1:5" x14ac:dyDescent="0.25">
      <c r="A3459" s="17">
        <v>311</v>
      </c>
      <c r="B3459" s="31">
        <v>48167</v>
      </c>
      <c r="C3459" s="32">
        <f>INDEX('Input Data'!$B:$B,A3459)/2+IF(A3459&lt;&gt;A3460,100,0)</f>
        <v>1.25</v>
      </c>
      <c r="D3459" s="33">
        <f>INDEX('ZCB Curve - Payment Dates'!$D$2:$D$246,MATCH(B3459,'ZCB Curve - Payment Dates'!$A$2:$A$246,0))</f>
        <v>0.79053567842581962</v>
      </c>
      <c r="E3459" s="32">
        <f t="shared" si="54"/>
        <v>0.98816959803227455</v>
      </c>
    </row>
    <row r="3460" spans="1:5" x14ac:dyDescent="0.25">
      <c r="A3460" s="17">
        <v>311</v>
      </c>
      <c r="B3460" s="31">
        <v>48349</v>
      </c>
      <c r="C3460" s="32">
        <f>INDEX('Input Data'!$B:$B,A3460)/2+IF(A3460&lt;&gt;A3461,100,0)</f>
        <v>1.25</v>
      </c>
      <c r="D3460" s="33">
        <f>INDEX('ZCB Curve - Payment Dates'!$D$2:$D$246,MATCH(B3460,'ZCB Curve - Payment Dates'!$A$2:$A$246,0))</f>
        <v>0.77217305702007488</v>
      </c>
      <c r="E3460" s="32">
        <f t="shared" si="54"/>
        <v>0.9652163212750936</v>
      </c>
    </row>
    <row r="3461" spans="1:5" x14ac:dyDescent="0.25">
      <c r="A3461" s="17">
        <v>311</v>
      </c>
      <c r="B3461" s="31">
        <v>48533</v>
      </c>
      <c r="C3461" s="32">
        <f>INDEX('Input Data'!$B:$B,A3461)/2+IF(A3461&lt;&gt;A3462,100,0)</f>
        <v>1.25</v>
      </c>
      <c r="D3461" s="33">
        <f>INDEX('ZCB Curve - Payment Dates'!$D$2:$D$246,MATCH(B3461,'ZCB Curve - Payment Dates'!$A$2:$A$246,0))</f>
        <v>0.75384766072076514</v>
      </c>
      <c r="E3461" s="32">
        <f t="shared" si="54"/>
        <v>0.94230957590095643</v>
      </c>
    </row>
    <row r="3462" spans="1:5" x14ac:dyDescent="0.25">
      <c r="A3462" s="17">
        <v>311</v>
      </c>
      <c r="B3462" s="31">
        <v>48714</v>
      </c>
      <c r="C3462" s="32">
        <f>INDEX('Input Data'!$B:$B,A3462)/2+IF(A3462&lt;&gt;A3463,100,0)</f>
        <v>1.25</v>
      </c>
      <c r="D3462" s="33">
        <f>INDEX('ZCB Curve - Payment Dates'!$D$2:$D$246,MATCH(B3462,'ZCB Curve - Payment Dates'!$A$2:$A$246,0))</f>
        <v>0.73601491848746747</v>
      </c>
      <c r="E3462" s="32">
        <f t="shared" si="54"/>
        <v>0.92001864810933431</v>
      </c>
    </row>
    <row r="3463" spans="1:5" x14ac:dyDescent="0.25">
      <c r="A3463" s="17">
        <v>311</v>
      </c>
      <c r="B3463" s="31">
        <v>48898</v>
      </c>
      <c r="C3463" s="32">
        <f>INDEX('Input Data'!$B:$B,A3463)/2+IF(A3463&lt;&gt;A3464,100,0)</f>
        <v>1.25</v>
      </c>
      <c r="D3463" s="33">
        <f>INDEX('ZCB Curve - Payment Dates'!$D$2:$D$246,MATCH(B3463,'ZCB Curve - Payment Dates'!$A$2:$A$246,0))</f>
        <v>0.71805338140354003</v>
      </c>
      <c r="E3463" s="32">
        <f t="shared" si="54"/>
        <v>0.89756672675442506</v>
      </c>
    </row>
    <row r="3464" spans="1:5" x14ac:dyDescent="0.25">
      <c r="A3464" s="17">
        <v>311</v>
      </c>
      <c r="B3464" s="31">
        <v>49079</v>
      </c>
      <c r="C3464" s="32">
        <f>INDEX('Input Data'!$B:$B,A3464)/2+IF(A3464&lt;&gt;A3465,100,0)</f>
        <v>1.25</v>
      </c>
      <c r="D3464" s="33">
        <f>INDEX('ZCB Curve - Payment Dates'!$D$2:$D$246,MATCH(B3464,'ZCB Curve - Payment Dates'!$A$2:$A$246,0))</f>
        <v>0.70052630492471468</v>
      </c>
      <c r="E3464" s="32">
        <f t="shared" si="54"/>
        <v>0.87565788115589338</v>
      </c>
    </row>
    <row r="3465" spans="1:5" x14ac:dyDescent="0.25">
      <c r="A3465" s="17">
        <v>311</v>
      </c>
      <c r="B3465" s="31">
        <v>49263</v>
      </c>
      <c r="C3465" s="32">
        <f>INDEX('Input Data'!$B:$B,A3465)/2+IF(A3465&lt;&gt;A3466,100,0)</f>
        <v>1.25</v>
      </c>
      <c r="D3465" s="33">
        <f>INDEX('ZCB Curve - Payment Dates'!$D$2:$D$246,MATCH(B3465,'ZCB Curve - Payment Dates'!$A$2:$A$246,0))</f>
        <v>0.68284221202539863</v>
      </c>
      <c r="E3465" s="32">
        <f t="shared" si="54"/>
        <v>0.85355276503174826</v>
      </c>
    </row>
    <row r="3466" spans="1:5" x14ac:dyDescent="0.25">
      <c r="A3466" s="17">
        <v>311</v>
      </c>
      <c r="B3466" s="31">
        <v>49444</v>
      </c>
      <c r="C3466" s="32">
        <f>INDEX('Input Data'!$B:$B,A3466)/2+IF(A3466&lt;&gt;A3467,100,0)</f>
        <v>1.25</v>
      </c>
      <c r="D3466" s="33">
        <f>INDEX('ZCB Curve - Payment Dates'!$D$2:$D$246,MATCH(B3466,'ZCB Curve - Payment Dates'!$A$2:$A$246,0))</f>
        <v>0.66557347415228496</v>
      </c>
      <c r="E3466" s="32">
        <f t="shared" si="54"/>
        <v>0.83196684269035615</v>
      </c>
    </row>
    <row r="3467" spans="1:5" x14ac:dyDescent="0.25">
      <c r="A3467" s="17">
        <v>311</v>
      </c>
      <c r="B3467" s="31">
        <v>49628</v>
      </c>
      <c r="C3467" s="32">
        <f>INDEX('Input Data'!$B:$B,A3467)/2+IF(A3467&lt;&gt;A3468,100,0)</f>
        <v>1.25</v>
      </c>
      <c r="D3467" s="33">
        <f>INDEX('ZCB Curve - Payment Dates'!$D$2:$D$246,MATCH(B3467,'ZCB Curve - Payment Dates'!$A$2:$A$246,0))</f>
        <v>0.64815361918127823</v>
      </c>
      <c r="E3467" s="32">
        <f t="shared" si="54"/>
        <v>0.81019202397659784</v>
      </c>
    </row>
    <row r="3468" spans="1:5" x14ac:dyDescent="0.25">
      <c r="A3468" s="17">
        <v>311</v>
      </c>
      <c r="B3468" s="31">
        <v>49810</v>
      </c>
      <c r="C3468" s="32">
        <f>INDEX('Input Data'!$B:$B,A3468)/2+IF(A3468&lt;&gt;A3469,100,0)</f>
        <v>1.25</v>
      </c>
      <c r="D3468" s="33">
        <f>INDEX('ZCB Curve - Payment Dates'!$D$2:$D$246,MATCH(B3468,'ZCB Curve - Payment Dates'!$A$2:$A$246,0))</f>
        <v>0.63106457078577471</v>
      </c>
      <c r="E3468" s="32">
        <f t="shared" si="54"/>
        <v>0.78883071348221834</v>
      </c>
    </row>
    <row r="3469" spans="1:5" x14ac:dyDescent="0.25">
      <c r="A3469" s="17">
        <v>311</v>
      </c>
      <c r="B3469" s="31">
        <v>49994</v>
      </c>
      <c r="C3469" s="32">
        <f>INDEX('Input Data'!$B:$B,A3469)/2+IF(A3469&lt;&gt;A3470,100,0)</f>
        <v>1.25</v>
      </c>
      <c r="D3469" s="33">
        <f>INDEX('ZCB Curve - Payment Dates'!$D$2:$D$246,MATCH(B3469,'ZCB Curve - Payment Dates'!$A$2:$A$246,0))</f>
        <v>0.61395227923184648</v>
      </c>
      <c r="E3469" s="32">
        <f t="shared" si="54"/>
        <v>0.76744034903980807</v>
      </c>
    </row>
    <row r="3470" spans="1:5" x14ac:dyDescent="0.25">
      <c r="A3470" s="17">
        <v>311</v>
      </c>
      <c r="B3470" s="31">
        <v>50175</v>
      </c>
      <c r="C3470" s="32">
        <f>INDEX('Input Data'!$B:$B,A3470)/2+IF(A3470&lt;&gt;A3471,100,0)</f>
        <v>1.25</v>
      </c>
      <c r="D3470" s="33">
        <f>INDEX('ZCB Curve - Payment Dates'!$D$2:$D$246,MATCH(B3470,'ZCB Curve - Payment Dates'!$A$2:$A$246,0))</f>
        <v>0.5972963482314616</v>
      </c>
      <c r="E3470" s="32">
        <f t="shared" si="54"/>
        <v>0.74662043528932698</v>
      </c>
    </row>
    <row r="3471" spans="1:5" x14ac:dyDescent="0.25">
      <c r="A3471" s="17">
        <v>311</v>
      </c>
      <c r="B3471" s="31">
        <v>50359</v>
      </c>
      <c r="C3471" s="32">
        <f>INDEX('Input Data'!$B:$B,A3471)/2+IF(A3471&lt;&gt;A3472,100,0)</f>
        <v>1.25</v>
      </c>
      <c r="D3471" s="33">
        <f>INDEX('ZCB Curve - Payment Dates'!$D$2:$D$246,MATCH(B3471,'ZCB Curve - Payment Dates'!$A$2:$A$246,0))</f>
        <v>0.58056812006155756</v>
      </c>
      <c r="E3471" s="32">
        <f t="shared" si="54"/>
        <v>0.72571015007694695</v>
      </c>
    </row>
    <row r="3472" spans="1:5" x14ac:dyDescent="0.25">
      <c r="A3472" s="17">
        <v>311</v>
      </c>
      <c r="B3472" s="31">
        <v>50540</v>
      </c>
      <c r="C3472" s="32">
        <f>INDEX('Input Data'!$B:$B,A3472)/2+IF(A3472&lt;&gt;A3473,100,0)</f>
        <v>1.25</v>
      </c>
      <c r="D3472" s="33">
        <f>INDEX('ZCB Curve - Payment Dates'!$D$2:$D$246,MATCH(B3472,'ZCB Curve - Payment Dates'!$A$2:$A$246,0))</f>
        <v>0.56433491315969797</v>
      </c>
      <c r="E3472" s="32">
        <f t="shared" si="54"/>
        <v>0.70541864144962241</v>
      </c>
    </row>
    <row r="3473" spans="1:5" x14ac:dyDescent="0.25">
      <c r="A3473" s="17">
        <v>311</v>
      </c>
      <c r="B3473" s="31">
        <v>50724</v>
      </c>
      <c r="C3473" s="32">
        <f>INDEX('Input Data'!$B:$B,A3473)/2+IF(A3473&lt;&gt;A3474,100,0)</f>
        <v>1.25</v>
      </c>
      <c r="D3473" s="33">
        <f>INDEX('ZCB Curve - Payment Dates'!$D$2:$D$246,MATCH(B3473,'ZCB Curve - Payment Dates'!$A$2:$A$246,0))</f>
        <v>0.54808398139057424</v>
      </c>
      <c r="E3473" s="32">
        <f t="shared" si="54"/>
        <v>0.6851049767382178</v>
      </c>
    </row>
    <row r="3474" spans="1:5" x14ac:dyDescent="0.25">
      <c r="A3474" s="17">
        <v>311</v>
      </c>
      <c r="B3474" s="31">
        <v>50905</v>
      </c>
      <c r="C3474" s="32">
        <f>INDEX('Input Data'!$B:$B,A3474)/2+IF(A3474&lt;&gt;A3475,100,0)</f>
        <v>1.25</v>
      </c>
      <c r="D3474" s="33">
        <f>INDEX('ZCB Curve - Payment Dates'!$D$2:$D$246,MATCH(B3474,'ZCB Curve - Payment Dates'!$A$2:$A$246,0))</f>
        <v>0.5323673246083096</v>
      </c>
      <c r="E3474" s="32">
        <f t="shared" si="54"/>
        <v>0.66545915576038706</v>
      </c>
    </row>
    <row r="3475" spans="1:5" x14ac:dyDescent="0.25">
      <c r="A3475" s="17">
        <v>311</v>
      </c>
      <c r="B3475" s="31">
        <v>51089</v>
      </c>
      <c r="C3475" s="32">
        <f>INDEX('Input Data'!$B:$B,A3475)/2+IF(A3475&lt;&gt;A3476,100,0)</f>
        <v>1.25</v>
      </c>
      <c r="D3475" s="33">
        <f>INDEX('ZCB Curve - Payment Dates'!$D$2:$D$246,MATCH(B3475,'ZCB Curve - Payment Dates'!$A$2:$A$246,0))</f>
        <v>0.51668806431098135</v>
      </c>
      <c r="E3475" s="32">
        <f t="shared" si="54"/>
        <v>0.64586008038872667</v>
      </c>
    </row>
    <row r="3476" spans="1:5" x14ac:dyDescent="0.25">
      <c r="A3476" s="17">
        <v>311</v>
      </c>
      <c r="B3476" s="31">
        <v>51271</v>
      </c>
      <c r="C3476" s="32">
        <f>INDEX('Input Data'!$B:$B,A3476)/2+IF(A3476&lt;&gt;A3477,100,0)</f>
        <v>1.25</v>
      </c>
      <c r="D3476" s="33">
        <f>INDEX('ZCB Curve - Payment Dates'!$D$2:$D$246,MATCH(B3476,'ZCB Curve - Payment Dates'!$A$2:$A$246,0))</f>
        <v>0.50149590020417278</v>
      </c>
      <c r="E3476" s="32">
        <f t="shared" si="54"/>
        <v>0.62686987525521598</v>
      </c>
    </row>
    <row r="3477" spans="1:5" x14ac:dyDescent="0.25">
      <c r="A3477" s="17">
        <v>311</v>
      </c>
      <c r="B3477" s="31">
        <v>51455</v>
      </c>
      <c r="C3477" s="32">
        <f>INDEX('Input Data'!$B:$B,A3477)/2+IF(A3477&lt;&gt;A3478,100,0)</f>
        <v>1.25</v>
      </c>
      <c r="D3477" s="33">
        <f>INDEX('ZCB Curve - Payment Dates'!$D$2:$D$246,MATCH(B3477,'ZCB Curve - Payment Dates'!$A$2:$A$246,0))</f>
        <v>0.48647538074270091</v>
      </c>
      <c r="E3477" s="32">
        <f t="shared" si="54"/>
        <v>0.60809422592837614</v>
      </c>
    </row>
    <row r="3478" spans="1:5" x14ac:dyDescent="0.25">
      <c r="A3478" s="17">
        <v>311</v>
      </c>
      <c r="B3478" s="31">
        <v>51636</v>
      </c>
      <c r="C3478" s="32">
        <f>INDEX('Input Data'!$B:$B,A3478)/2+IF(A3478&lt;&gt;A3479,100,0)</f>
        <v>1.25</v>
      </c>
      <c r="D3478" s="33">
        <f>INDEX('ZCB Curve - Payment Dates'!$D$2:$D$246,MATCH(B3478,'ZCB Curve - Payment Dates'!$A$2:$A$246,0))</f>
        <v>0.47204918703719451</v>
      </c>
      <c r="E3478" s="32">
        <f t="shared" si="54"/>
        <v>0.59006148379649315</v>
      </c>
    </row>
    <row r="3479" spans="1:5" x14ac:dyDescent="0.25">
      <c r="A3479" s="17">
        <v>311</v>
      </c>
      <c r="B3479" s="31">
        <v>51820</v>
      </c>
      <c r="C3479" s="32">
        <f>INDEX('Input Data'!$B:$B,A3479)/2+IF(A3479&lt;&gt;A3480,100,0)</f>
        <v>1.25</v>
      </c>
      <c r="D3479" s="33">
        <f>INDEX('ZCB Curve - Payment Dates'!$D$2:$D$246,MATCH(B3479,'ZCB Curve - Payment Dates'!$A$2:$A$246,0))</f>
        <v>0.45775548669345245</v>
      </c>
      <c r="E3479" s="32">
        <f t="shared" si="54"/>
        <v>0.57219435836681554</v>
      </c>
    </row>
    <row r="3480" spans="1:5" x14ac:dyDescent="0.25">
      <c r="A3480" s="17">
        <v>311</v>
      </c>
      <c r="B3480" s="31">
        <v>52001</v>
      </c>
      <c r="C3480" s="32">
        <f>INDEX('Input Data'!$B:$B,A3480)/2+IF(A3480&lt;&gt;A3481,100,0)</f>
        <v>1.25</v>
      </c>
      <c r="D3480" s="33">
        <f>INDEX('ZCB Curve - Payment Dates'!$D$2:$D$246,MATCH(B3480,'ZCB Curve - Payment Dates'!$A$2:$A$246,0))</f>
        <v>0.44407192118484318</v>
      </c>
      <c r="E3480" s="32">
        <f t="shared" si="54"/>
        <v>0.55508990148105397</v>
      </c>
    </row>
    <row r="3481" spans="1:5" x14ac:dyDescent="0.25">
      <c r="A3481" s="17">
        <v>311</v>
      </c>
      <c r="B3481" s="31">
        <v>52185</v>
      </c>
      <c r="C3481" s="32">
        <f>INDEX('Input Data'!$B:$B,A3481)/2+IF(A3481&lt;&gt;A3482,100,0)</f>
        <v>1.25</v>
      </c>
      <c r="D3481" s="33">
        <f>INDEX('ZCB Curve - Payment Dates'!$D$2:$D$246,MATCH(B3481,'ZCB Curve - Payment Dates'!$A$2:$A$246,0))</f>
        <v>0.43055647946672393</v>
      </c>
      <c r="E3481" s="32">
        <f t="shared" si="54"/>
        <v>0.53819559933340488</v>
      </c>
    </row>
    <row r="3482" spans="1:5" x14ac:dyDescent="0.25">
      <c r="A3482" s="17">
        <v>311</v>
      </c>
      <c r="B3482" s="31">
        <v>52366</v>
      </c>
      <c r="C3482" s="32">
        <f>INDEX('Input Data'!$B:$B,A3482)/2+IF(A3482&lt;&gt;A3483,100,0)</f>
        <v>1.25</v>
      </c>
      <c r="D3482" s="33">
        <f>INDEX('ZCB Curve - Payment Dates'!$D$2:$D$246,MATCH(B3482,'ZCB Curve - Payment Dates'!$A$2:$A$246,0))</f>
        <v>0.41765686229470528</v>
      </c>
      <c r="E3482" s="32">
        <f t="shared" si="54"/>
        <v>0.52207107786838158</v>
      </c>
    </row>
    <row r="3483" spans="1:5" x14ac:dyDescent="0.25">
      <c r="A3483" s="17">
        <v>311</v>
      </c>
      <c r="B3483" s="31">
        <v>52550</v>
      </c>
      <c r="C3483" s="32">
        <f>INDEX('Input Data'!$B:$B,A3483)/2+IF(A3483&lt;&gt;A3484,100,0)</f>
        <v>1.25</v>
      </c>
      <c r="D3483" s="33">
        <f>INDEX('ZCB Curve - Payment Dates'!$D$2:$D$246,MATCH(B3483,'ZCB Curve - Payment Dates'!$A$2:$A$246,0))</f>
        <v>0.40495237741553414</v>
      </c>
      <c r="E3483" s="32">
        <f t="shared" si="54"/>
        <v>0.50619047176941767</v>
      </c>
    </row>
    <row r="3484" spans="1:5" x14ac:dyDescent="0.25">
      <c r="A3484" s="17">
        <v>311</v>
      </c>
      <c r="B3484" s="31">
        <v>52732</v>
      </c>
      <c r="C3484" s="32">
        <f>INDEX('Input Data'!$B:$B,A3484)/2+IF(A3484&lt;&gt;A3485,100,0)</f>
        <v>1.25</v>
      </c>
      <c r="D3484" s="33">
        <f>INDEX('ZCB Curve - Payment Dates'!$D$2:$D$246,MATCH(B3484,'ZCB Curve - Payment Dates'!$A$2:$A$246,0))</f>
        <v>0.3927952920896523</v>
      </c>
      <c r="E3484" s="32">
        <f t="shared" si="54"/>
        <v>0.49099411511206537</v>
      </c>
    </row>
    <row r="3485" spans="1:5" x14ac:dyDescent="0.25">
      <c r="A3485" s="17">
        <v>311</v>
      </c>
      <c r="B3485" s="31">
        <v>52916</v>
      </c>
      <c r="C3485" s="32">
        <f>INDEX('Input Data'!$B:$B,A3485)/2+IF(A3485&lt;&gt;A3486,100,0)</f>
        <v>1.25</v>
      </c>
      <c r="D3485" s="33">
        <f>INDEX('ZCB Curve - Payment Dates'!$D$2:$D$246,MATCH(B3485,'ZCB Curve - Payment Dates'!$A$2:$A$246,0))</f>
        <v>0.38091684361752687</v>
      </c>
      <c r="E3485" s="32">
        <f t="shared" si="54"/>
        <v>0.47614605452190861</v>
      </c>
    </row>
    <row r="3486" spans="1:5" x14ac:dyDescent="0.25">
      <c r="A3486" s="17">
        <v>311</v>
      </c>
      <c r="B3486" s="31">
        <v>53097</v>
      </c>
      <c r="C3486" s="32">
        <f>INDEX('Input Data'!$B:$B,A3486)/2+IF(A3486&lt;&gt;A3487,100,0)</f>
        <v>1.25</v>
      </c>
      <c r="D3486" s="33">
        <f>INDEX('ZCB Curve - Payment Dates'!$D$2:$D$246,MATCH(B3486,'ZCB Curve - Payment Dates'!$A$2:$A$246,0))</f>
        <v>0.36964331092783359</v>
      </c>
      <c r="E3486" s="32">
        <f t="shared" si="54"/>
        <v>0.462054138659792</v>
      </c>
    </row>
    <row r="3487" spans="1:5" x14ac:dyDescent="0.25">
      <c r="A3487" s="17">
        <v>311</v>
      </c>
      <c r="B3487" s="31">
        <v>53281</v>
      </c>
      <c r="C3487" s="32">
        <f>INDEX('Input Data'!$B:$B,A3487)/2+IF(A3487&lt;&gt;A3488,100,0)</f>
        <v>1.25</v>
      </c>
      <c r="D3487" s="33">
        <f>INDEX('ZCB Curve - Payment Dates'!$D$2:$D$246,MATCH(B3487,'ZCB Curve - Payment Dates'!$A$2:$A$246,0))</f>
        <v>0.35859090372935404</v>
      </c>
      <c r="E3487" s="32">
        <f t="shared" si="54"/>
        <v>0.44823862966169253</v>
      </c>
    </row>
    <row r="3488" spans="1:5" x14ac:dyDescent="0.25">
      <c r="A3488" s="17">
        <v>311</v>
      </c>
      <c r="B3488" s="31">
        <v>53462</v>
      </c>
      <c r="C3488" s="32">
        <f>INDEX('Input Data'!$B:$B,A3488)/2+IF(A3488&lt;&gt;A3489,100,0)</f>
        <v>101.25</v>
      </c>
      <c r="D3488" s="33">
        <f>INDEX('ZCB Curve - Payment Dates'!$D$2:$D$246,MATCH(B3488,'ZCB Curve - Payment Dates'!$A$2:$A$246,0))</f>
        <v>0.34812465854380154</v>
      </c>
      <c r="E3488" s="32">
        <f t="shared" si="54"/>
        <v>35.247621677559906</v>
      </c>
    </row>
    <row r="3489" spans="1:5" x14ac:dyDescent="0.25">
      <c r="A3489" s="17">
        <v>312</v>
      </c>
      <c r="B3489" s="31">
        <v>46341</v>
      </c>
      <c r="C3489" s="32">
        <f>INDEX('Input Data'!$B:$B,A3489)/2+IF(A3489&lt;&gt;A3490,100,0)</f>
        <v>2.5</v>
      </c>
      <c r="D3489" s="33">
        <f>INDEX('ZCB Curve - Payment Dates'!$D$2:$D$246,MATCH(B3489,'ZCB Curve - Payment Dates'!$A$2:$A$246,0))</f>
        <v>0.99245367292309439</v>
      </c>
      <c r="E3489" s="32">
        <f t="shared" si="54"/>
        <v>2.481134182307736</v>
      </c>
    </row>
    <row r="3490" spans="1:5" x14ac:dyDescent="0.25">
      <c r="A3490" s="17">
        <v>312</v>
      </c>
      <c r="B3490" s="31">
        <v>46522</v>
      </c>
      <c r="C3490" s="32">
        <f>INDEX('Input Data'!$B:$B,A3490)/2+IF(A3490&lt;&gt;A3491,100,0)</f>
        <v>2.5</v>
      </c>
      <c r="D3490" s="33">
        <f>INDEX('ZCB Curve - Payment Dates'!$D$2:$D$246,MATCH(B3490,'ZCB Curve - Payment Dates'!$A$2:$A$246,0))</f>
        <v>0.97242179559611874</v>
      </c>
      <c r="E3490" s="32">
        <f t="shared" si="54"/>
        <v>2.4310544889902967</v>
      </c>
    </row>
    <row r="3491" spans="1:5" x14ac:dyDescent="0.25">
      <c r="A3491" s="17">
        <v>312</v>
      </c>
      <c r="B3491" s="31">
        <v>46706</v>
      </c>
      <c r="C3491" s="32">
        <f>INDEX('Input Data'!$B:$B,A3491)/2+IF(A3491&lt;&gt;A3492,100,0)</f>
        <v>2.5</v>
      </c>
      <c r="D3491" s="33">
        <f>INDEX('ZCB Curve - Payment Dates'!$D$2:$D$246,MATCH(B3491,'ZCB Curve - Payment Dates'!$A$2:$A$246,0))</f>
        <v>0.95121018311627348</v>
      </c>
      <c r="E3491" s="32">
        <f t="shared" si="54"/>
        <v>2.3780254577906836</v>
      </c>
    </row>
    <row r="3492" spans="1:5" x14ac:dyDescent="0.25">
      <c r="A3492" s="17">
        <v>312</v>
      </c>
      <c r="B3492" s="31">
        <v>46888</v>
      </c>
      <c r="C3492" s="32">
        <f>INDEX('Input Data'!$B:$B,A3492)/2+IF(A3492&lt;&gt;A3493,100,0)</f>
        <v>2.5</v>
      </c>
      <c r="D3492" s="33">
        <f>INDEX('ZCB Curve - Payment Dates'!$D$2:$D$246,MATCH(B3492,'ZCB Curve - Payment Dates'!$A$2:$A$246,0))</f>
        <v>0.93000025435083566</v>
      </c>
      <c r="E3492" s="32">
        <f t="shared" si="54"/>
        <v>2.3250006358770889</v>
      </c>
    </row>
    <row r="3493" spans="1:5" x14ac:dyDescent="0.25">
      <c r="A3493" s="17">
        <v>312</v>
      </c>
      <c r="B3493" s="31">
        <v>47072</v>
      </c>
      <c r="C3493" s="32">
        <f>INDEX('Input Data'!$B:$B,A3493)/2+IF(A3493&lt;&gt;A3494,100,0)</f>
        <v>2.5</v>
      </c>
      <c r="D3493" s="33">
        <f>INDEX('ZCB Curve - Payment Dates'!$D$2:$D$246,MATCH(B3493,'ZCB Curve - Payment Dates'!$A$2:$A$246,0))</f>
        <v>0.90870125167038918</v>
      </c>
      <c r="E3493" s="32">
        <f t="shared" si="54"/>
        <v>2.2717531291759729</v>
      </c>
    </row>
    <row r="3494" spans="1:5" x14ac:dyDescent="0.25">
      <c r="A3494" s="17">
        <v>312</v>
      </c>
      <c r="B3494" s="31">
        <v>47253</v>
      </c>
      <c r="C3494" s="32">
        <f>INDEX('Input Data'!$B:$B,A3494)/2+IF(A3494&lt;&gt;A3495,100,0)</f>
        <v>2.5</v>
      </c>
      <c r="D3494" s="33">
        <f>INDEX('ZCB Curve - Payment Dates'!$D$2:$D$246,MATCH(B3494,'ZCB Curve - Payment Dates'!$A$2:$A$246,0))</f>
        <v>0.88809325063638844</v>
      </c>
      <c r="E3494" s="32">
        <f t="shared" si="54"/>
        <v>2.2202331265909709</v>
      </c>
    </row>
    <row r="3495" spans="1:5" x14ac:dyDescent="0.25">
      <c r="A3495" s="17">
        <v>312</v>
      </c>
      <c r="B3495" s="31">
        <v>47437</v>
      </c>
      <c r="C3495" s="32">
        <f>INDEX('Input Data'!$B:$B,A3495)/2+IF(A3495&lt;&gt;A3496,100,0)</f>
        <v>2.5</v>
      </c>
      <c r="D3495" s="33">
        <f>INDEX('ZCB Curve - Payment Dates'!$D$2:$D$246,MATCH(B3495,'ZCB Curve - Payment Dates'!$A$2:$A$246,0))</f>
        <v>0.86758824089536279</v>
      </c>
      <c r="E3495" s="32">
        <f t="shared" si="54"/>
        <v>2.168970602238407</v>
      </c>
    </row>
    <row r="3496" spans="1:5" x14ac:dyDescent="0.25">
      <c r="A3496" s="17">
        <v>312</v>
      </c>
      <c r="B3496" s="31">
        <v>47618</v>
      </c>
      <c r="C3496" s="32">
        <f>INDEX('Input Data'!$B:$B,A3496)/2+IF(A3496&lt;&gt;A3497,100,0)</f>
        <v>2.5</v>
      </c>
      <c r="D3496" s="33">
        <f>INDEX('ZCB Curve - Payment Dates'!$D$2:$D$246,MATCH(B3496,'ZCB Curve - Payment Dates'!$A$2:$A$246,0))</f>
        <v>0.84787416911783064</v>
      </c>
      <c r="E3496" s="32">
        <f t="shared" si="54"/>
        <v>2.1196854227945767</v>
      </c>
    </row>
    <row r="3497" spans="1:5" x14ac:dyDescent="0.25">
      <c r="A3497" s="17">
        <v>312</v>
      </c>
      <c r="B3497" s="31">
        <v>47802</v>
      </c>
      <c r="C3497" s="32">
        <f>INDEX('Input Data'!$B:$B,A3497)/2+IF(A3497&lt;&gt;A3498,100,0)</f>
        <v>2.5</v>
      </c>
      <c r="D3497" s="33">
        <f>INDEX('ZCB Curve - Payment Dates'!$D$2:$D$246,MATCH(B3497,'ZCB Curve - Payment Dates'!$A$2:$A$246,0))</f>
        <v>0.82827715028796722</v>
      </c>
      <c r="E3497" s="32">
        <f t="shared" si="54"/>
        <v>2.0706928757199181</v>
      </c>
    </row>
    <row r="3498" spans="1:5" x14ac:dyDescent="0.25">
      <c r="A3498" s="17">
        <v>312</v>
      </c>
      <c r="B3498" s="31">
        <v>47983</v>
      </c>
      <c r="C3498" s="32">
        <f>INDEX('Input Data'!$B:$B,A3498)/2+IF(A3498&lt;&gt;A3499,100,0)</f>
        <v>2.5</v>
      </c>
      <c r="D3498" s="33">
        <f>INDEX('ZCB Curve - Payment Dates'!$D$2:$D$246,MATCH(B3498,'ZCB Curve - Payment Dates'!$A$2:$A$246,0))</f>
        <v>0.80939067484273564</v>
      </c>
      <c r="E3498" s="32">
        <f t="shared" si="54"/>
        <v>2.023476687106839</v>
      </c>
    </row>
    <row r="3499" spans="1:5" x14ac:dyDescent="0.25">
      <c r="A3499" s="17">
        <v>312</v>
      </c>
      <c r="B3499" s="31">
        <v>48167</v>
      </c>
      <c r="C3499" s="32">
        <f>INDEX('Input Data'!$B:$B,A3499)/2+IF(A3499&lt;&gt;A3500,100,0)</f>
        <v>2.5</v>
      </c>
      <c r="D3499" s="33">
        <f>INDEX('ZCB Curve - Payment Dates'!$D$2:$D$246,MATCH(B3499,'ZCB Curve - Payment Dates'!$A$2:$A$246,0))</f>
        <v>0.79053567842581962</v>
      </c>
      <c r="E3499" s="32">
        <f t="shared" si="54"/>
        <v>1.9763391960645491</v>
      </c>
    </row>
    <row r="3500" spans="1:5" x14ac:dyDescent="0.25">
      <c r="A3500" s="17">
        <v>312</v>
      </c>
      <c r="B3500" s="31">
        <v>48349</v>
      </c>
      <c r="C3500" s="32">
        <f>INDEX('Input Data'!$B:$B,A3500)/2+IF(A3500&lt;&gt;A3501,100,0)</f>
        <v>2.5</v>
      </c>
      <c r="D3500" s="33">
        <f>INDEX('ZCB Curve - Payment Dates'!$D$2:$D$246,MATCH(B3500,'ZCB Curve - Payment Dates'!$A$2:$A$246,0))</f>
        <v>0.77217305702007488</v>
      </c>
      <c r="E3500" s="32">
        <f t="shared" si="54"/>
        <v>1.9304326425501872</v>
      </c>
    </row>
    <row r="3501" spans="1:5" x14ac:dyDescent="0.25">
      <c r="A3501" s="17">
        <v>312</v>
      </c>
      <c r="B3501" s="31">
        <v>48533</v>
      </c>
      <c r="C3501" s="32">
        <f>INDEX('Input Data'!$B:$B,A3501)/2+IF(A3501&lt;&gt;A3502,100,0)</f>
        <v>2.5</v>
      </c>
      <c r="D3501" s="33">
        <f>INDEX('ZCB Curve - Payment Dates'!$D$2:$D$246,MATCH(B3501,'ZCB Curve - Payment Dates'!$A$2:$A$246,0))</f>
        <v>0.75384766072076514</v>
      </c>
      <c r="E3501" s="32">
        <f t="shared" si="54"/>
        <v>1.8846191518019129</v>
      </c>
    </row>
    <row r="3502" spans="1:5" x14ac:dyDescent="0.25">
      <c r="A3502" s="17">
        <v>312</v>
      </c>
      <c r="B3502" s="31">
        <v>48714</v>
      </c>
      <c r="C3502" s="32">
        <f>INDEX('Input Data'!$B:$B,A3502)/2+IF(A3502&lt;&gt;A3503,100,0)</f>
        <v>2.5</v>
      </c>
      <c r="D3502" s="33">
        <f>INDEX('ZCB Curve - Payment Dates'!$D$2:$D$246,MATCH(B3502,'ZCB Curve - Payment Dates'!$A$2:$A$246,0))</f>
        <v>0.73601491848746747</v>
      </c>
      <c r="E3502" s="32">
        <f t="shared" si="54"/>
        <v>1.8400372962186686</v>
      </c>
    </row>
    <row r="3503" spans="1:5" x14ac:dyDescent="0.25">
      <c r="A3503" s="17">
        <v>312</v>
      </c>
      <c r="B3503" s="31">
        <v>48898</v>
      </c>
      <c r="C3503" s="32">
        <f>INDEX('Input Data'!$B:$B,A3503)/2+IF(A3503&lt;&gt;A3504,100,0)</f>
        <v>2.5</v>
      </c>
      <c r="D3503" s="33">
        <f>INDEX('ZCB Curve - Payment Dates'!$D$2:$D$246,MATCH(B3503,'ZCB Curve - Payment Dates'!$A$2:$A$246,0))</f>
        <v>0.71805338140354003</v>
      </c>
      <c r="E3503" s="32">
        <f t="shared" si="54"/>
        <v>1.7951334535088501</v>
      </c>
    </row>
    <row r="3504" spans="1:5" x14ac:dyDescent="0.25">
      <c r="A3504" s="17">
        <v>312</v>
      </c>
      <c r="B3504" s="31">
        <v>49079</v>
      </c>
      <c r="C3504" s="32">
        <f>INDEX('Input Data'!$B:$B,A3504)/2+IF(A3504&lt;&gt;A3505,100,0)</f>
        <v>2.5</v>
      </c>
      <c r="D3504" s="33">
        <f>INDEX('ZCB Curve - Payment Dates'!$D$2:$D$246,MATCH(B3504,'ZCB Curve - Payment Dates'!$A$2:$A$246,0))</f>
        <v>0.70052630492471468</v>
      </c>
      <c r="E3504" s="32">
        <f t="shared" si="54"/>
        <v>1.7513157623117868</v>
      </c>
    </row>
    <row r="3505" spans="1:5" x14ac:dyDescent="0.25">
      <c r="A3505" s="17">
        <v>312</v>
      </c>
      <c r="B3505" s="31">
        <v>49263</v>
      </c>
      <c r="C3505" s="32">
        <f>INDEX('Input Data'!$B:$B,A3505)/2+IF(A3505&lt;&gt;A3506,100,0)</f>
        <v>2.5</v>
      </c>
      <c r="D3505" s="33">
        <f>INDEX('ZCB Curve - Payment Dates'!$D$2:$D$246,MATCH(B3505,'ZCB Curve - Payment Dates'!$A$2:$A$246,0))</f>
        <v>0.68284221202539863</v>
      </c>
      <c r="E3505" s="32">
        <f t="shared" si="54"/>
        <v>1.7071055300634965</v>
      </c>
    </row>
    <row r="3506" spans="1:5" x14ac:dyDescent="0.25">
      <c r="A3506" s="17">
        <v>312</v>
      </c>
      <c r="B3506" s="31">
        <v>49444</v>
      </c>
      <c r="C3506" s="32">
        <f>INDEX('Input Data'!$B:$B,A3506)/2+IF(A3506&lt;&gt;A3507,100,0)</f>
        <v>2.5</v>
      </c>
      <c r="D3506" s="33">
        <f>INDEX('ZCB Curve - Payment Dates'!$D$2:$D$246,MATCH(B3506,'ZCB Curve - Payment Dates'!$A$2:$A$246,0))</f>
        <v>0.66557347415228496</v>
      </c>
      <c r="E3506" s="32">
        <f t="shared" si="54"/>
        <v>1.6639336853807123</v>
      </c>
    </row>
    <row r="3507" spans="1:5" x14ac:dyDescent="0.25">
      <c r="A3507" s="17">
        <v>312</v>
      </c>
      <c r="B3507" s="31">
        <v>49628</v>
      </c>
      <c r="C3507" s="32">
        <f>INDEX('Input Data'!$B:$B,A3507)/2+IF(A3507&lt;&gt;A3508,100,0)</f>
        <v>2.5</v>
      </c>
      <c r="D3507" s="33">
        <f>INDEX('ZCB Curve - Payment Dates'!$D$2:$D$246,MATCH(B3507,'ZCB Curve - Payment Dates'!$A$2:$A$246,0))</f>
        <v>0.64815361918127823</v>
      </c>
      <c r="E3507" s="32">
        <f t="shared" si="54"/>
        <v>1.6203840479531957</v>
      </c>
    </row>
    <row r="3508" spans="1:5" x14ac:dyDescent="0.25">
      <c r="A3508" s="17">
        <v>312</v>
      </c>
      <c r="B3508" s="31">
        <v>49810</v>
      </c>
      <c r="C3508" s="32">
        <f>INDEX('Input Data'!$B:$B,A3508)/2+IF(A3508&lt;&gt;A3509,100,0)</f>
        <v>2.5</v>
      </c>
      <c r="D3508" s="33">
        <f>INDEX('ZCB Curve - Payment Dates'!$D$2:$D$246,MATCH(B3508,'ZCB Curve - Payment Dates'!$A$2:$A$246,0))</f>
        <v>0.63106457078577471</v>
      </c>
      <c r="E3508" s="32">
        <f t="shared" si="54"/>
        <v>1.5776614269644367</v>
      </c>
    </row>
    <row r="3509" spans="1:5" x14ac:dyDescent="0.25">
      <c r="A3509" s="17">
        <v>312</v>
      </c>
      <c r="B3509" s="31">
        <v>49994</v>
      </c>
      <c r="C3509" s="32">
        <f>INDEX('Input Data'!$B:$B,A3509)/2+IF(A3509&lt;&gt;A3510,100,0)</f>
        <v>2.5</v>
      </c>
      <c r="D3509" s="33">
        <f>INDEX('ZCB Curve - Payment Dates'!$D$2:$D$246,MATCH(B3509,'ZCB Curve - Payment Dates'!$A$2:$A$246,0))</f>
        <v>0.61395227923184648</v>
      </c>
      <c r="E3509" s="32">
        <f t="shared" si="54"/>
        <v>1.5348806980796161</v>
      </c>
    </row>
    <row r="3510" spans="1:5" x14ac:dyDescent="0.25">
      <c r="A3510" s="17">
        <v>312</v>
      </c>
      <c r="B3510" s="31">
        <v>50175</v>
      </c>
      <c r="C3510" s="32">
        <f>INDEX('Input Data'!$B:$B,A3510)/2+IF(A3510&lt;&gt;A3511,100,0)</f>
        <v>2.5</v>
      </c>
      <c r="D3510" s="33">
        <f>INDEX('ZCB Curve - Payment Dates'!$D$2:$D$246,MATCH(B3510,'ZCB Curve - Payment Dates'!$A$2:$A$246,0))</f>
        <v>0.5972963482314616</v>
      </c>
      <c r="E3510" s="32">
        <f t="shared" si="54"/>
        <v>1.493240870578654</v>
      </c>
    </row>
    <row r="3511" spans="1:5" x14ac:dyDescent="0.25">
      <c r="A3511" s="17">
        <v>312</v>
      </c>
      <c r="B3511" s="31">
        <v>50359</v>
      </c>
      <c r="C3511" s="32">
        <f>INDEX('Input Data'!$B:$B,A3511)/2+IF(A3511&lt;&gt;A3512,100,0)</f>
        <v>2.5</v>
      </c>
      <c r="D3511" s="33">
        <f>INDEX('ZCB Curve - Payment Dates'!$D$2:$D$246,MATCH(B3511,'ZCB Curve - Payment Dates'!$A$2:$A$246,0))</f>
        <v>0.58056812006155756</v>
      </c>
      <c r="E3511" s="32">
        <f t="shared" si="54"/>
        <v>1.4514203001538939</v>
      </c>
    </row>
    <row r="3512" spans="1:5" x14ac:dyDescent="0.25">
      <c r="A3512" s="17">
        <v>312</v>
      </c>
      <c r="B3512" s="31">
        <v>50540</v>
      </c>
      <c r="C3512" s="32">
        <f>INDEX('Input Data'!$B:$B,A3512)/2+IF(A3512&lt;&gt;A3513,100,0)</f>
        <v>2.5</v>
      </c>
      <c r="D3512" s="33">
        <f>INDEX('ZCB Curve - Payment Dates'!$D$2:$D$246,MATCH(B3512,'ZCB Curve - Payment Dates'!$A$2:$A$246,0))</f>
        <v>0.56433491315969797</v>
      </c>
      <c r="E3512" s="32">
        <f t="shared" si="54"/>
        <v>1.4108372828992448</v>
      </c>
    </row>
    <row r="3513" spans="1:5" x14ac:dyDescent="0.25">
      <c r="A3513" s="17">
        <v>312</v>
      </c>
      <c r="B3513" s="31">
        <v>50724</v>
      </c>
      <c r="C3513" s="32">
        <f>INDEX('Input Data'!$B:$B,A3513)/2+IF(A3513&lt;&gt;A3514,100,0)</f>
        <v>2.5</v>
      </c>
      <c r="D3513" s="33">
        <f>INDEX('ZCB Curve - Payment Dates'!$D$2:$D$246,MATCH(B3513,'ZCB Curve - Payment Dates'!$A$2:$A$246,0))</f>
        <v>0.54808398139057424</v>
      </c>
      <c r="E3513" s="32">
        <f t="shared" si="54"/>
        <v>1.3702099534764356</v>
      </c>
    </row>
    <row r="3514" spans="1:5" x14ac:dyDescent="0.25">
      <c r="A3514" s="17">
        <v>312</v>
      </c>
      <c r="B3514" s="31">
        <v>50905</v>
      </c>
      <c r="C3514" s="32">
        <f>INDEX('Input Data'!$B:$B,A3514)/2+IF(A3514&lt;&gt;A3515,100,0)</f>
        <v>2.5</v>
      </c>
      <c r="D3514" s="33">
        <f>INDEX('ZCB Curve - Payment Dates'!$D$2:$D$246,MATCH(B3514,'ZCB Curve - Payment Dates'!$A$2:$A$246,0))</f>
        <v>0.5323673246083096</v>
      </c>
      <c r="E3514" s="32">
        <f t="shared" si="54"/>
        <v>1.3309183115207741</v>
      </c>
    </row>
    <row r="3515" spans="1:5" x14ac:dyDescent="0.25">
      <c r="A3515" s="17">
        <v>312</v>
      </c>
      <c r="B3515" s="31">
        <v>51089</v>
      </c>
      <c r="C3515" s="32">
        <f>INDEX('Input Data'!$B:$B,A3515)/2+IF(A3515&lt;&gt;A3516,100,0)</f>
        <v>2.5</v>
      </c>
      <c r="D3515" s="33">
        <f>INDEX('ZCB Curve - Payment Dates'!$D$2:$D$246,MATCH(B3515,'ZCB Curve - Payment Dates'!$A$2:$A$246,0))</f>
        <v>0.51668806431098135</v>
      </c>
      <c r="E3515" s="32">
        <f t="shared" si="54"/>
        <v>1.2917201607774533</v>
      </c>
    </row>
    <row r="3516" spans="1:5" x14ac:dyDescent="0.25">
      <c r="A3516" s="17">
        <v>312</v>
      </c>
      <c r="B3516" s="31">
        <v>51271</v>
      </c>
      <c r="C3516" s="32">
        <f>INDEX('Input Data'!$B:$B,A3516)/2+IF(A3516&lt;&gt;A3517,100,0)</f>
        <v>2.5</v>
      </c>
      <c r="D3516" s="33">
        <f>INDEX('ZCB Curve - Payment Dates'!$D$2:$D$246,MATCH(B3516,'ZCB Curve - Payment Dates'!$A$2:$A$246,0))</f>
        <v>0.50149590020417278</v>
      </c>
      <c r="E3516" s="32">
        <f t="shared" si="54"/>
        <v>1.253739750510432</v>
      </c>
    </row>
    <row r="3517" spans="1:5" x14ac:dyDescent="0.25">
      <c r="A3517" s="17">
        <v>312</v>
      </c>
      <c r="B3517" s="31">
        <v>51455</v>
      </c>
      <c r="C3517" s="32">
        <f>INDEX('Input Data'!$B:$B,A3517)/2+IF(A3517&lt;&gt;A3518,100,0)</f>
        <v>2.5</v>
      </c>
      <c r="D3517" s="33">
        <f>INDEX('ZCB Curve - Payment Dates'!$D$2:$D$246,MATCH(B3517,'ZCB Curve - Payment Dates'!$A$2:$A$246,0))</f>
        <v>0.48647538074270091</v>
      </c>
      <c r="E3517" s="32">
        <f t="shared" si="54"/>
        <v>1.2161884518567523</v>
      </c>
    </row>
    <row r="3518" spans="1:5" x14ac:dyDescent="0.25">
      <c r="A3518" s="17">
        <v>312</v>
      </c>
      <c r="B3518" s="31">
        <v>51636</v>
      </c>
      <c r="C3518" s="32">
        <f>INDEX('Input Data'!$B:$B,A3518)/2+IF(A3518&lt;&gt;A3519,100,0)</f>
        <v>2.5</v>
      </c>
      <c r="D3518" s="33">
        <f>INDEX('ZCB Curve - Payment Dates'!$D$2:$D$246,MATCH(B3518,'ZCB Curve - Payment Dates'!$A$2:$A$246,0))</f>
        <v>0.47204918703719451</v>
      </c>
      <c r="E3518" s="32">
        <f t="shared" si="54"/>
        <v>1.1801229675929863</v>
      </c>
    </row>
    <row r="3519" spans="1:5" x14ac:dyDescent="0.25">
      <c r="A3519" s="17">
        <v>312</v>
      </c>
      <c r="B3519" s="31">
        <v>51820</v>
      </c>
      <c r="C3519" s="32">
        <f>INDEX('Input Data'!$B:$B,A3519)/2+IF(A3519&lt;&gt;A3520,100,0)</f>
        <v>2.5</v>
      </c>
      <c r="D3519" s="33">
        <f>INDEX('ZCB Curve - Payment Dates'!$D$2:$D$246,MATCH(B3519,'ZCB Curve - Payment Dates'!$A$2:$A$246,0))</f>
        <v>0.45775548669345245</v>
      </c>
      <c r="E3519" s="32">
        <f t="shared" si="54"/>
        <v>1.1443887167336311</v>
      </c>
    </row>
    <row r="3520" spans="1:5" x14ac:dyDescent="0.25">
      <c r="A3520" s="17">
        <v>312</v>
      </c>
      <c r="B3520" s="31">
        <v>52001</v>
      </c>
      <c r="C3520" s="32">
        <f>INDEX('Input Data'!$B:$B,A3520)/2+IF(A3520&lt;&gt;A3521,100,0)</f>
        <v>2.5</v>
      </c>
      <c r="D3520" s="33">
        <f>INDEX('ZCB Curve - Payment Dates'!$D$2:$D$246,MATCH(B3520,'ZCB Curve - Payment Dates'!$A$2:$A$246,0))</f>
        <v>0.44407192118484318</v>
      </c>
      <c r="E3520" s="32">
        <f t="shared" si="54"/>
        <v>1.1101798029621079</v>
      </c>
    </row>
    <row r="3521" spans="1:5" x14ac:dyDescent="0.25">
      <c r="A3521" s="17">
        <v>312</v>
      </c>
      <c r="B3521" s="31">
        <v>52185</v>
      </c>
      <c r="C3521" s="32">
        <f>INDEX('Input Data'!$B:$B,A3521)/2+IF(A3521&lt;&gt;A3522,100,0)</f>
        <v>2.5</v>
      </c>
      <c r="D3521" s="33">
        <f>INDEX('ZCB Curve - Payment Dates'!$D$2:$D$246,MATCH(B3521,'ZCB Curve - Payment Dates'!$A$2:$A$246,0))</f>
        <v>0.43055647946672393</v>
      </c>
      <c r="E3521" s="32">
        <f t="shared" si="54"/>
        <v>1.0763911986668098</v>
      </c>
    </row>
    <row r="3522" spans="1:5" x14ac:dyDescent="0.25">
      <c r="A3522" s="17">
        <v>312</v>
      </c>
      <c r="B3522" s="31">
        <v>52366</v>
      </c>
      <c r="C3522" s="32">
        <f>INDEX('Input Data'!$B:$B,A3522)/2+IF(A3522&lt;&gt;A3523,100,0)</f>
        <v>2.5</v>
      </c>
      <c r="D3522" s="33">
        <f>INDEX('ZCB Curve - Payment Dates'!$D$2:$D$246,MATCH(B3522,'ZCB Curve - Payment Dates'!$A$2:$A$246,0))</f>
        <v>0.41765686229470528</v>
      </c>
      <c r="E3522" s="32">
        <f t="shared" ref="E3522:E3585" si="55">C3522*D3522</f>
        <v>1.0441421557367632</v>
      </c>
    </row>
    <row r="3523" spans="1:5" x14ac:dyDescent="0.25">
      <c r="A3523" s="17">
        <v>312</v>
      </c>
      <c r="B3523" s="31">
        <v>52550</v>
      </c>
      <c r="C3523" s="32">
        <f>INDEX('Input Data'!$B:$B,A3523)/2+IF(A3523&lt;&gt;A3524,100,0)</f>
        <v>2.5</v>
      </c>
      <c r="D3523" s="33">
        <f>INDEX('ZCB Curve - Payment Dates'!$D$2:$D$246,MATCH(B3523,'ZCB Curve - Payment Dates'!$A$2:$A$246,0))</f>
        <v>0.40495237741553414</v>
      </c>
      <c r="E3523" s="32">
        <f t="shared" si="55"/>
        <v>1.0123809435388353</v>
      </c>
    </row>
    <row r="3524" spans="1:5" x14ac:dyDescent="0.25">
      <c r="A3524" s="17">
        <v>312</v>
      </c>
      <c r="B3524" s="31">
        <v>52732</v>
      </c>
      <c r="C3524" s="32">
        <f>INDEX('Input Data'!$B:$B,A3524)/2+IF(A3524&lt;&gt;A3525,100,0)</f>
        <v>2.5</v>
      </c>
      <c r="D3524" s="33">
        <f>INDEX('ZCB Curve - Payment Dates'!$D$2:$D$246,MATCH(B3524,'ZCB Curve - Payment Dates'!$A$2:$A$246,0))</f>
        <v>0.3927952920896523</v>
      </c>
      <c r="E3524" s="32">
        <f t="shared" si="55"/>
        <v>0.98198823022413073</v>
      </c>
    </row>
    <row r="3525" spans="1:5" x14ac:dyDescent="0.25">
      <c r="A3525" s="17">
        <v>312</v>
      </c>
      <c r="B3525" s="31">
        <v>52916</v>
      </c>
      <c r="C3525" s="32">
        <f>INDEX('Input Data'!$B:$B,A3525)/2+IF(A3525&lt;&gt;A3526,100,0)</f>
        <v>2.5</v>
      </c>
      <c r="D3525" s="33">
        <f>INDEX('ZCB Curve - Payment Dates'!$D$2:$D$246,MATCH(B3525,'ZCB Curve - Payment Dates'!$A$2:$A$246,0))</f>
        <v>0.38091684361752687</v>
      </c>
      <c r="E3525" s="32">
        <f t="shared" si="55"/>
        <v>0.95229210904381723</v>
      </c>
    </row>
    <row r="3526" spans="1:5" x14ac:dyDescent="0.25">
      <c r="A3526" s="17">
        <v>312</v>
      </c>
      <c r="B3526" s="31">
        <v>53097</v>
      </c>
      <c r="C3526" s="32">
        <f>INDEX('Input Data'!$B:$B,A3526)/2+IF(A3526&lt;&gt;A3527,100,0)</f>
        <v>2.5</v>
      </c>
      <c r="D3526" s="33">
        <f>INDEX('ZCB Curve - Payment Dates'!$D$2:$D$246,MATCH(B3526,'ZCB Curve - Payment Dates'!$A$2:$A$246,0))</f>
        <v>0.36964331092783359</v>
      </c>
      <c r="E3526" s="32">
        <f t="shared" si="55"/>
        <v>0.924108277319584</v>
      </c>
    </row>
    <row r="3527" spans="1:5" x14ac:dyDescent="0.25">
      <c r="A3527" s="17">
        <v>312</v>
      </c>
      <c r="B3527" s="31">
        <v>53281</v>
      </c>
      <c r="C3527" s="32">
        <f>INDEX('Input Data'!$B:$B,A3527)/2+IF(A3527&lt;&gt;A3528,100,0)</f>
        <v>2.5</v>
      </c>
      <c r="D3527" s="33">
        <f>INDEX('ZCB Curve - Payment Dates'!$D$2:$D$246,MATCH(B3527,'ZCB Curve - Payment Dates'!$A$2:$A$246,0))</f>
        <v>0.35859090372935404</v>
      </c>
      <c r="E3527" s="32">
        <f t="shared" si="55"/>
        <v>0.89647725932338507</v>
      </c>
    </row>
    <row r="3528" spans="1:5" x14ac:dyDescent="0.25">
      <c r="A3528" s="17">
        <v>312</v>
      </c>
      <c r="B3528" s="31">
        <v>53462</v>
      </c>
      <c r="C3528" s="32">
        <f>INDEX('Input Data'!$B:$B,A3528)/2+IF(A3528&lt;&gt;A3529,100,0)</f>
        <v>102.5</v>
      </c>
      <c r="D3528" s="33">
        <f>INDEX('ZCB Curve - Payment Dates'!$D$2:$D$246,MATCH(B3528,'ZCB Curve - Payment Dates'!$A$2:$A$246,0))</f>
        <v>0.34812465854380154</v>
      </c>
      <c r="E3528" s="32">
        <f t="shared" si="55"/>
        <v>35.682777500739654</v>
      </c>
    </row>
    <row r="3529" spans="1:5" x14ac:dyDescent="0.25">
      <c r="A3529" s="17">
        <v>313</v>
      </c>
      <c r="B3529" s="31">
        <v>46433</v>
      </c>
      <c r="C3529" s="32">
        <f>INDEX('Input Data'!$B:$B,A3529)/2+IF(A3529&lt;&gt;A3530,100,0)</f>
        <v>1.125</v>
      </c>
      <c r="D3529" s="33">
        <f>INDEX('ZCB Curve - Payment Dates'!$D$2:$D$246,MATCH(B3529,'ZCB Curve - Payment Dates'!$A$2:$A$246,0))</f>
        <v>0.98242671792446301</v>
      </c>
      <c r="E3529" s="32">
        <f t="shared" si="55"/>
        <v>1.1052300576650209</v>
      </c>
    </row>
    <row r="3530" spans="1:5" x14ac:dyDescent="0.25">
      <c r="A3530" s="17">
        <v>313</v>
      </c>
      <c r="B3530" s="31">
        <v>46614</v>
      </c>
      <c r="C3530" s="32">
        <f>INDEX('Input Data'!$B:$B,A3530)/2+IF(A3530&lt;&gt;A3531,100,0)</f>
        <v>1.125</v>
      </c>
      <c r="D3530" s="33">
        <f>INDEX('ZCB Curve - Payment Dates'!$D$2:$D$246,MATCH(B3530,'ZCB Curve - Payment Dates'!$A$2:$A$246,0))</f>
        <v>0.96187948164765535</v>
      </c>
      <c r="E3530" s="32">
        <f t="shared" si="55"/>
        <v>1.0821144168536123</v>
      </c>
    </row>
    <row r="3531" spans="1:5" x14ac:dyDescent="0.25">
      <c r="A3531" s="17">
        <v>313</v>
      </c>
      <c r="B3531" s="31">
        <v>46798</v>
      </c>
      <c r="C3531" s="32">
        <f>INDEX('Input Data'!$B:$B,A3531)/2+IF(A3531&lt;&gt;A3532,100,0)</f>
        <v>1.125</v>
      </c>
      <c r="D3531" s="33">
        <f>INDEX('ZCB Curve - Payment Dates'!$D$2:$D$246,MATCH(B3531,'ZCB Curve - Payment Dates'!$A$2:$A$246,0))</f>
        <v>0.94049096132648802</v>
      </c>
      <c r="E3531" s="32">
        <f t="shared" si="55"/>
        <v>1.0580523314922989</v>
      </c>
    </row>
    <row r="3532" spans="1:5" x14ac:dyDescent="0.25">
      <c r="A3532" s="17">
        <v>313</v>
      </c>
      <c r="B3532" s="31">
        <v>46980</v>
      </c>
      <c r="C3532" s="32">
        <f>INDEX('Input Data'!$B:$B,A3532)/2+IF(A3532&lt;&gt;A3533,100,0)</f>
        <v>1.125</v>
      </c>
      <c r="D3532" s="33">
        <f>INDEX('ZCB Curve - Payment Dates'!$D$2:$D$246,MATCH(B3532,'ZCB Curve - Payment Dates'!$A$2:$A$246,0))</f>
        <v>0.91931844130238327</v>
      </c>
      <c r="E3532" s="32">
        <f t="shared" si="55"/>
        <v>1.0342332464651811</v>
      </c>
    </row>
    <row r="3533" spans="1:5" x14ac:dyDescent="0.25">
      <c r="A3533" s="17">
        <v>313</v>
      </c>
      <c r="B3533" s="31">
        <v>47164</v>
      </c>
      <c r="C3533" s="32">
        <f>INDEX('Input Data'!$B:$B,A3533)/2+IF(A3533&lt;&gt;A3534,100,0)</f>
        <v>1.125</v>
      </c>
      <c r="D3533" s="33">
        <f>INDEX('ZCB Curve - Payment Dates'!$D$2:$D$246,MATCH(B3533,'ZCB Curve - Payment Dates'!$A$2:$A$246,0))</f>
        <v>0.89817430058086534</v>
      </c>
      <c r="E3533" s="32">
        <f t="shared" si="55"/>
        <v>1.0104460881534736</v>
      </c>
    </row>
    <row r="3534" spans="1:5" x14ac:dyDescent="0.25">
      <c r="A3534" s="17">
        <v>313</v>
      </c>
      <c r="B3534" s="31">
        <v>47345</v>
      </c>
      <c r="C3534" s="32">
        <f>INDEX('Input Data'!$B:$B,A3534)/2+IF(A3534&lt;&gt;A3535,100,0)</f>
        <v>1.125</v>
      </c>
      <c r="D3534" s="33">
        <f>INDEX('ZCB Curve - Payment Dates'!$D$2:$D$246,MATCH(B3534,'ZCB Curve - Payment Dates'!$A$2:$A$246,0))</f>
        <v>0.87778421628860481</v>
      </c>
      <c r="E3534" s="32">
        <f t="shared" si="55"/>
        <v>0.98750724332468043</v>
      </c>
    </row>
    <row r="3535" spans="1:5" x14ac:dyDescent="0.25">
      <c r="A3535" s="17">
        <v>313</v>
      </c>
      <c r="B3535" s="31">
        <v>47529</v>
      </c>
      <c r="C3535" s="32">
        <f>INDEX('Input Data'!$B:$B,A3535)/2+IF(A3535&lt;&gt;A3536,100,0)</f>
        <v>1.125</v>
      </c>
      <c r="D3535" s="33">
        <f>INDEX('ZCB Curve - Payment Dates'!$D$2:$D$246,MATCH(B3535,'ZCB Curve - Payment Dates'!$A$2:$A$246,0))</f>
        <v>0.85751015570959666</v>
      </c>
      <c r="E3535" s="32">
        <f t="shared" si="55"/>
        <v>0.96469892517329625</v>
      </c>
    </row>
    <row r="3536" spans="1:5" x14ac:dyDescent="0.25">
      <c r="A3536" s="17">
        <v>313</v>
      </c>
      <c r="B3536" s="31">
        <v>47710</v>
      </c>
      <c r="C3536" s="32">
        <f>INDEX('Input Data'!$B:$B,A3536)/2+IF(A3536&lt;&gt;A3537,100,0)</f>
        <v>1.125</v>
      </c>
      <c r="D3536" s="33">
        <f>INDEX('ZCB Curve - Payment Dates'!$D$2:$D$246,MATCH(B3536,'ZCB Curve - Payment Dates'!$A$2:$A$246,0))</f>
        <v>0.83802423748211174</v>
      </c>
      <c r="E3536" s="32">
        <f t="shared" si="55"/>
        <v>0.94277726716737575</v>
      </c>
    </row>
    <row r="3537" spans="1:5" x14ac:dyDescent="0.25">
      <c r="A3537" s="17">
        <v>313</v>
      </c>
      <c r="B3537" s="31">
        <v>47894</v>
      </c>
      <c r="C3537" s="32">
        <f>INDEX('Input Data'!$B:$B,A3537)/2+IF(A3537&lt;&gt;A3538,100,0)</f>
        <v>1.125</v>
      </c>
      <c r="D3537" s="33">
        <f>INDEX('ZCB Curve - Payment Dates'!$D$2:$D$246,MATCH(B3537,'ZCB Curve - Payment Dates'!$A$2:$A$246,0))</f>
        <v>0.8186305474741673</v>
      </c>
      <c r="E3537" s="32">
        <f t="shared" si="55"/>
        <v>0.92095936590843819</v>
      </c>
    </row>
    <row r="3538" spans="1:5" x14ac:dyDescent="0.25">
      <c r="A3538" s="17">
        <v>313</v>
      </c>
      <c r="B3538" s="31">
        <v>48075</v>
      </c>
      <c r="C3538" s="32">
        <f>INDEX('Input Data'!$B:$B,A3538)/2+IF(A3538&lt;&gt;A3539,100,0)</f>
        <v>1.125</v>
      </c>
      <c r="D3538" s="33">
        <f>INDEX('ZCB Curve - Payment Dates'!$D$2:$D$246,MATCH(B3538,'ZCB Curve - Payment Dates'!$A$2:$A$246,0))</f>
        <v>0.7999252334775927</v>
      </c>
      <c r="E3538" s="32">
        <f t="shared" si="55"/>
        <v>0.8999158876622918</v>
      </c>
    </row>
    <row r="3539" spans="1:5" x14ac:dyDescent="0.25">
      <c r="A3539" s="17">
        <v>313</v>
      </c>
      <c r="B3539" s="31">
        <v>48259</v>
      </c>
      <c r="C3539" s="32">
        <f>INDEX('Input Data'!$B:$B,A3539)/2+IF(A3539&lt;&gt;A3540,100,0)</f>
        <v>1.125</v>
      </c>
      <c r="D3539" s="33">
        <f>INDEX('ZCB Curve - Payment Dates'!$D$2:$D$246,MATCH(B3539,'ZCB Curve - Payment Dates'!$A$2:$A$246,0))</f>
        <v>0.78121887027612602</v>
      </c>
      <c r="E3539" s="32">
        <f t="shared" si="55"/>
        <v>0.87887122906064175</v>
      </c>
    </row>
    <row r="3540" spans="1:5" x14ac:dyDescent="0.25">
      <c r="A3540" s="17">
        <v>313</v>
      </c>
      <c r="B3540" s="31">
        <v>48441</v>
      </c>
      <c r="C3540" s="32">
        <f>INDEX('Input Data'!$B:$B,A3540)/2+IF(A3540&lt;&gt;A3541,100,0)</f>
        <v>1.125</v>
      </c>
      <c r="D3540" s="33">
        <f>INDEX('ZCB Curve - Payment Dates'!$D$2:$D$246,MATCH(B3540,'ZCB Curve - Payment Dates'!$A$2:$A$246,0))</f>
        <v>0.76298123459017864</v>
      </c>
      <c r="E3540" s="32">
        <f t="shared" si="55"/>
        <v>0.85835388891395092</v>
      </c>
    </row>
    <row r="3541" spans="1:5" x14ac:dyDescent="0.25">
      <c r="A3541" s="17">
        <v>313</v>
      </c>
      <c r="B3541" s="31">
        <v>48625</v>
      </c>
      <c r="C3541" s="32">
        <f>INDEX('Input Data'!$B:$B,A3541)/2+IF(A3541&lt;&gt;A3542,100,0)</f>
        <v>1.125</v>
      </c>
      <c r="D3541" s="33">
        <f>INDEX('ZCB Curve - Payment Dates'!$D$2:$D$246,MATCH(B3541,'ZCB Curve - Payment Dates'!$A$2:$A$246,0))</f>
        <v>0.74476011611938586</v>
      </c>
      <c r="E3541" s="32">
        <f t="shared" si="55"/>
        <v>0.83785513063430905</v>
      </c>
    </row>
    <row r="3542" spans="1:5" x14ac:dyDescent="0.25">
      <c r="A3542" s="17">
        <v>313</v>
      </c>
      <c r="B3542" s="31">
        <v>48806</v>
      </c>
      <c r="C3542" s="32">
        <f>INDEX('Input Data'!$B:$B,A3542)/2+IF(A3542&lt;&gt;A3543,100,0)</f>
        <v>1.125</v>
      </c>
      <c r="D3542" s="33">
        <f>INDEX('ZCB Curve - Payment Dates'!$D$2:$D$246,MATCH(B3542,'ZCB Curve - Payment Dates'!$A$2:$A$246,0))</f>
        <v>0.72701302496114584</v>
      </c>
      <c r="E3542" s="32">
        <f t="shared" si="55"/>
        <v>0.81788965308128903</v>
      </c>
    </row>
    <row r="3543" spans="1:5" x14ac:dyDescent="0.25">
      <c r="A3543" s="17">
        <v>313</v>
      </c>
      <c r="B3543" s="31">
        <v>48990</v>
      </c>
      <c r="C3543" s="32">
        <f>INDEX('Input Data'!$B:$B,A3543)/2+IF(A3543&lt;&gt;A3544,100,0)</f>
        <v>1.125</v>
      </c>
      <c r="D3543" s="33">
        <f>INDEX('ZCB Curve - Payment Dates'!$D$2:$D$246,MATCH(B3543,'ZCB Curve - Payment Dates'!$A$2:$A$246,0))</f>
        <v>0.70912647031380449</v>
      </c>
      <c r="E3543" s="32">
        <f t="shared" si="55"/>
        <v>0.79776727910303002</v>
      </c>
    </row>
    <row r="3544" spans="1:5" x14ac:dyDescent="0.25">
      <c r="A3544" s="17">
        <v>313</v>
      </c>
      <c r="B3544" s="31">
        <v>49171</v>
      </c>
      <c r="C3544" s="32">
        <f>INDEX('Input Data'!$B:$B,A3544)/2+IF(A3544&lt;&gt;A3545,100,0)</f>
        <v>1.125</v>
      </c>
      <c r="D3544" s="33">
        <f>INDEX('ZCB Curve - Payment Dates'!$D$2:$D$246,MATCH(B3544,'ZCB Curve - Payment Dates'!$A$2:$A$246,0))</f>
        <v>0.6916661505723215</v>
      </c>
      <c r="E3544" s="32">
        <f t="shared" si="55"/>
        <v>0.77812441939386168</v>
      </c>
    </row>
    <row r="3545" spans="1:5" x14ac:dyDescent="0.25">
      <c r="A3545" s="17">
        <v>313</v>
      </c>
      <c r="B3545" s="31">
        <v>49355</v>
      </c>
      <c r="C3545" s="32">
        <f>INDEX('Input Data'!$B:$B,A3545)/2+IF(A3545&lt;&gt;A3546,100,0)</f>
        <v>1.125</v>
      </c>
      <c r="D3545" s="33">
        <f>INDEX('ZCB Curve - Payment Dates'!$D$2:$D$246,MATCH(B3545,'ZCB Curve - Payment Dates'!$A$2:$A$246,0))</f>
        <v>0.674047377898778</v>
      </c>
      <c r="E3545" s="32">
        <f t="shared" si="55"/>
        <v>0.75830330013612524</v>
      </c>
    </row>
    <row r="3546" spans="1:5" x14ac:dyDescent="0.25">
      <c r="A3546" s="17">
        <v>313</v>
      </c>
      <c r="B3546" s="31">
        <v>49536</v>
      </c>
      <c r="C3546" s="32">
        <f>INDEX('Input Data'!$B:$B,A3546)/2+IF(A3546&lt;&gt;A3547,100,0)</f>
        <v>1.125</v>
      </c>
      <c r="D3546" s="33">
        <f>INDEX('ZCB Curve - Payment Dates'!$D$2:$D$246,MATCH(B3546,'ZCB Curve - Payment Dates'!$A$2:$A$246,0))</f>
        <v>0.65684432300638129</v>
      </c>
      <c r="E3546" s="32">
        <f t="shared" si="55"/>
        <v>0.73894986338217894</v>
      </c>
    </row>
    <row r="3547" spans="1:5" x14ac:dyDescent="0.25">
      <c r="A3547" s="17">
        <v>313</v>
      </c>
      <c r="B3547" s="31">
        <v>49720</v>
      </c>
      <c r="C3547" s="32">
        <f>INDEX('Input Data'!$B:$B,A3547)/2+IF(A3547&lt;&gt;A3548,100,0)</f>
        <v>1.125</v>
      </c>
      <c r="D3547" s="33">
        <f>INDEX('ZCB Curve - Payment Dates'!$D$2:$D$246,MATCH(B3547,'ZCB Curve - Payment Dates'!$A$2:$A$246,0))</f>
        <v>0.63949604524993764</v>
      </c>
      <c r="E3547" s="32">
        <f t="shared" si="55"/>
        <v>0.71943305090617982</v>
      </c>
    </row>
    <row r="3548" spans="1:5" x14ac:dyDescent="0.25">
      <c r="A3548" s="17">
        <v>313</v>
      </c>
      <c r="B3548" s="31">
        <v>49902</v>
      </c>
      <c r="C3548" s="32">
        <f>INDEX('Input Data'!$B:$B,A3548)/2+IF(A3548&lt;&gt;A3549,100,0)</f>
        <v>1.125</v>
      </c>
      <c r="D3548" s="33">
        <f>INDEX('ZCB Curve - Payment Dates'!$D$2:$D$246,MATCH(B3548,'ZCB Curve - Payment Dates'!$A$2:$A$246,0))</f>
        <v>0.62248862376822711</v>
      </c>
      <c r="E3548" s="32">
        <f t="shared" si="55"/>
        <v>0.70029970173925549</v>
      </c>
    </row>
    <row r="3549" spans="1:5" x14ac:dyDescent="0.25">
      <c r="A3549" s="17">
        <v>313</v>
      </c>
      <c r="B3549" s="31">
        <v>50086</v>
      </c>
      <c r="C3549" s="32">
        <f>INDEX('Input Data'!$B:$B,A3549)/2+IF(A3549&lt;&gt;A3550,100,0)</f>
        <v>1.125</v>
      </c>
      <c r="D3549" s="33">
        <f>INDEX('ZCB Curve - Payment Dates'!$D$2:$D$246,MATCH(B3549,'ZCB Curve - Payment Dates'!$A$2:$A$246,0))</f>
        <v>0.60546490876014969</v>
      </c>
      <c r="E3549" s="32">
        <f t="shared" si="55"/>
        <v>0.68114802235516836</v>
      </c>
    </row>
    <row r="3550" spans="1:5" x14ac:dyDescent="0.25">
      <c r="A3550" s="17">
        <v>313</v>
      </c>
      <c r="B3550" s="31">
        <v>50267</v>
      </c>
      <c r="C3550" s="32">
        <f>INDEX('Input Data'!$B:$B,A3550)/2+IF(A3550&lt;&gt;A3551,100,0)</f>
        <v>1.125</v>
      </c>
      <c r="D3550" s="33">
        <f>INDEX('ZCB Curve - Payment Dates'!$D$2:$D$246,MATCH(B3550,'ZCB Curve - Payment Dates'!$A$2:$A$246,0))</f>
        <v>0.58890683803346977</v>
      </c>
      <c r="E3550" s="32">
        <f t="shared" si="55"/>
        <v>0.66252019278765351</v>
      </c>
    </row>
    <row r="3551" spans="1:5" x14ac:dyDescent="0.25">
      <c r="A3551" s="17">
        <v>313</v>
      </c>
      <c r="B3551" s="31">
        <v>50451</v>
      </c>
      <c r="C3551" s="32">
        <f>INDEX('Input Data'!$B:$B,A3551)/2+IF(A3551&lt;&gt;A3552,100,0)</f>
        <v>1.125</v>
      </c>
      <c r="D3551" s="33">
        <f>INDEX('ZCB Curve - Payment Dates'!$D$2:$D$246,MATCH(B3551,'ZCB Curve - Payment Dates'!$A$2:$A$246,0))</f>
        <v>0.57228983695479263</v>
      </c>
      <c r="E3551" s="32">
        <f t="shared" si="55"/>
        <v>0.64382606657414176</v>
      </c>
    </row>
    <row r="3552" spans="1:5" x14ac:dyDescent="0.25">
      <c r="A3552" s="17">
        <v>313</v>
      </c>
      <c r="B3552" s="31">
        <v>50632</v>
      </c>
      <c r="C3552" s="32">
        <f>INDEX('Input Data'!$B:$B,A3552)/2+IF(A3552&lt;&gt;A3553,100,0)</f>
        <v>1.125</v>
      </c>
      <c r="D3552" s="33">
        <f>INDEX('ZCB Curve - Payment Dates'!$D$2:$D$246,MATCH(B3552,'ZCB Curve - Payment Dates'!$A$2:$A$246,0))</f>
        <v>0.55617795699202288</v>
      </c>
      <c r="E3552" s="32">
        <f t="shared" si="55"/>
        <v>0.6257002016160258</v>
      </c>
    </row>
    <row r="3553" spans="1:5" x14ac:dyDescent="0.25">
      <c r="A3553" s="17">
        <v>313</v>
      </c>
      <c r="B3553" s="31">
        <v>50816</v>
      </c>
      <c r="C3553" s="32">
        <f>INDEX('Input Data'!$B:$B,A3553)/2+IF(A3553&lt;&gt;A3554,100,0)</f>
        <v>1.125</v>
      </c>
      <c r="D3553" s="33">
        <f>INDEX('ZCB Curve - Payment Dates'!$D$2:$D$246,MATCH(B3553,'ZCB Curve - Payment Dates'!$A$2:$A$246,0))</f>
        <v>0.54006240951211237</v>
      </c>
      <c r="E3553" s="32">
        <f t="shared" si="55"/>
        <v>0.60757021070112638</v>
      </c>
    </row>
    <row r="3554" spans="1:5" x14ac:dyDescent="0.25">
      <c r="A3554" s="17">
        <v>313</v>
      </c>
      <c r="B3554" s="31">
        <v>50997</v>
      </c>
      <c r="C3554" s="32">
        <f>INDEX('Input Data'!$B:$B,A3554)/2+IF(A3554&lt;&gt;A3555,100,0)</f>
        <v>1.125</v>
      </c>
      <c r="D3554" s="33">
        <f>INDEX('ZCB Curve - Payment Dates'!$D$2:$D$246,MATCH(B3554,'ZCB Curve - Payment Dates'!$A$2:$A$246,0))</f>
        <v>0.52449040173194583</v>
      </c>
      <c r="E3554" s="32">
        <f t="shared" si="55"/>
        <v>0.59005170194843903</v>
      </c>
    </row>
    <row r="3555" spans="1:5" x14ac:dyDescent="0.25">
      <c r="A3555" s="17">
        <v>313</v>
      </c>
      <c r="B3555" s="31">
        <v>51181</v>
      </c>
      <c r="C3555" s="32">
        <f>INDEX('Input Data'!$B:$B,A3555)/2+IF(A3555&lt;&gt;A3556,100,0)</f>
        <v>1.125</v>
      </c>
      <c r="D3555" s="33">
        <f>INDEX('ZCB Curve - Payment Dates'!$D$2:$D$246,MATCH(B3555,'ZCB Curve - Payment Dates'!$A$2:$A$246,0))</f>
        <v>0.5089691698468306</v>
      </c>
      <c r="E3555" s="32">
        <f t="shared" si="55"/>
        <v>0.5725903160776844</v>
      </c>
    </row>
    <row r="3556" spans="1:5" x14ac:dyDescent="0.25">
      <c r="A3556" s="17">
        <v>313</v>
      </c>
      <c r="B3556" s="31">
        <v>51363</v>
      </c>
      <c r="C3556" s="32">
        <f>INDEX('Input Data'!$B:$B,A3556)/2+IF(A3556&lt;&gt;A3557,100,0)</f>
        <v>1.125</v>
      </c>
      <c r="D3556" s="33">
        <f>INDEX('ZCB Curve - Payment Dates'!$D$2:$D$246,MATCH(B3556,'ZCB Curve - Payment Dates'!$A$2:$A$246,0))</f>
        <v>0.49394036022330806</v>
      </c>
      <c r="E3556" s="32">
        <f t="shared" si="55"/>
        <v>0.55568290525122155</v>
      </c>
    </row>
    <row r="3557" spans="1:5" x14ac:dyDescent="0.25">
      <c r="A3557" s="17">
        <v>313</v>
      </c>
      <c r="B3557" s="31">
        <v>51547</v>
      </c>
      <c r="C3557" s="32">
        <f>INDEX('Input Data'!$B:$B,A3557)/2+IF(A3557&lt;&gt;A3558,100,0)</f>
        <v>1.125</v>
      </c>
      <c r="D3557" s="33">
        <f>INDEX('ZCB Curve - Payment Dates'!$D$2:$D$246,MATCH(B3557,'ZCB Curve - Payment Dates'!$A$2:$A$246,0))</f>
        <v>0.47909718957588998</v>
      </c>
      <c r="E3557" s="32">
        <f t="shared" si="55"/>
        <v>0.53898433827287628</v>
      </c>
    </row>
    <row r="3558" spans="1:5" x14ac:dyDescent="0.25">
      <c r="A3558" s="17">
        <v>313</v>
      </c>
      <c r="B3558" s="31">
        <v>51728</v>
      </c>
      <c r="C3558" s="32">
        <f>INDEX('Input Data'!$B:$B,A3558)/2+IF(A3558&lt;&gt;A3559,100,0)</f>
        <v>1.125</v>
      </c>
      <c r="D3558" s="33">
        <f>INDEX('ZCB Curve - Payment Dates'!$D$2:$D$246,MATCH(B3558,'ZCB Curve - Payment Dates'!$A$2:$A$246,0))</f>
        <v>0.46485329459616059</v>
      </c>
      <c r="E3558" s="32">
        <f t="shared" si="55"/>
        <v>0.52295995642068072</v>
      </c>
    </row>
    <row r="3559" spans="1:5" x14ac:dyDescent="0.25">
      <c r="A3559" s="17">
        <v>313</v>
      </c>
      <c r="B3559" s="31">
        <v>51912</v>
      </c>
      <c r="C3559" s="32">
        <f>INDEX('Input Data'!$B:$B,A3559)/2+IF(A3559&lt;&gt;A3560,100,0)</f>
        <v>1.125</v>
      </c>
      <c r="D3559" s="33">
        <f>INDEX('ZCB Curve - Payment Dates'!$D$2:$D$246,MATCH(B3559,'ZCB Curve - Payment Dates'!$A$2:$A$246,0))</f>
        <v>0.45075168915212815</v>
      </c>
      <c r="E3559" s="32">
        <f t="shared" si="55"/>
        <v>0.50709565029614412</v>
      </c>
    </row>
    <row r="3560" spans="1:5" x14ac:dyDescent="0.25">
      <c r="A3560" s="17">
        <v>313</v>
      </c>
      <c r="B3560" s="31">
        <v>52093</v>
      </c>
      <c r="C3560" s="32">
        <f>INDEX('Input Data'!$B:$B,A3560)/2+IF(A3560&lt;&gt;A3561,100,0)</f>
        <v>1.125</v>
      </c>
      <c r="D3560" s="33">
        <f>INDEX('ZCB Curve - Payment Dates'!$D$2:$D$246,MATCH(B3560,'ZCB Curve - Payment Dates'!$A$2:$A$246,0))</f>
        <v>0.43726259018094221</v>
      </c>
      <c r="E3560" s="32">
        <f t="shared" si="55"/>
        <v>0.49192041395356001</v>
      </c>
    </row>
    <row r="3561" spans="1:5" x14ac:dyDescent="0.25">
      <c r="A3561" s="17">
        <v>313</v>
      </c>
      <c r="B3561" s="31">
        <v>52277</v>
      </c>
      <c r="C3561" s="32">
        <f>INDEX('Input Data'!$B:$B,A3561)/2+IF(A3561&lt;&gt;A3562,100,0)</f>
        <v>1.125</v>
      </c>
      <c r="D3561" s="33">
        <f>INDEX('ZCB Curve - Payment Dates'!$D$2:$D$246,MATCH(B3561,'ZCB Curve - Payment Dates'!$A$2:$A$246,0))</f>
        <v>0.4239492285351204</v>
      </c>
      <c r="E3561" s="32">
        <f t="shared" si="55"/>
        <v>0.47694288210201047</v>
      </c>
    </row>
    <row r="3562" spans="1:5" x14ac:dyDescent="0.25">
      <c r="A3562" s="17">
        <v>313</v>
      </c>
      <c r="B3562" s="31">
        <v>52458</v>
      </c>
      <c r="C3562" s="32">
        <f>INDEX('Input Data'!$B:$B,A3562)/2+IF(A3562&lt;&gt;A3563,100,0)</f>
        <v>1.125</v>
      </c>
      <c r="D3562" s="33">
        <f>INDEX('ZCB Curve - Payment Dates'!$D$2:$D$246,MATCH(B3562,'ZCB Curve - Payment Dates'!$A$2:$A$246,0))</f>
        <v>0.4112516019468152</v>
      </c>
      <c r="E3562" s="32">
        <f t="shared" si="55"/>
        <v>0.46265805219016709</v>
      </c>
    </row>
    <row r="3563" spans="1:5" x14ac:dyDescent="0.25">
      <c r="A3563" s="17">
        <v>313</v>
      </c>
      <c r="B3563" s="31">
        <v>52642</v>
      </c>
      <c r="C3563" s="32">
        <f>INDEX('Input Data'!$B:$B,A3563)/2+IF(A3563&lt;&gt;A3564,100,0)</f>
        <v>1.125</v>
      </c>
      <c r="D3563" s="33">
        <f>INDEX('ZCB Curve - Payment Dates'!$D$2:$D$246,MATCH(B3563,'ZCB Curve - Payment Dates'!$A$2:$A$246,0))</f>
        <v>0.39875459879352759</v>
      </c>
      <c r="E3563" s="32">
        <f t="shared" si="55"/>
        <v>0.44859892364271853</v>
      </c>
    </row>
    <row r="3564" spans="1:5" x14ac:dyDescent="0.25">
      <c r="A3564" s="17">
        <v>313</v>
      </c>
      <c r="B3564" s="31">
        <v>52824</v>
      </c>
      <c r="C3564" s="32">
        <f>INDEX('Input Data'!$B:$B,A3564)/2+IF(A3564&lt;&gt;A3565,100,0)</f>
        <v>1.125</v>
      </c>
      <c r="D3564" s="33">
        <f>INDEX('ZCB Curve - Payment Dates'!$D$2:$D$246,MATCH(B3564,'ZCB Curve - Payment Dates'!$A$2:$A$246,0))</f>
        <v>0.38680384560622083</v>
      </c>
      <c r="E3564" s="32">
        <f t="shared" si="55"/>
        <v>0.43515432630699846</v>
      </c>
    </row>
    <row r="3565" spans="1:5" x14ac:dyDescent="0.25">
      <c r="A3565" s="17">
        <v>313</v>
      </c>
      <c r="B3565" s="31">
        <v>53008</v>
      </c>
      <c r="C3565" s="32">
        <f>INDEX('Input Data'!$B:$B,A3565)/2+IF(A3565&lt;&gt;A3566,100,0)</f>
        <v>1.125</v>
      </c>
      <c r="D3565" s="33">
        <f>INDEX('ZCB Curve - Payment Dates'!$D$2:$D$246,MATCH(B3565,'ZCB Curve - Payment Dates'!$A$2:$A$246,0))</f>
        <v>0.37513648791915083</v>
      </c>
      <c r="E3565" s="32">
        <f t="shared" si="55"/>
        <v>0.42202854890904468</v>
      </c>
    </row>
    <row r="3566" spans="1:5" x14ac:dyDescent="0.25">
      <c r="A3566" s="17">
        <v>313</v>
      </c>
      <c r="B3566" s="31">
        <v>53189</v>
      </c>
      <c r="C3566" s="32">
        <f>INDEX('Input Data'!$B:$B,A3566)/2+IF(A3566&lt;&gt;A3567,100,0)</f>
        <v>1.125</v>
      </c>
      <c r="D3566" s="33">
        <f>INDEX('ZCB Curve - Payment Dates'!$D$2:$D$246,MATCH(B3566,'ZCB Curve - Payment Dates'!$A$2:$A$246,0))</f>
        <v>0.36406533257851953</v>
      </c>
      <c r="E3566" s="32">
        <f t="shared" si="55"/>
        <v>0.40957349915083446</v>
      </c>
    </row>
    <row r="3567" spans="1:5" x14ac:dyDescent="0.25">
      <c r="A3567" s="17">
        <v>313</v>
      </c>
      <c r="B3567" s="31">
        <v>53373</v>
      </c>
      <c r="C3567" s="32">
        <f>INDEX('Input Data'!$B:$B,A3567)/2+IF(A3567&lt;&gt;A3568,100,0)</f>
        <v>1.125</v>
      </c>
      <c r="D3567" s="33">
        <f>INDEX('ZCB Curve - Payment Dates'!$D$2:$D$246,MATCH(B3567,'ZCB Curve - Payment Dates'!$A$2:$A$246,0))</f>
        <v>0.35322166892031259</v>
      </c>
      <c r="E3567" s="32">
        <f t="shared" si="55"/>
        <v>0.39737437753535165</v>
      </c>
    </row>
    <row r="3568" spans="1:5" x14ac:dyDescent="0.25">
      <c r="A3568" s="17">
        <v>313</v>
      </c>
      <c r="B3568" s="31">
        <v>53554</v>
      </c>
      <c r="C3568" s="32">
        <f>INDEX('Input Data'!$B:$B,A3568)/2+IF(A3568&lt;&gt;A3569,100,0)</f>
        <v>101.125</v>
      </c>
      <c r="D3568" s="33">
        <f>INDEX('ZCB Curve - Payment Dates'!$D$2:$D$246,MATCH(B3568,'ZCB Curve - Payment Dates'!$A$2:$A$246,0))</f>
        <v>0.34295436226619208</v>
      </c>
      <c r="E3568" s="32">
        <f t="shared" si="55"/>
        <v>34.681259884168675</v>
      </c>
    </row>
    <row r="3569" spans="1:5" x14ac:dyDescent="0.25">
      <c r="A3569" s="17">
        <v>314</v>
      </c>
      <c r="B3569" s="31">
        <v>46433</v>
      </c>
      <c r="C3569" s="32">
        <f>INDEX('Input Data'!$B:$B,A3569)/2+IF(A3569&lt;&gt;A3570,100,0)</f>
        <v>2.5625</v>
      </c>
      <c r="D3569" s="33">
        <f>INDEX('ZCB Curve - Payment Dates'!$D$2:$D$246,MATCH(B3569,'ZCB Curve - Payment Dates'!$A$2:$A$246,0))</f>
        <v>0.98242671792446301</v>
      </c>
      <c r="E3569" s="32">
        <f t="shared" si="55"/>
        <v>2.5174684646814365</v>
      </c>
    </row>
    <row r="3570" spans="1:5" x14ac:dyDescent="0.25">
      <c r="A3570" s="17">
        <v>314</v>
      </c>
      <c r="B3570" s="31">
        <v>46614</v>
      </c>
      <c r="C3570" s="32">
        <f>INDEX('Input Data'!$B:$B,A3570)/2+IF(A3570&lt;&gt;A3571,100,0)</f>
        <v>2.5625</v>
      </c>
      <c r="D3570" s="33">
        <f>INDEX('ZCB Curve - Payment Dates'!$D$2:$D$246,MATCH(B3570,'ZCB Curve - Payment Dates'!$A$2:$A$246,0))</f>
        <v>0.96187948164765535</v>
      </c>
      <c r="E3570" s="32">
        <f t="shared" si="55"/>
        <v>2.4648161717221169</v>
      </c>
    </row>
    <row r="3571" spans="1:5" x14ac:dyDescent="0.25">
      <c r="A3571" s="17">
        <v>314</v>
      </c>
      <c r="B3571" s="31">
        <v>46798</v>
      </c>
      <c r="C3571" s="32">
        <f>INDEX('Input Data'!$B:$B,A3571)/2+IF(A3571&lt;&gt;A3572,100,0)</f>
        <v>2.5625</v>
      </c>
      <c r="D3571" s="33">
        <f>INDEX('ZCB Curve - Payment Dates'!$D$2:$D$246,MATCH(B3571,'ZCB Curve - Payment Dates'!$A$2:$A$246,0))</f>
        <v>0.94049096132648802</v>
      </c>
      <c r="E3571" s="32">
        <f t="shared" si="55"/>
        <v>2.4100080883991257</v>
      </c>
    </row>
    <row r="3572" spans="1:5" x14ac:dyDescent="0.25">
      <c r="A3572" s="17">
        <v>314</v>
      </c>
      <c r="B3572" s="31">
        <v>46980</v>
      </c>
      <c r="C3572" s="32">
        <f>INDEX('Input Data'!$B:$B,A3572)/2+IF(A3572&lt;&gt;A3573,100,0)</f>
        <v>2.5625</v>
      </c>
      <c r="D3572" s="33">
        <f>INDEX('ZCB Curve - Payment Dates'!$D$2:$D$246,MATCH(B3572,'ZCB Curve - Payment Dates'!$A$2:$A$246,0))</f>
        <v>0.91931844130238327</v>
      </c>
      <c r="E3572" s="32">
        <f t="shared" si="55"/>
        <v>2.3557535058373573</v>
      </c>
    </row>
    <row r="3573" spans="1:5" x14ac:dyDescent="0.25">
      <c r="A3573" s="17">
        <v>314</v>
      </c>
      <c r="B3573" s="31">
        <v>47164</v>
      </c>
      <c r="C3573" s="32">
        <f>INDEX('Input Data'!$B:$B,A3573)/2+IF(A3573&lt;&gt;A3574,100,0)</f>
        <v>2.5625</v>
      </c>
      <c r="D3573" s="33">
        <f>INDEX('ZCB Curve - Payment Dates'!$D$2:$D$246,MATCH(B3573,'ZCB Curve - Payment Dates'!$A$2:$A$246,0))</f>
        <v>0.89817430058086534</v>
      </c>
      <c r="E3573" s="32">
        <f t="shared" si="55"/>
        <v>2.3015716452384676</v>
      </c>
    </row>
    <row r="3574" spans="1:5" x14ac:dyDescent="0.25">
      <c r="A3574" s="17">
        <v>314</v>
      </c>
      <c r="B3574" s="31">
        <v>47345</v>
      </c>
      <c r="C3574" s="32">
        <f>INDEX('Input Data'!$B:$B,A3574)/2+IF(A3574&lt;&gt;A3575,100,0)</f>
        <v>2.5625</v>
      </c>
      <c r="D3574" s="33">
        <f>INDEX('ZCB Curve - Payment Dates'!$D$2:$D$246,MATCH(B3574,'ZCB Curve - Payment Dates'!$A$2:$A$246,0))</f>
        <v>0.87778421628860481</v>
      </c>
      <c r="E3574" s="32">
        <f t="shared" si="55"/>
        <v>2.24932205423955</v>
      </c>
    </row>
    <row r="3575" spans="1:5" x14ac:dyDescent="0.25">
      <c r="A3575" s="17">
        <v>314</v>
      </c>
      <c r="B3575" s="31">
        <v>47529</v>
      </c>
      <c r="C3575" s="32">
        <f>INDEX('Input Data'!$B:$B,A3575)/2+IF(A3575&lt;&gt;A3576,100,0)</f>
        <v>2.5625</v>
      </c>
      <c r="D3575" s="33">
        <f>INDEX('ZCB Curve - Payment Dates'!$D$2:$D$246,MATCH(B3575,'ZCB Curve - Payment Dates'!$A$2:$A$246,0))</f>
        <v>0.85751015570959666</v>
      </c>
      <c r="E3575" s="32">
        <f t="shared" si="55"/>
        <v>2.1973697740058413</v>
      </c>
    </row>
    <row r="3576" spans="1:5" x14ac:dyDescent="0.25">
      <c r="A3576" s="17">
        <v>314</v>
      </c>
      <c r="B3576" s="31">
        <v>47710</v>
      </c>
      <c r="C3576" s="32">
        <f>INDEX('Input Data'!$B:$B,A3576)/2+IF(A3576&lt;&gt;A3577,100,0)</f>
        <v>2.5625</v>
      </c>
      <c r="D3576" s="33">
        <f>INDEX('ZCB Curve - Payment Dates'!$D$2:$D$246,MATCH(B3576,'ZCB Curve - Payment Dates'!$A$2:$A$246,0))</f>
        <v>0.83802423748211174</v>
      </c>
      <c r="E3576" s="32">
        <f t="shared" si="55"/>
        <v>2.1474371085479111</v>
      </c>
    </row>
    <row r="3577" spans="1:5" x14ac:dyDescent="0.25">
      <c r="A3577" s="17">
        <v>314</v>
      </c>
      <c r="B3577" s="31">
        <v>47894</v>
      </c>
      <c r="C3577" s="32">
        <f>INDEX('Input Data'!$B:$B,A3577)/2+IF(A3577&lt;&gt;A3578,100,0)</f>
        <v>2.5625</v>
      </c>
      <c r="D3577" s="33">
        <f>INDEX('ZCB Curve - Payment Dates'!$D$2:$D$246,MATCH(B3577,'ZCB Curve - Payment Dates'!$A$2:$A$246,0))</f>
        <v>0.8186305474741673</v>
      </c>
      <c r="E3577" s="32">
        <f t="shared" si="55"/>
        <v>2.0977407779025539</v>
      </c>
    </row>
    <row r="3578" spans="1:5" x14ac:dyDescent="0.25">
      <c r="A3578" s="17">
        <v>314</v>
      </c>
      <c r="B3578" s="31">
        <v>48075</v>
      </c>
      <c r="C3578" s="32">
        <f>INDEX('Input Data'!$B:$B,A3578)/2+IF(A3578&lt;&gt;A3579,100,0)</f>
        <v>2.5625</v>
      </c>
      <c r="D3578" s="33">
        <f>INDEX('ZCB Curve - Payment Dates'!$D$2:$D$246,MATCH(B3578,'ZCB Curve - Payment Dates'!$A$2:$A$246,0))</f>
        <v>0.7999252334775927</v>
      </c>
      <c r="E3578" s="32">
        <f t="shared" si="55"/>
        <v>2.0498084107863312</v>
      </c>
    </row>
    <row r="3579" spans="1:5" x14ac:dyDescent="0.25">
      <c r="A3579" s="17">
        <v>314</v>
      </c>
      <c r="B3579" s="31">
        <v>48259</v>
      </c>
      <c r="C3579" s="32">
        <f>INDEX('Input Data'!$B:$B,A3579)/2+IF(A3579&lt;&gt;A3580,100,0)</f>
        <v>2.5625</v>
      </c>
      <c r="D3579" s="33">
        <f>INDEX('ZCB Curve - Payment Dates'!$D$2:$D$246,MATCH(B3579,'ZCB Curve - Payment Dates'!$A$2:$A$246,0))</f>
        <v>0.78121887027612602</v>
      </c>
      <c r="E3579" s="32">
        <f t="shared" si="55"/>
        <v>2.0018733550825729</v>
      </c>
    </row>
    <row r="3580" spans="1:5" x14ac:dyDescent="0.25">
      <c r="A3580" s="17">
        <v>314</v>
      </c>
      <c r="B3580" s="31">
        <v>48441</v>
      </c>
      <c r="C3580" s="32">
        <f>INDEX('Input Data'!$B:$B,A3580)/2+IF(A3580&lt;&gt;A3581,100,0)</f>
        <v>2.5625</v>
      </c>
      <c r="D3580" s="33">
        <f>INDEX('ZCB Curve - Payment Dates'!$D$2:$D$246,MATCH(B3580,'ZCB Curve - Payment Dates'!$A$2:$A$246,0))</f>
        <v>0.76298123459017864</v>
      </c>
      <c r="E3580" s="32">
        <f t="shared" si="55"/>
        <v>1.9551394136373328</v>
      </c>
    </row>
    <row r="3581" spans="1:5" x14ac:dyDescent="0.25">
      <c r="A3581" s="17">
        <v>314</v>
      </c>
      <c r="B3581" s="31">
        <v>48625</v>
      </c>
      <c r="C3581" s="32">
        <f>INDEX('Input Data'!$B:$B,A3581)/2+IF(A3581&lt;&gt;A3582,100,0)</f>
        <v>2.5625</v>
      </c>
      <c r="D3581" s="33">
        <f>INDEX('ZCB Curve - Payment Dates'!$D$2:$D$246,MATCH(B3581,'ZCB Curve - Payment Dates'!$A$2:$A$246,0))</f>
        <v>0.74476011611938586</v>
      </c>
      <c r="E3581" s="32">
        <f t="shared" si="55"/>
        <v>1.9084477975559262</v>
      </c>
    </row>
    <row r="3582" spans="1:5" x14ac:dyDescent="0.25">
      <c r="A3582" s="17">
        <v>314</v>
      </c>
      <c r="B3582" s="31">
        <v>48806</v>
      </c>
      <c r="C3582" s="32">
        <f>INDEX('Input Data'!$B:$B,A3582)/2+IF(A3582&lt;&gt;A3583,100,0)</f>
        <v>2.5625</v>
      </c>
      <c r="D3582" s="33">
        <f>INDEX('ZCB Curve - Payment Dates'!$D$2:$D$246,MATCH(B3582,'ZCB Curve - Payment Dates'!$A$2:$A$246,0))</f>
        <v>0.72701302496114584</v>
      </c>
      <c r="E3582" s="32">
        <f t="shared" si="55"/>
        <v>1.8629708764629362</v>
      </c>
    </row>
    <row r="3583" spans="1:5" x14ac:dyDescent="0.25">
      <c r="A3583" s="17">
        <v>314</v>
      </c>
      <c r="B3583" s="31">
        <v>48990</v>
      </c>
      <c r="C3583" s="32">
        <f>INDEX('Input Data'!$B:$B,A3583)/2+IF(A3583&lt;&gt;A3584,100,0)</f>
        <v>2.5625</v>
      </c>
      <c r="D3583" s="33">
        <f>INDEX('ZCB Curve - Payment Dates'!$D$2:$D$246,MATCH(B3583,'ZCB Curve - Payment Dates'!$A$2:$A$246,0))</f>
        <v>0.70912647031380449</v>
      </c>
      <c r="E3583" s="32">
        <f t="shared" si="55"/>
        <v>1.8171365801791239</v>
      </c>
    </row>
    <row r="3584" spans="1:5" x14ac:dyDescent="0.25">
      <c r="A3584" s="17">
        <v>314</v>
      </c>
      <c r="B3584" s="31">
        <v>49171</v>
      </c>
      <c r="C3584" s="32">
        <f>INDEX('Input Data'!$B:$B,A3584)/2+IF(A3584&lt;&gt;A3585,100,0)</f>
        <v>2.5625</v>
      </c>
      <c r="D3584" s="33">
        <f>INDEX('ZCB Curve - Payment Dates'!$D$2:$D$246,MATCH(B3584,'ZCB Curve - Payment Dates'!$A$2:$A$246,0))</f>
        <v>0.6916661505723215</v>
      </c>
      <c r="E3584" s="32">
        <f t="shared" si="55"/>
        <v>1.772394510841574</v>
      </c>
    </row>
    <row r="3585" spans="1:5" x14ac:dyDescent="0.25">
      <c r="A3585" s="17">
        <v>314</v>
      </c>
      <c r="B3585" s="31">
        <v>49355</v>
      </c>
      <c r="C3585" s="32">
        <f>INDEX('Input Data'!$B:$B,A3585)/2+IF(A3585&lt;&gt;A3586,100,0)</f>
        <v>2.5625</v>
      </c>
      <c r="D3585" s="33">
        <f>INDEX('ZCB Curve - Payment Dates'!$D$2:$D$246,MATCH(B3585,'ZCB Curve - Payment Dates'!$A$2:$A$246,0))</f>
        <v>0.674047377898778</v>
      </c>
      <c r="E3585" s="32">
        <f t="shared" si="55"/>
        <v>1.7272464058656187</v>
      </c>
    </row>
    <row r="3586" spans="1:5" x14ac:dyDescent="0.25">
      <c r="A3586" s="17">
        <v>314</v>
      </c>
      <c r="B3586" s="31">
        <v>49536</v>
      </c>
      <c r="C3586" s="32">
        <f>INDEX('Input Data'!$B:$B,A3586)/2+IF(A3586&lt;&gt;A3587,100,0)</f>
        <v>2.5625</v>
      </c>
      <c r="D3586" s="33">
        <f>INDEX('ZCB Curve - Payment Dates'!$D$2:$D$246,MATCH(B3586,'ZCB Curve - Payment Dates'!$A$2:$A$246,0))</f>
        <v>0.65684432300638129</v>
      </c>
      <c r="E3586" s="32">
        <f t="shared" ref="E3586:E3649" si="56">C3586*D3586</f>
        <v>1.6831635777038521</v>
      </c>
    </row>
    <row r="3587" spans="1:5" x14ac:dyDescent="0.25">
      <c r="A3587" s="17">
        <v>314</v>
      </c>
      <c r="B3587" s="31">
        <v>49720</v>
      </c>
      <c r="C3587" s="32">
        <f>INDEX('Input Data'!$B:$B,A3587)/2+IF(A3587&lt;&gt;A3588,100,0)</f>
        <v>2.5625</v>
      </c>
      <c r="D3587" s="33">
        <f>INDEX('ZCB Curve - Payment Dates'!$D$2:$D$246,MATCH(B3587,'ZCB Curve - Payment Dates'!$A$2:$A$246,0))</f>
        <v>0.63949604524993764</v>
      </c>
      <c r="E3587" s="32">
        <f t="shared" si="56"/>
        <v>1.6387086159529651</v>
      </c>
    </row>
    <row r="3588" spans="1:5" x14ac:dyDescent="0.25">
      <c r="A3588" s="17">
        <v>314</v>
      </c>
      <c r="B3588" s="31">
        <v>49902</v>
      </c>
      <c r="C3588" s="32">
        <f>INDEX('Input Data'!$B:$B,A3588)/2+IF(A3588&lt;&gt;A3589,100,0)</f>
        <v>2.5625</v>
      </c>
      <c r="D3588" s="33">
        <f>INDEX('ZCB Curve - Payment Dates'!$D$2:$D$246,MATCH(B3588,'ZCB Curve - Payment Dates'!$A$2:$A$246,0))</f>
        <v>0.62248862376822711</v>
      </c>
      <c r="E3588" s="32">
        <f t="shared" si="56"/>
        <v>1.5951270984060819</v>
      </c>
    </row>
    <row r="3589" spans="1:5" x14ac:dyDescent="0.25">
      <c r="A3589" s="17">
        <v>314</v>
      </c>
      <c r="B3589" s="31">
        <v>50086</v>
      </c>
      <c r="C3589" s="32">
        <f>INDEX('Input Data'!$B:$B,A3589)/2+IF(A3589&lt;&gt;A3590,100,0)</f>
        <v>2.5625</v>
      </c>
      <c r="D3589" s="33">
        <f>INDEX('ZCB Curve - Payment Dates'!$D$2:$D$246,MATCH(B3589,'ZCB Curve - Payment Dates'!$A$2:$A$246,0))</f>
        <v>0.60546490876014969</v>
      </c>
      <c r="E3589" s="32">
        <f t="shared" si="56"/>
        <v>1.5515038286978835</v>
      </c>
    </row>
    <row r="3590" spans="1:5" x14ac:dyDescent="0.25">
      <c r="A3590" s="17">
        <v>314</v>
      </c>
      <c r="B3590" s="31">
        <v>50267</v>
      </c>
      <c r="C3590" s="32">
        <f>INDEX('Input Data'!$B:$B,A3590)/2+IF(A3590&lt;&gt;A3591,100,0)</f>
        <v>2.5625</v>
      </c>
      <c r="D3590" s="33">
        <f>INDEX('ZCB Curve - Payment Dates'!$D$2:$D$246,MATCH(B3590,'ZCB Curve - Payment Dates'!$A$2:$A$246,0))</f>
        <v>0.58890683803346977</v>
      </c>
      <c r="E3590" s="32">
        <f t="shared" si="56"/>
        <v>1.5090737724607663</v>
      </c>
    </row>
    <row r="3591" spans="1:5" x14ac:dyDescent="0.25">
      <c r="A3591" s="17">
        <v>314</v>
      </c>
      <c r="B3591" s="31">
        <v>50451</v>
      </c>
      <c r="C3591" s="32">
        <f>INDEX('Input Data'!$B:$B,A3591)/2+IF(A3591&lt;&gt;A3592,100,0)</f>
        <v>2.5625</v>
      </c>
      <c r="D3591" s="33">
        <f>INDEX('ZCB Curve - Payment Dates'!$D$2:$D$246,MATCH(B3591,'ZCB Curve - Payment Dates'!$A$2:$A$246,0))</f>
        <v>0.57228983695479263</v>
      </c>
      <c r="E3591" s="32">
        <f t="shared" si="56"/>
        <v>1.466492707196656</v>
      </c>
    </row>
    <row r="3592" spans="1:5" x14ac:dyDescent="0.25">
      <c r="A3592" s="17">
        <v>314</v>
      </c>
      <c r="B3592" s="31">
        <v>50632</v>
      </c>
      <c r="C3592" s="32">
        <f>INDEX('Input Data'!$B:$B,A3592)/2+IF(A3592&lt;&gt;A3593,100,0)</f>
        <v>2.5625</v>
      </c>
      <c r="D3592" s="33">
        <f>INDEX('ZCB Curve - Payment Dates'!$D$2:$D$246,MATCH(B3592,'ZCB Curve - Payment Dates'!$A$2:$A$246,0))</f>
        <v>0.55617795699202288</v>
      </c>
      <c r="E3592" s="32">
        <f t="shared" si="56"/>
        <v>1.4252060147920587</v>
      </c>
    </row>
    <row r="3593" spans="1:5" x14ac:dyDescent="0.25">
      <c r="A3593" s="17">
        <v>314</v>
      </c>
      <c r="B3593" s="31">
        <v>50816</v>
      </c>
      <c r="C3593" s="32">
        <f>INDEX('Input Data'!$B:$B,A3593)/2+IF(A3593&lt;&gt;A3594,100,0)</f>
        <v>2.5625</v>
      </c>
      <c r="D3593" s="33">
        <f>INDEX('ZCB Curve - Payment Dates'!$D$2:$D$246,MATCH(B3593,'ZCB Curve - Payment Dates'!$A$2:$A$246,0))</f>
        <v>0.54006240951211237</v>
      </c>
      <c r="E3593" s="32">
        <f t="shared" si="56"/>
        <v>1.3839099243747879</v>
      </c>
    </row>
    <row r="3594" spans="1:5" x14ac:dyDescent="0.25">
      <c r="A3594" s="17">
        <v>314</v>
      </c>
      <c r="B3594" s="31">
        <v>50997</v>
      </c>
      <c r="C3594" s="32">
        <f>INDEX('Input Data'!$B:$B,A3594)/2+IF(A3594&lt;&gt;A3595,100,0)</f>
        <v>2.5625</v>
      </c>
      <c r="D3594" s="33">
        <f>INDEX('ZCB Curve - Payment Dates'!$D$2:$D$246,MATCH(B3594,'ZCB Curve - Payment Dates'!$A$2:$A$246,0))</f>
        <v>0.52449040173194583</v>
      </c>
      <c r="E3594" s="32">
        <f t="shared" si="56"/>
        <v>1.3440066544381113</v>
      </c>
    </row>
    <row r="3595" spans="1:5" x14ac:dyDescent="0.25">
      <c r="A3595" s="17">
        <v>314</v>
      </c>
      <c r="B3595" s="31">
        <v>51181</v>
      </c>
      <c r="C3595" s="32">
        <f>INDEX('Input Data'!$B:$B,A3595)/2+IF(A3595&lt;&gt;A3596,100,0)</f>
        <v>2.5625</v>
      </c>
      <c r="D3595" s="33">
        <f>INDEX('ZCB Curve - Payment Dates'!$D$2:$D$246,MATCH(B3595,'ZCB Curve - Payment Dates'!$A$2:$A$246,0))</f>
        <v>0.5089691698468306</v>
      </c>
      <c r="E3595" s="32">
        <f t="shared" si="56"/>
        <v>1.3042334977325034</v>
      </c>
    </row>
    <row r="3596" spans="1:5" x14ac:dyDescent="0.25">
      <c r="A3596" s="17">
        <v>314</v>
      </c>
      <c r="B3596" s="31">
        <v>51363</v>
      </c>
      <c r="C3596" s="32">
        <f>INDEX('Input Data'!$B:$B,A3596)/2+IF(A3596&lt;&gt;A3597,100,0)</f>
        <v>2.5625</v>
      </c>
      <c r="D3596" s="33">
        <f>INDEX('ZCB Curve - Payment Dates'!$D$2:$D$246,MATCH(B3596,'ZCB Curve - Payment Dates'!$A$2:$A$246,0))</f>
        <v>0.49394036022330806</v>
      </c>
      <c r="E3596" s="32">
        <f t="shared" si="56"/>
        <v>1.265722173072227</v>
      </c>
    </row>
    <row r="3597" spans="1:5" x14ac:dyDescent="0.25">
      <c r="A3597" s="17">
        <v>314</v>
      </c>
      <c r="B3597" s="31">
        <v>51547</v>
      </c>
      <c r="C3597" s="32">
        <f>INDEX('Input Data'!$B:$B,A3597)/2+IF(A3597&lt;&gt;A3598,100,0)</f>
        <v>2.5625</v>
      </c>
      <c r="D3597" s="33">
        <f>INDEX('ZCB Curve - Payment Dates'!$D$2:$D$246,MATCH(B3597,'ZCB Curve - Payment Dates'!$A$2:$A$246,0))</f>
        <v>0.47909718957588998</v>
      </c>
      <c r="E3597" s="32">
        <f t="shared" si="56"/>
        <v>1.227686548288218</v>
      </c>
    </row>
    <row r="3598" spans="1:5" x14ac:dyDescent="0.25">
      <c r="A3598" s="17">
        <v>314</v>
      </c>
      <c r="B3598" s="31">
        <v>51728</v>
      </c>
      <c r="C3598" s="32">
        <f>INDEX('Input Data'!$B:$B,A3598)/2+IF(A3598&lt;&gt;A3599,100,0)</f>
        <v>2.5625</v>
      </c>
      <c r="D3598" s="33">
        <f>INDEX('ZCB Curve - Payment Dates'!$D$2:$D$246,MATCH(B3598,'ZCB Curve - Payment Dates'!$A$2:$A$246,0))</f>
        <v>0.46485329459616059</v>
      </c>
      <c r="E3598" s="32">
        <f t="shared" si="56"/>
        <v>1.1911865674026616</v>
      </c>
    </row>
    <row r="3599" spans="1:5" x14ac:dyDescent="0.25">
      <c r="A3599" s="17">
        <v>314</v>
      </c>
      <c r="B3599" s="31">
        <v>51912</v>
      </c>
      <c r="C3599" s="32">
        <f>INDEX('Input Data'!$B:$B,A3599)/2+IF(A3599&lt;&gt;A3600,100,0)</f>
        <v>2.5625</v>
      </c>
      <c r="D3599" s="33">
        <f>INDEX('ZCB Curve - Payment Dates'!$D$2:$D$246,MATCH(B3599,'ZCB Curve - Payment Dates'!$A$2:$A$246,0))</f>
        <v>0.45075168915212815</v>
      </c>
      <c r="E3599" s="32">
        <f t="shared" si="56"/>
        <v>1.1550512034523284</v>
      </c>
    </row>
    <row r="3600" spans="1:5" x14ac:dyDescent="0.25">
      <c r="A3600" s="17">
        <v>314</v>
      </c>
      <c r="B3600" s="31">
        <v>52093</v>
      </c>
      <c r="C3600" s="32">
        <f>INDEX('Input Data'!$B:$B,A3600)/2+IF(A3600&lt;&gt;A3601,100,0)</f>
        <v>2.5625</v>
      </c>
      <c r="D3600" s="33">
        <f>INDEX('ZCB Curve - Payment Dates'!$D$2:$D$246,MATCH(B3600,'ZCB Curve - Payment Dates'!$A$2:$A$246,0))</f>
        <v>0.43726259018094221</v>
      </c>
      <c r="E3600" s="32">
        <f t="shared" si="56"/>
        <v>1.1204853873386644</v>
      </c>
    </row>
    <row r="3601" spans="1:5" x14ac:dyDescent="0.25">
      <c r="A3601" s="17">
        <v>314</v>
      </c>
      <c r="B3601" s="31">
        <v>52277</v>
      </c>
      <c r="C3601" s="32">
        <f>INDEX('Input Data'!$B:$B,A3601)/2+IF(A3601&lt;&gt;A3602,100,0)</f>
        <v>2.5625</v>
      </c>
      <c r="D3601" s="33">
        <f>INDEX('ZCB Curve - Payment Dates'!$D$2:$D$246,MATCH(B3601,'ZCB Curve - Payment Dates'!$A$2:$A$246,0))</f>
        <v>0.4239492285351204</v>
      </c>
      <c r="E3601" s="32">
        <f t="shared" si="56"/>
        <v>1.086369898121246</v>
      </c>
    </row>
    <row r="3602" spans="1:5" x14ac:dyDescent="0.25">
      <c r="A3602" s="17">
        <v>314</v>
      </c>
      <c r="B3602" s="31">
        <v>52458</v>
      </c>
      <c r="C3602" s="32">
        <f>INDEX('Input Data'!$B:$B,A3602)/2+IF(A3602&lt;&gt;A3603,100,0)</f>
        <v>2.5625</v>
      </c>
      <c r="D3602" s="33">
        <f>INDEX('ZCB Curve - Payment Dates'!$D$2:$D$246,MATCH(B3602,'ZCB Curve - Payment Dates'!$A$2:$A$246,0))</f>
        <v>0.4112516019468152</v>
      </c>
      <c r="E3602" s="32">
        <f t="shared" si="56"/>
        <v>1.053832229988714</v>
      </c>
    </row>
    <row r="3603" spans="1:5" x14ac:dyDescent="0.25">
      <c r="A3603" s="17">
        <v>314</v>
      </c>
      <c r="B3603" s="31">
        <v>52642</v>
      </c>
      <c r="C3603" s="32">
        <f>INDEX('Input Data'!$B:$B,A3603)/2+IF(A3603&lt;&gt;A3604,100,0)</f>
        <v>2.5625</v>
      </c>
      <c r="D3603" s="33">
        <f>INDEX('ZCB Curve - Payment Dates'!$D$2:$D$246,MATCH(B3603,'ZCB Curve - Payment Dates'!$A$2:$A$246,0))</f>
        <v>0.39875459879352759</v>
      </c>
      <c r="E3603" s="32">
        <f t="shared" si="56"/>
        <v>1.0218086594084144</v>
      </c>
    </row>
    <row r="3604" spans="1:5" x14ac:dyDescent="0.25">
      <c r="A3604" s="17">
        <v>314</v>
      </c>
      <c r="B3604" s="31">
        <v>52824</v>
      </c>
      <c r="C3604" s="32">
        <f>INDEX('Input Data'!$B:$B,A3604)/2+IF(A3604&lt;&gt;A3605,100,0)</f>
        <v>2.5625</v>
      </c>
      <c r="D3604" s="33">
        <f>INDEX('ZCB Curve - Payment Dates'!$D$2:$D$246,MATCH(B3604,'ZCB Curve - Payment Dates'!$A$2:$A$246,0))</f>
        <v>0.38680384560622083</v>
      </c>
      <c r="E3604" s="32">
        <f t="shared" si="56"/>
        <v>0.99118485436594084</v>
      </c>
    </row>
    <row r="3605" spans="1:5" x14ac:dyDescent="0.25">
      <c r="A3605" s="17">
        <v>314</v>
      </c>
      <c r="B3605" s="31">
        <v>53008</v>
      </c>
      <c r="C3605" s="32">
        <f>INDEX('Input Data'!$B:$B,A3605)/2+IF(A3605&lt;&gt;A3606,100,0)</f>
        <v>2.5625</v>
      </c>
      <c r="D3605" s="33">
        <f>INDEX('ZCB Curve - Payment Dates'!$D$2:$D$246,MATCH(B3605,'ZCB Curve - Payment Dates'!$A$2:$A$246,0))</f>
        <v>0.37513648791915083</v>
      </c>
      <c r="E3605" s="32">
        <f t="shared" si="56"/>
        <v>0.96128725029282402</v>
      </c>
    </row>
    <row r="3606" spans="1:5" x14ac:dyDescent="0.25">
      <c r="A3606" s="17">
        <v>314</v>
      </c>
      <c r="B3606" s="31">
        <v>53189</v>
      </c>
      <c r="C3606" s="32">
        <f>INDEX('Input Data'!$B:$B,A3606)/2+IF(A3606&lt;&gt;A3607,100,0)</f>
        <v>2.5625</v>
      </c>
      <c r="D3606" s="33">
        <f>INDEX('ZCB Curve - Payment Dates'!$D$2:$D$246,MATCH(B3606,'ZCB Curve - Payment Dates'!$A$2:$A$246,0))</f>
        <v>0.36406533257851953</v>
      </c>
      <c r="E3606" s="32">
        <f t="shared" si="56"/>
        <v>0.93291741473245626</v>
      </c>
    </row>
    <row r="3607" spans="1:5" x14ac:dyDescent="0.25">
      <c r="A3607" s="17">
        <v>314</v>
      </c>
      <c r="B3607" s="31">
        <v>53373</v>
      </c>
      <c r="C3607" s="32">
        <f>INDEX('Input Data'!$B:$B,A3607)/2+IF(A3607&lt;&gt;A3608,100,0)</f>
        <v>2.5625</v>
      </c>
      <c r="D3607" s="33">
        <f>INDEX('ZCB Curve - Payment Dates'!$D$2:$D$246,MATCH(B3607,'ZCB Curve - Payment Dates'!$A$2:$A$246,0))</f>
        <v>0.35322166892031259</v>
      </c>
      <c r="E3607" s="32">
        <f t="shared" si="56"/>
        <v>0.90513052660830107</v>
      </c>
    </row>
    <row r="3608" spans="1:5" x14ac:dyDescent="0.25">
      <c r="A3608" s="17">
        <v>314</v>
      </c>
      <c r="B3608" s="31">
        <v>53554</v>
      </c>
      <c r="C3608" s="32">
        <f>INDEX('Input Data'!$B:$B,A3608)/2+IF(A3608&lt;&gt;A3609,100,0)</f>
        <v>102.5625</v>
      </c>
      <c r="D3608" s="33">
        <f>INDEX('ZCB Curve - Payment Dates'!$D$2:$D$246,MATCH(B3608,'ZCB Curve - Payment Dates'!$A$2:$A$246,0))</f>
        <v>0.34295436226619208</v>
      </c>
      <c r="E3608" s="32">
        <f t="shared" si="56"/>
        <v>35.174256779926324</v>
      </c>
    </row>
    <row r="3609" spans="1:5" x14ac:dyDescent="0.25">
      <c r="A3609" s="17">
        <v>315</v>
      </c>
      <c r="B3609" s="31">
        <v>46341</v>
      </c>
      <c r="C3609" s="32">
        <f>INDEX('Input Data'!$B:$B,A3609)/2+IF(A3609&lt;&gt;A3610,100,0)</f>
        <v>1.4375</v>
      </c>
      <c r="D3609" s="33">
        <f>INDEX('ZCB Curve - Payment Dates'!$D$2:$D$246,MATCH(B3609,'ZCB Curve - Payment Dates'!$A$2:$A$246,0))</f>
        <v>0.99245367292309439</v>
      </c>
      <c r="E3609" s="32">
        <f t="shared" si="56"/>
        <v>1.4266521548269482</v>
      </c>
    </row>
    <row r="3610" spans="1:5" x14ac:dyDescent="0.25">
      <c r="A3610" s="17">
        <v>315</v>
      </c>
      <c r="B3610" s="31">
        <v>46522</v>
      </c>
      <c r="C3610" s="32">
        <f>INDEX('Input Data'!$B:$B,A3610)/2+IF(A3610&lt;&gt;A3611,100,0)</f>
        <v>1.4375</v>
      </c>
      <c r="D3610" s="33">
        <f>INDEX('ZCB Curve - Payment Dates'!$D$2:$D$246,MATCH(B3610,'ZCB Curve - Payment Dates'!$A$2:$A$246,0))</f>
        <v>0.97242179559611874</v>
      </c>
      <c r="E3610" s="32">
        <f t="shared" si="56"/>
        <v>1.3978563311694208</v>
      </c>
    </row>
    <row r="3611" spans="1:5" x14ac:dyDescent="0.25">
      <c r="A3611" s="17">
        <v>315</v>
      </c>
      <c r="B3611" s="31">
        <v>46706</v>
      </c>
      <c r="C3611" s="32">
        <f>INDEX('Input Data'!$B:$B,A3611)/2+IF(A3611&lt;&gt;A3612,100,0)</f>
        <v>1.4375</v>
      </c>
      <c r="D3611" s="33">
        <f>INDEX('ZCB Curve - Payment Dates'!$D$2:$D$246,MATCH(B3611,'ZCB Curve - Payment Dates'!$A$2:$A$246,0))</f>
        <v>0.95121018311627348</v>
      </c>
      <c r="E3611" s="32">
        <f t="shared" si="56"/>
        <v>1.3673646382296432</v>
      </c>
    </row>
    <row r="3612" spans="1:5" x14ac:dyDescent="0.25">
      <c r="A3612" s="17">
        <v>315</v>
      </c>
      <c r="B3612" s="31">
        <v>46888</v>
      </c>
      <c r="C3612" s="32">
        <f>INDEX('Input Data'!$B:$B,A3612)/2+IF(A3612&lt;&gt;A3613,100,0)</f>
        <v>1.4375</v>
      </c>
      <c r="D3612" s="33">
        <f>INDEX('ZCB Curve - Payment Dates'!$D$2:$D$246,MATCH(B3612,'ZCB Curve - Payment Dates'!$A$2:$A$246,0))</f>
        <v>0.93000025435083566</v>
      </c>
      <c r="E3612" s="32">
        <f t="shared" si="56"/>
        <v>1.3368753656293262</v>
      </c>
    </row>
    <row r="3613" spans="1:5" x14ac:dyDescent="0.25">
      <c r="A3613" s="17">
        <v>315</v>
      </c>
      <c r="B3613" s="31">
        <v>47072</v>
      </c>
      <c r="C3613" s="32">
        <f>INDEX('Input Data'!$B:$B,A3613)/2+IF(A3613&lt;&gt;A3614,100,0)</f>
        <v>1.4375</v>
      </c>
      <c r="D3613" s="33">
        <f>INDEX('ZCB Curve - Payment Dates'!$D$2:$D$246,MATCH(B3613,'ZCB Curve - Payment Dates'!$A$2:$A$246,0))</f>
        <v>0.90870125167038918</v>
      </c>
      <c r="E3613" s="32">
        <f t="shared" si="56"/>
        <v>1.3062580492761844</v>
      </c>
    </row>
    <row r="3614" spans="1:5" x14ac:dyDescent="0.25">
      <c r="A3614" s="17">
        <v>315</v>
      </c>
      <c r="B3614" s="31">
        <v>47253</v>
      </c>
      <c r="C3614" s="32">
        <f>INDEX('Input Data'!$B:$B,A3614)/2+IF(A3614&lt;&gt;A3615,100,0)</f>
        <v>1.4375</v>
      </c>
      <c r="D3614" s="33">
        <f>INDEX('ZCB Curve - Payment Dates'!$D$2:$D$246,MATCH(B3614,'ZCB Curve - Payment Dates'!$A$2:$A$246,0))</f>
        <v>0.88809325063638844</v>
      </c>
      <c r="E3614" s="32">
        <f t="shared" si="56"/>
        <v>1.2766340477898084</v>
      </c>
    </row>
    <row r="3615" spans="1:5" x14ac:dyDescent="0.25">
      <c r="A3615" s="17">
        <v>315</v>
      </c>
      <c r="B3615" s="31">
        <v>47437</v>
      </c>
      <c r="C3615" s="32">
        <f>INDEX('Input Data'!$B:$B,A3615)/2+IF(A3615&lt;&gt;A3616,100,0)</f>
        <v>1.4375</v>
      </c>
      <c r="D3615" s="33">
        <f>INDEX('ZCB Curve - Payment Dates'!$D$2:$D$246,MATCH(B3615,'ZCB Curve - Payment Dates'!$A$2:$A$246,0))</f>
        <v>0.86758824089536279</v>
      </c>
      <c r="E3615" s="32">
        <f t="shared" si="56"/>
        <v>1.2471580962870841</v>
      </c>
    </row>
    <row r="3616" spans="1:5" x14ac:dyDescent="0.25">
      <c r="A3616" s="17">
        <v>315</v>
      </c>
      <c r="B3616" s="31">
        <v>47618</v>
      </c>
      <c r="C3616" s="32">
        <f>INDEX('Input Data'!$B:$B,A3616)/2+IF(A3616&lt;&gt;A3617,100,0)</f>
        <v>1.4375</v>
      </c>
      <c r="D3616" s="33">
        <f>INDEX('ZCB Curve - Payment Dates'!$D$2:$D$246,MATCH(B3616,'ZCB Curve - Payment Dates'!$A$2:$A$246,0))</f>
        <v>0.84787416911783064</v>
      </c>
      <c r="E3616" s="32">
        <f t="shared" si="56"/>
        <v>1.2188191181068815</v>
      </c>
    </row>
    <row r="3617" spans="1:5" x14ac:dyDescent="0.25">
      <c r="A3617" s="17">
        <v>315</v>
      </c>
      <c r="B3617" s="31">
        <v>47802</v>
      </c>
      <c r="C3617" s="32">
        <f>INDEX('Input Data'!$B:$B,A3617)/2+IF(A3617&lt;&gt;A3618,100,0)</f>
        <v>1.4375</v>
      </c>
      <c r="D3617" s="33">
        <f>INDEX('ZCB Curve - Payment Dates'!$D$2:$D$246,MATCH(B3617,'ZCB Curve - Payment Dates'!$A$2:$A$246,0))</f>
        <v>0.82827715028796722</v>
      </c>
      <c r="E3617" s="32">
        <f t="shared" si="56"/>
        <v>1.1906484035389528</v>
      </c>
    </row>
    <row r="3618" spans="1:5" x14ac:dyDescent="0.25">
      <c r="A3618" s="17">
        <v>315</v>
      </c>
      <c r="B3618" s="31">
        <v>47983</v>
      </c>
      <c r="C3618" s="32">
        <f>INDEX('Input Data'!$B:$B,A3618)/2+IF(A3618&lt;&gt;A3619,100,0)</f>
        <v>1.4375</v>
      </c>
      <c r="D3618" s="33">
        <f>INDEX('ZCB Curve - Payment Dates'!$D$2:$D$246,MATCH(B3618,'ZCB Curve - Payment Dates'!$A$2:$A$246,0))</f>
        <v>0.80939067484273564</v>
      </c>
      <c r="E3618" s="32">
        <f t="shared" si="56"/>
        <v>1.1634990950864326</v>
      </c>
    </row>
    <row r="3619" spans="1:5" x14ac:dyDescent="0.25">
      <c r="A3619" s="17">
        <v>315</v>
      </c>
      <c r="B3619" s="31">
        <v>48167</v>
      </c>
      <c r="C3619" s="32">
        <f>INDEX('Input Data'!$B:$B,A3619)/2+IF(A3619&lt;&gt;A3620,100,0)</f>
        <v>1.4375</v>
      </c>
      <c r="D3619" s="33">
        <f>INDEX('ZCB Curve - Payment Dates'!$D$2:$D$246,MATCH(B3619,'ZCB Curve - Payment Dates'!$A$2:$A$246,0))</f>
        <v>0.79053567842581962</v>
      </c>
      <c r="E3619" s="32">
        <f t="shared" si="56"/>
        <v>1.1363950377371157</v>
      </c>
    </row>
    <row r="3620" spans="1:5" x14ac:dyDescent="0.25">
      <c r="A3620" s="17">
        <v>315</v>
      </c>
      <c r="B3620" s="31">
        <v>48349</v>
      </c>
      <c r="C3620" s="32">
        <f>INDEX('Input Data'!$B:$B,A3620)/2+IF(A3620&lt;&gt;A3621,100,0)</f>
        <v>1.4375</v>
      </c>
      <c r="D3620" s="33">
        <f>INDEX('ZCB Curve - Payment Dates'!$D$2:$D$246,MATCH(B3620,'ZCB Curve - Payment Dates'!$A$2:$A$246,0))</f>
        <v>0.77217305702007488</v>
      </c>
      <c r="E3620" s="32">
        <f t="shared" si="56"/>
        <v>1.1099987694663576</v>
      </c>
    </row>
    <row r="3621" spans="1:5" x14ac:dyDescent="0.25">
      <c r="A3621" s="17">
        <v>315</v>
      </c>
      <c r="B3621" s="31">
        <v>48533</v>
      </c>
      <c r="C3621" s="32">
        <f>INDEX('Input Data'!$B:$B,A3621)/2+IF(A3621&lt;&gt;A3622,100,0)</f>
        <v>1.4375</v>
      </c>
      <c r="D3621" s="33">
        <f>INDEX('ZCB Curve - Payment Dates'!$D$2:$D$246,MATCH(B3621,'ZCB Curve - Payment Dates'!$A$2:$A$246,0))</f>
        <v>0.75384766072076514</v>
      </c>
      <c r="E3621" s="32">
        <f t="shared" si="56"/>
        <v>1.0836560122860999</v>
      </c>
    </row>
    <row r="3622" spans="1:5" x14ac:dyDescent="0.25">
      <c r="A3622" s="17">
        <v>315</v>
      </c>
      <c r="B3622" s="31">
        <v>48714</v>
      </c>
      <c r="C3622" s="32">
        <f>INDEX('Input Data'!$B:$B,A3622)/2+IF(A3622&lt;&gt;A3623,100,0)</f>
        <v>1.4375</v>
      </c>
      <c r="D3622" s="33">
        <f>INDEX('ZCB Curve - Payment Dates'!$D$2:$D$246,MATCH(B3622,'ZCB Curve - Payment Dates'!$A$2:$A$246,0))</f>
        <v>0.73601491848746747</v>
      </c>
      <c r="E3622" s="32">
        <f t="shared" si="56"/>
        <v>1.0580214453257344</v>
      </c>
    </row>
    <row r="3623" spans="1:5" x14ac:dyDescent="0.25">
      <c r="A3623" s="17">
        <v>315</v>
      </c>
      <c r="B3623" s="31">
        <v>48898</v>
      </c>
      <c r="C3623" s="32">
        <f>INDEX('Input Data'!$B:$B,A3623)/2+IF(A3623&lt;&gt;A3624,100,0)</f>
        <v>1.4375</v>
      </c>
      <c r="D3623" s="33">
        <f>INDEX('ZCB Curve - Payment Dates'!$D$2:$D$246,MATCH(B3623,'ZCB Curve - Payment Dates'!$A$2:$A$246,0))</f>
        <v>0.71805338140354003</v>
      </c>
      <c r="E3623" s="32">
        <f t="shared" si="56"/>
        <v>1.0322017357675888</v>
      </c>
    </row>
    <row r="3624" spans="1:5" x14ac:dyDescent="0.25">
      <c r="A3624" s="17">
        <v>315</v>
      </c>
      <c r="B3624" s="31">
        <v>49079</v>
      </c>
      <c r="C3624" s="32">
        <f>INDEX('Input Data'!$B:$B,A3624)/2+IF(A3624&lt;&gt;A3625,100,0)</f>
        <v>1.4375</v>
      </c>
      <c r="D3624" s="33">
        <f>INDEX('ZCB Curve - Payment Dates'!$D$2:$D$246,MATCH(B3624,'ZCB Curve - Payment Dates'!$A$2:$A$246,0))</f>
        <v>0.70052630492471468</v>
      </c>
      <c r="E3624" s="32">
        <f t="shared" si="56"/>
        <v>1.0070065633292773</v>
      </c>
    </row>
    <row r="3625" spans="1:5" x14ac:dyDescent="0.25">
      <c r="A3625" s="17">
        <v>315</v>
      </c>
      <c r="B3625" s="31">
        <v>49263</v>
      </c>
      <c r="C3625" s="32">
        <f>INDEX('Input Data'!$B:$B,A3625)/2+IF(A3625&lt;&gt;A3626,100,0)</f>
        <v>1.4375</v>
      </c>
      <c r="D3625" s="33">
        <f>INDEX('ZCB Curve - Payment Dates'!$D$2:$D$246,MATCH(B3625,'ZCB Curve - Payment Dates'!$A$2:$A$246,0))</f>
        <v>0.68284221202539863</v>
      </c>
      <c r="E3625" s="32">
        <f t="shared" si="56"/>
        <v>0.98158567978651057</v>
      </c>
    </row>
    <row r="3626" spans="1:5" x14ac:dyDescent="0.25">
      <c r="A3626" s="17">
        <v>315</v>
      </c>
      <c r="B3626" s="31">
        <v>49444</v>
      </c>
      <c r="C3626" s="32">
        <f>INDEX('Input Data'!$B:$B,A3626)/2+IF(A3626&lt;&gt;A3627,100,0)</f>
        <v>1.4375</v>
      </c>
      <c r="D3626" s="33">
        <f>INDEX('ZCB Curve - Payment Dates'!$D$2:$D$246,MATCH(B3626,'ZCB Curve - Payment Dates'!$A$2:$A$246,0))</f>
        <v>0.66557347415228496</v>
      </c>
      <c r="E3626" s="32">
        <f t="shared" si="56"/>
        <v>0.95676186909390959</v>
      </c>
    </row>
    <row r="3627" spans="1:5" x14ac:dyDescent="0.25">
      <c r="A3627" s="17">
        <v>315</v>
      </c>
      <c r="B3627" s="31">
        <v>49628</v>
      </c>
      <c r="C3627" s="32">
        <f>INDEX('Input Data'!$B:$B,A3627)/2+IF(A3627&lt;&gt;A3628,100,0)</f>
        <v>1.4375</v>
      </c>
      <c r="D3627" s="33">
        <f>INDEX('ZCB Curve - Payment Dates'!$D$2:$D$246,MATCH(B3627,'ZCB Curve - Payment Dates'!$A$2:$A$246,0))</f>
        <v>0.64815361918127823</v>
      </c>
      <c r="E3627" s="32">
        <f t="shared" si="56"/>
        <v>0.9317208275730875</v>
      </c>
    </row>
    <row r="3628" spans="1:5" x14ac:dyDescent="0.25">
      <c r="A3628" s="17">
        <v>315</v>
      </c>
      <c r="B3628" s="31">
        <v>49810</v>
      </c>
      <c r="C3628" s="32">
        <f>INDEX('Input Data'!$B:$B,A3628)/2+IF(A3628&lt;&gt;A3629,100,0)</f>
        <v>1.4375</v>
      </c>
      <c r="D3628" s="33">
        <f>INDEX('ZCB Curve - Payment Dates'!$D$2:$D$246,MATCH(B3628,'ZCB Curve - Payment Dates'!$A$2:$A$246,0))</f>
        <v>0.63106457078577471</v>
      </c>
      <c r="E3628" s="32">
        <f t="shared" si="56"/>
        <v>0.90715532050455117</v>
      </c>
    </row>
    <row r="3629" spans="1:5" x14ac:dyDescent="0.25">
      <c r="A3629" s="17">
        <v>315</v>
      </c>
      <c r="B3629" s="31">
        <v>49994</v>
      </c>
      <c r="C3629" s="32">
        <f>INDEX('Input Data'!$B:$B,A3629)/2+IF(A3629&lt;&gt;A3630,100,0)</f>
        <v>1.4375</v>
      </c>
      <c r="D3629" s="33">
        <f>INDEX('ZCB Curve - Payment Dates'!$D$2:$D$246,MATCH(B3629,'ZCB Curve - Payment Dates'!$A$2:$A$246,0))</f>
        <v>0.61395227923184648</v>
      </c>
      <c r="E3629" s="32">
        <f t="shared" si="56"/>
        <v>0.88255640139577929</v>
      </c>
    </row>
    <row r="3630" spans="1:5" x14ac:dyDescent="0.25">
      <c r="A3630" s="17">
        <v>315</v>
      </c>
      <c r="B3630" s="31">
        <v>50175</v>
      </c>
      <c r="C3630" s="32">
        <f>INDEX('Input Data'!$B:$B,A3630)/2+IF(A3630&lt;&gt;A3631,100,0)</f>
        <v>1.4375</v>
      </c>
      <c r="D3630" s="33">
        <f>INDEX('ZCB Curve - Payment Dates'!$D$2:$D$246,MATCH(B3630,'ZCB Curve - Payment Dates'!$A$2:$A$246,0))</f>
        <v>0.5972963482314616</v>
      </c>
      <c r="E3630" s="32">
        <f t="shared" si="56"/>
        <v>0.85861350058272601</v>
      </c>
    </row>
    <row r="3631" spans="1:5" x14ac:dyDescent="0.25">
      <c r="A3631" s="17">
        <v>315</v>
      </c>
      <c r="B3631" s="31">
        <v>50359</v>
      </c>
      <c r="C3631" s="32">
        <f>INDEX('Input Data'!$B:$B,A3631)/2+IF(A3631&lt;&gt;A3632,100,0)</f>
        <v>1.4375</v>
      </c>
      <c r="D3631" s="33">
        <f>INDEX('ZCB Curve - Payment Dates'!$D$2:$D$246,MATCH(B3631,'ZCB Curve - Payment Dates'!$A$2:$A$246,0))</f>
        <v>0.58056812006155756</v>
      </c>
      <c r="E3631" s="32">
        <f t="shared" si="56"/>
        <v>0.83456667258848904</v>
      </c>
    </row>
    <row r="3632" spans="1:5" x14ac:dyDescent="0.25">
      <c r="A3632" s="17">
        <v>315</v>
      </c>
      <c r="B3632" s="31">
        <v>50540</v>
      </c>
      <c r="C3632" s="32">
        <f>INDEX('Input Data'!$B:$B,A3632)/2+IF(A3632&lt;&gt;A3633,100,0)</f>
        <v>1.4375</v>
      </c>
      <c r="D3632" s="33">
        <f>INDEX('ZCB Curve - Payment Dates'!$D$2:$D$246,MATCH(B3632,'ZCB Curve - Payment Dates'!$A$2:$A$246,0))</f>
        <v>0.56433491315969797</v>
      </c>
      <c r="E3632" s="32">
        <f t="shared" si="56"/>
        <v>0.81123143766706585</v>
      </c>
    </row>
    <row r="3633" spans="1:5" x14ac:dyDescent="0.25">
      <c r="A3633" s="17">
        <v>315</v>
      </c>
      <c r="B3633" s="31">
        <v>50724</v>
      </c>
      <c r="C3633" s="32">
        <f>INDEX('Input Data'!$B:$B,A3633)/2+IF(A3633&lt;&gt;A3634,100,0)</f>
        <v>1.4375</v>
      </c>
      <c r="D3633" s="33">
        <f>INDEX('ZCB Curve - Payment Dates'!$D$2:$D$246,MATCH(B3633,'ZCB Curve - Payment Dates'!$A$2:$A$246,0))</f>
        <v>0.54808398139057424</v>
      </c>
      <c r="E3633" s="32">
        <f t="shared" si="56"/>
        <v>0.78787072324895047</v>
      </c>
    </row>
    <row r="3634" spans="1:5" x14ac:dyDescent="0.25">
      <c r="A3634" s="17">
        <v>315</v>
      </c>
      <c r="B3634" s="31">
        <v>50905</v>
      </c>
      <c r="C3634" s="32">
        <f>INDEX('Input Data'!$B:$B,A3634)/2+IF(A3634&lt;&gt;A3635,100,0)</f>
        <v>1.4375</v>
      </c>
      <c r="D3634" s="33">
        <f>INDEX('ZCB Curve - Payment Dates'!$D$2:$D$246,MATCH(B3634,'ZCB Curve - Payment Dates'!$A$2:$A$246,0))</f>
        <v>0.5323673246083096</v>
      </c>
      <c r="E3634" s="32">
        <f t="shared" si="56"/>
        <v>0.76527802912444509</v>
      </c>
    </row>
    <row r="3635" spans="1:5" x14ac:dyDescent="0.25">
      <c r="A3635" s="17">
        <v>315</v>
      </c>
      <c r="B3635" s="31">
        <v>51089</v>
      </c>
      <c r="C3635" s="32">
        <f>INDEX('Input Data'!$B:$B,A3635)/2+IF(A3635&lt;&gt;A3636,100,0)</f>
        <v>1.4375</v>
      </c>
      <c r="D3635" s="33">
        <f>INDEX('ZCB Curve - Payment Dates'!$D$2:$D$246,MATCH(B3635,'ZCB Curve - Payment Dates'!$A$2:$A$246,0))</f>
        <v>0.51668806431098135</v>
      </c>
      <c r="E3635" s="32">
        <f t="shared" si="56"/>
        <v>0.74273909244703573</v>
      </c>
    </row>
    <row r="3636" spans="1:5" x14ac:dyDescent="0.25">
      <c r="A3636" s="17">
        <v>315</v>
      </c>
      <c r="B3636" s="31">
        <v>51271</v>
      </c>
      <c r="C3636" s="32">
        <f>INDEX('Input Data'!$B:$B,A3636)/2+IF(A3636&lt;&gt;A3637,100,0)</f>
        <v>1.4375</v>
      </c>
      <c r="D3636" s="33">
        <f>INDEX('ZCB Curve - Payment Dates'!$D$2:$D$246,MATCH(B3636,'ZCB Curve - Payment Dates'!$A$2:$A$246,0))</f>
        <v>0.50149590020417278</v>
      </c>
      <c r="E3636" s="32">
        <f t="shared" si="56"/>
        <v>0.72090035654349838</v>
      </c>
    </row>
    <row r="3637" spans="1:5" x14ac:dyDescent="0.25">
      <c r="A3637" s="17">
        <v>315</v>
      </c>
      <c r="B3637" s="31">
        <v>51455</v>
      </c>
      <c r="C3637" s="32">
        <f>INDEX('Input Data'!$B:$B,A3637)/2+IF(A3637&lt;&gt;A3638,100,0)</f>
        <v>1.4375</v>
      </c>
      <c r="D3637" s="33">
        <f>INDEX('ZCB Curve - Payment Dates'!$D$2:$D$246,MATCH(B3637,'ZCB Curve - Payment Dates'!$A$2:$A$246,0))</f>
        <v>0.48647538074270091</v>
      </c>
      <c r="E3637" s="32">
        <f t="shared" si="56"/>
        <v>0.69930835981763262</v>
      </c>
    </row>
    <row r="3638" spans="1:5" x14ac:dyDescent="0.25">
      <c r="A3638" s="17">
        <v>315</v>
      </c>
      <c r="B3638" s="31">
        <v>51636</v>
      </c>
      <c r="C3638" s="32">
        <f>INDEX('Input Data'!$B:$B,A3638)/2+IF(A3638&lt;&gt;A3639,100,0)</f>
        <v>1.4375</v>
      </c>
      <c r="D3638" s="33">
        <f>INDEX('ZCB Curve - Payment Dates'!$D$2:$D$246,MATCH(B3638,'ZCB Curve - Payment Dates'!$A$2:$A$246,0))</f>
        <v>0.47204918703719451</v>
      </c>
      <c r="E3638" s="32">
        <f t="shared" si="56"/>
        <v>0.67857070636596706</v>
      </c>
    </row>
    <row r="3639" spans="1:5" x14ac:dyDescent="0.25">
      <c r="A3639" s="17">
        <v>315</v>
      </c>
      <c r="B3639" s="31">
        <v>51820</v>
      </c>
      <c r="C3639" s="32">
        <f>INDEX('Input Data'!$B:$B,A3639)/2+IF(A3639&lt;&gt;A3640,100,0)</f>
        <v>1.4375</v>
      </c>
      <c r="D3639" s="33">
        <f>INDEX('ZCB Curve - Payment Dates'!$D$2:$D$246,MATCH(B3639,'ZCB Curve - Payment Dates'!$A$2:$A$246,0))</f>
        <v>0.45775548669345245</v>
      </c>
      <c r="E3639" s="32">
        <f t="shared" si="56"/>
        <v>0.65802351212183785</v>
      </c>
    </row>
    <row r="3640" spans="1:5" x14ac:dyDescent="0.25">
      <c r="A3640" s="17">
        <v>315</v>
      </c>
      <c r="B3640" s="31">
        <v>52001</v>
      </c>
      <c r="C3640" s="32">
        <f>INDEX('Input Data'!$B:$B,A3640)/2+IF(A3640&lt;&gt;A3641,100,0)</f>
        <v>1.4375</v>
      </c>
      <c r="D3640" s="33">
        <f>INDEX('ZCB Curve - Payment Dates'!$D$2:$D$246,MATCH(B3640,'ZCB Curve - Payment Dates'!$A$2:$A$246,0))</f>
        <v>0.44407192118484318</v>
      </c>
      <c r="E3640" s="32">
        <f t="shared" si="56"/>
        <v>0.63835338670321207</v>
      </c>
    </row>
    <row r="3641" spans="1:5" x14ac:dyDescent="0.25">
      <c r="A3641" s="17">
        <v>315</v>
      </c>
      <c r="B3641" s="31">
        <v>52185</v>
      </c>
      <c r="C3641" s="32">
        <f>INDEX('Input Data'!$B:$B,A3641)/2+IF(A3641&lt;&gt;A3642,100,0)</f>
        <v>1.4375</v>
      </c>
      <c r="D3641" s="33">
        <f>INDEX('ZCB Curve - Payment Dates'!$D$2:$D$246,MATCH(B3641,'ZCB Curve - Payment Dates'!$A$2:$A$246,0))</f>
        <v>0.43055647946672393</v>
      </c>
      <c r="E3641" s="32">
        <f t="shared" si="56"/>
        <v>0.61892493923341563</v>
      </c>
    </row>
    <row r="3642" spans="1:5" x14ac:dyDescent="0.25">
      <c r="A3642" s="17">
        <v>315</v>
      </c>
      <c r="B3642" s="31">
        <v>52366</v>
      </c>
      <c r="C3642" s="32">
        <f>INDEX('Input Data'!$B:$B,A3642)/2+IF(A3642&lt;&gt;A3643,100,0)</f>
        <v>1.4375</v>
      </c>
      <c r="D3642" s="33">
        <f>INDEX('ZCB Curve - Payment Dates'!$D$2:$D$246,MATCH(B3642,'ZCB Curve - Payment Dates'!$A$2:$A$246,0))</f>
        <v>0.41765686229470528</v>
      </c>
      <c r="E3642" s="32">
        <f t="shared" si="56"/>
        <v>0.60038173954863883</v>
      </c>
    </row>
    <row r="3643" spans="1:5" x14ac:dyDescent="0.25">
      <c r="A3643" s="17">
        <v>315</v>
      </c>
      <c r="B3643" s="31">
        <v>52550</v>
      </c>
      <c r="C3643" s="32">
        <f>INDEX('Input Data'!$B:$B,A3643)/2+IF(A3643&lt;&gt;A3644,100,0)</f>
        <v>1.4375</v>
      </c>
      <c r="D3643" s="33">
        <f>INDEX('ZCB Curve - Payment Dates'!$D$2:$D$246,MATCH(B3643,'ZCB Curve - Payment Dates'!$A$2:$A$246,0))</f>
        <v>0.40495237741553414</v>
      </c>
      <c r="E3643" s="32">
        <f t="shared" si="56"/>
        <v>0.58211904253483038</v>
      </c>
    </row>
    <row r="3644" spans="1:5" x14ac:dyDescent="0.25">
      <c r="A3644" s="17">
        <v>315</v>
      </c>
      <c r="B3644" s="31">
        <v>52732</v>
      </c>
      <c r="C3644" s="32">
        <f>INDEX('Input Data'!$B:$B,A3644)/2+IF(A3644&lt;&gt;A3645,100,0)</f>
        <v>1.4375</v>
      </c>
      <c r="D3644" s="33">
        <f>INDEX('ZCB Curve - Payment Dates'!$D$2:$D$246,MATCH(B3644,'ZCB Curve - Payment Dates'!$A$2:$A$246,0))</f>
        <v>0.3927952920896523</v>
      </c>
      <c r="E3644" s="32">
        <f t="shared" si="56"/>
        <v>0.56464323237887515</v>
      </c>
    </row>
    <row r="3645" spans="1:5" x14ac:dyDescent="0.25">
      <c r="A3645" s="17">
        <v>315</v>
      </c>
      <c r="B3645" s="31">
        <v>52916</v>
      </c>
      <c r="C3645" s="32">
        <f>INDEX('Input Data'!$B:$B,A3645)/2+IF(A3645&lt;&gt;A3646,100,0)</f>
        <v>1.4375</v>
      </c>
      <c r="D3645" s="33">
        <f>INDEX('ZCB Curve - Payment Dates'!$D$2:$D$246,MATCH(B3645,'ZCB Curve - Payment Dates'!$A$2:$A$246,0))</f>
        <v>0.38091684361752687</v>
      </c>
      <c r="E3645" s="32">
        <f t="shared" si="56"/>
        <v>0.54756796270019492</v>
      </c>
    </row>
    <row r="3646" spans="1:5" x14ac:dyDescent="0.25">
      <c r="A3646" s="17">
        <v>315</v>
      </c>
      <c r="B3646" s="31">
        <v>53097</v>
      </c>
      <c r="C3646" s="32">
        <f>INDEX('Input Data'!$B:$B,A3646)/2+IF(A3646&lt;&gt;A3647,100,0)</f>
        <v>1.4375</v>
      </c>
      <c r="D3646" s="33">
        <f>INDEX('ZCB Curve - Payment Dates'!$D$2:$D$246,MATCH(B3646,'ZCB Curve - Payment Dates'!$A$2:$A$246,0))</f>
        <v>0.36964331092783359</v>
      </c>
      <c r="E3646" s="32">
        <f t="shared" si="56"/>
        <v>0.53136225945876081</v>
      </c>
    </row>
    <row r="3647" spans="1:5" x14ac:dyDescent="0.25">
      <c r="A3647" s="17">
        <v>315</v>
      </c>
      <c r="B3647" s="31">
        <v>53281</v>
      </c>
      <c r="C3647" s="32">
        <f>INDEX('Input Data'!$B:$B,A3647)/2+IF(A3647&lt;&gt;A3648,100,0)</f>
        <v>1.4375</v>
      </c>
      <c r="D3647" s="33">
        <f>INDEX('ZCB Curve - Payment Dates'!$D$2:$D$246,MATCH(B3647,'ZCB Curve - Payment Dates'!$A$2:$A$246,0))</f>
        <v>0.35859090372935404</v>
      </c>
      <c r="E3647" s="32">
        <f t="shared" si="56"/>
        <v>0.51547442411094646</v>
      </c>
    </row>
    <row r="3648" spans="1:5" x14ac:dyDescent="0.25">
      <c r="A3648" s="17">
        <v>315</v>
      </c>
      <c r="B3648" s="31">
        <v>53462</v>
      </c>
      <c r="C3648" s="32">
        <f>INDEX('Input Data'!$B:$B,A3648)/2+IF(A3648&lt;&gt;A3649,100,0)</f>
        <v>1.4375</v>
      </c>
      <c r="D3648" s="33">
        <f>INDEX('ZCB Curve - Payment Dates'!$D$2:$D$246,MATCH(B3648,'ZCB Curve - Payment Dates'!$A$2:$A$246,0))</f>
        <v>0.34812465854380154</v>
      </c>
      <c r="E3648" s="32">
        <f t="shared" si="56"/>
        <v>0.5004291966567147</v>
      </c>
    </row>
    <row r="3649" spans="1:5" x14ac:dyDescent="0.25">
      <c r="A3649" s="17">
        <v>315</v>
      </c>
      <c r="B3649" s="31">
        <v>53646</v>
      </c>
      <c r="C3649" s="32">
        <f>INDEX('Input Data'!$B:$B,A3649)/2+IF(A3649&lt;&gt;A3650,100,0)</f>
        <v>101.4375</v>
      </c>
      <c r="D3649" s="33">
        <f>INDEX('ZCB Curve - Payment Dates'!$D$2:$D$246,MATCH(B3649,'ZCB Curve - Payment Dates'!$A$2:$A$246,0))</f>
        <v>0.33788528510382887</v>
      </c>
      <c r="E3649" s="32">
        <f t="shared" si="56"/>
        <v>34.274238607719639</v>
      </c>
    </row>
    <row r="3650" spans="1:5" x14ac:dyDescent="0.25">
      <c r="A3650" s="17">
        <v>316</v>
      </c>
      <c r="B3650" s="31">
        <v>46433</v>
      </c>
      <c r="C3650" s="32">
        <f>INDEX('Input Data'!$B:$B,A3650)/2+IF(A3650&lt;&gt;A3651,100,0)</f>
        <v>1.5</v>
      </c>
      <c r="D3650" s="33">
        <f>INDEX('ZCB Curve - Payment Dates'!$D$2:$D$246,MATCH(B3650,'ZCB Curve - Payment Dates'!$A$2:$A$246,0))</f>
        <v>0.98242671792446301</v>
      </c>
      <c r="E3650" s="32">
        <f t="shared" ref="E3650:E3713" si="57">C3650*D3650</f>
        <v>1.4736400768866944</v>
      </c>
    </row>
    <row r="3651" spans="1:5" x14ac:dyDescent="0.25">
      <c r="A3651" s="17">
        <v>316</v>
      </c>
      <c r="B3651" s="31">
        <v>46614</v>
      </c>
      <c r="C3651" s="32">
        <f>INDEX('Input Data'!$B:$B,A3651)/2+IF(A3651&lt;&gt;A3652,100,0)</f>
        <v>1.5</v>
      </c>
      <c r="D3651" s="33">
        <f>INDEX('ZCB Curve - Payment Dates'!$D$2:$D$246,MATCH(B3651,'ZCB Curve - Payment Dates'!$A$2:$A$246,0))</f>
        <v>0.96187948164765535</v>
      </c>
      <c r="E3651" s="32">
        <f t="shared" si="57"/>
        <v>1.4428192224714831</v>
      </c>
    </row>
    <row r="3652" spans="1:5" x14ac:dyDescent="0.25">
      <c r="A3652" s="17">
        <v>316</v>
      </c>
      <c r="B3652" s="31">
        <v>46798</v>
      </c>
      <c r="C3652" s="32">
        <f>INDEX('Input Data'!$B:$B,A3652)/2+IF(A3652&lt;&gt;A3653,100,0)</f>
        <v>1.5</v>
      </c>
      <c r="D3652" s="33">
        <f>INDEX('ZCB Curve - Payment Dates'!$D$2:$D$246,MATCH(B3652,'ZCB Curve - Payment Dates'!$A$2:$A$246,0))</f>
        <v>0.94049096132648802</v>
      </c>
      <c r="E3652" s="32">
        <f t="shared" si="57"/>
        <v>1.4107364419897319</v>
      </c>
    </row>
    <row r="3653" spans="1:5" x14ac:dyDescent="0.25">
      <c r="A3653" s="17">
        <v>316</v>
      </c>
      <c r="B3653" s="31">
        <v>46980</v>
      </c>
      <c r="C3653" s="32">
        <f>INDEX('Input Data'!$B:$B,A3653)/2+IF(A3653&lt;&gt;A3654,100,0)</f>
        <v>1.5</v>
      </c>
      <c r="D3653" s="33">
        <f>INDEX('ZCB Curve - Payment Dates'!$D$2:$D$246,MATCH(B3653,'ZCB Curve - Payment Dates'!$A$2:$A$246,0))</f>
        <v>0.91931844130238327</v>
      </c>
      <c r="E3653" s="32">
        <f t="shared" si="57"/>
        <v>1.378977661953575</v>
      </c>
    </row>
    <row r="3654" spans="1:5" x14ac:dyDescent="0.25">
      <c r="A3654" s="17">
        <v>316</v>
      </c>
      <c r="B3654" s="31">
        <v>47164</v>
      </c>
      <c r="C3654" s="32">
        <f>INDEX('Input Data'!$B:$B,A3654)/2+IF(A3654&lt;&gt;A3655,100,0)</f>
        <v>1.5</v>
      </c>
      <c r="D3654" s="33">
        <f>INDEX('ZCB Curve - Payment Dates'!$D$2:$D$246,MATCH(B3654,'ZCB Curve - Payment Dates'!$A$2:$A$246,0))</f>
        <v>0.89817430058086534</v>
      </c>
      <c r="E3654" s="32">
        <f t="shared" si="57"/>
        <v>1.3472614508712981</v>
      </c>
    </row>
    <row r="3655" spans="1:5" x14ac:dyDescent="0.25">
      <c r="A3655" s="17">
        <v>316</v>
      </c>
      <c r="B3655" s="31">
        <v>47345</v>
      </c>
      <c r="C3655" s="32">
        <f>INDEX('Input Data'!$B:$B,A3655)/2+IF(A3655&lt;&gt;A3656,100,0)</f>
        <v>1.5</v>
      </c>
      <c r="D3655" s="33">
        <f>INDEX('ZCB Curve - Payment Dates'!$D$2:$D$246,MATCH(B3655,'ZCB Curve - Payment Dates'!$A$2:$A$246,0))</f>
        <v>0.87778421628860481</v>
      </c>
      <c r="E3655" s="32">
        <f t="shared" si="57"/>
        <v>1.3166763244329072</v>
      </c>
    </row>
    <row r="3656" spans="1:5" x14ac:dyDescent="0.25">
      <c r="A3656" s="17">
        <v>316</v>
      </c>
      <c r="B3656" s="31">
        <v>47529</v>
      </c>
      <c r="C3656" s="32">
        <f>INDEX('Input Data'!$B:$B,A3656)/2+IF(A3656&lt;&gt;A3657,100,0)</f>
        <v>1.5</v>
      </c>
      <c r="D3656" s="33">
        <f>INDEX('ZCB Curve - Payment Dates'!$D$2:$D$246,MATCH(B3656,'ZCB Curve - Payment Dates'!$A$2:$A$246,0))</f>
        <v>0.85751015570959666</v>
      </c>
      <c r="E3656" s="32">
        <f t="shared" si="57"/>
        <v>1.2862652335643949</v>
      </c>
    </row>
    <row r="3657" spans="1:5" x14ac:dyDescent="0.25">
      <c r="A3657" s="17">
        <v>316</v>
      </c>
      <c r="B3657" s="31">
        <v>47710</v>
      </c>
      <c r="C3657" s="32">
        <f>INDEX('Input Data'!$B:$B,A3657)/2+IF(A3657&lt;&gt;A3658,100,0)</f>
        <v>1.5</v>
      </c>
      <c r="D3657" s="33">
        <f>INDEX('ZCB Curve - Payment Dates'!$D$2:$D$246,MATCH(B3657,'ZCB Curve - Payment Dates'!$A$2:$A$246,0))</f>
        <v>0.83802423748211174</v>
      </c>
      <c r="E3657" s="32">
        <f t="shared" si="57"/>
        <v>1.2570363562231677</v>
      </c>
    </row>
    <row r="3658" spans="1:5" x14ac:dyDescent="0.25">
      <c r="A3658" s="17">
        <v>316</v>
      </c>
      <c r="B3658" s="31">
        <v>47894</v>
      </c>
      <c r="C3658" s="32">
        <f>INDEX('Input Data'!$B:$B,A3658)/2+IF(A3658&lt;&gt;A3659,100,0)</f>
        <v>1.5</v>
      </c>
      <c r="D3658" s="33">
        <f>INDEX('ZCB Curve - Payment Dates'!$D$2:$D$246,MATCH(B3658,'ZCB Curve - Payment Dates'!$A$2:$A$246,0))</f>
        <v>0.8186305474741673</v>
      </c>
      <c r="E3658" s="32">
        <f t="shared" si="57"/>
        <v>1.2279458212112511</v>
      </c>
    </row>
    <row r="3659" spans="1:5" x14ac:dyDescent="0.25">
      <c r="A3659" s="17">
        <v>316</v>
      </c>
      <c r="B3659" s="31">
        <v>48075</v>
      </c>
      <c r="C3659" s="32">
        <f>INDEX('Input Data'!$B:$B,A3659)/2+IF(A3659&lt;&gt;A3660,100,0)</f>
        <v>1.5</v>
      </c>
      <c r="D3659" s="33">
        <f>INDEX('ZCB Curve - Payment Dates'!$D$2:$D$246,MATCH(B3659,'ZCB Curve - Payment Dates'!$A$2:$A$246,0))</f>
        <v>0.7999252334775927</v>
      </c>
      <c r="E3659" s="32">
        <f t="shared" si="57"/>
        <v>1.199887850216389</v>
      </c>
    </row>
    <row r="3660" spans="1:5" x14ac:dyDescent="0.25">
      <c r="A3660" s="17">
        <v>316</v>
      </c>
      <c r="B3660" s="31">
        <v>48259</v>
      </c>
      <c r="C3660" s="32">
        <f>INDEX('Input Data'!$B:$B,A3660)/2+IF(A3660&lt;&gt;A3661,100,0)</f>
        <v>1.5</v>
      </c>
      <c r="D3660" s="33">
        <f>INDEX('ZCB Curve - Payment Dates'!$D$2:$D$246,MATCH(B3660,'ZCB Curve - Payment Dates'!$A$2:$A$246,0))</f>
        <v>0.78121887027612602</v>
      </c>
      <c r="E3660" s="32">
        <f t="shared" si="57"/>
        <v>1.1718283054141891</v>
      </c>
    </row>
    <row r="3661" spans="1:5" x14ac:dyDescent="0.25">
      <c r="A3661" s="17">
        <v>316</v>
      </c>
      <c r="B3661" s="31">
        <v>48441</v>
      </c>
      <c r="C3661" s="32">
        <f>INDEX('Input Data'!$B:$B,A3661)/2+IF(A3661&lt;&gt;A3662,100,0)</f>
        <v>1.5</v>
      </c>
      <c r="D3661" s="33">
        <f>INDEX('ZCB Curve - Payment Dates'!$D$2:$D$246,MATCH(B3661,'ZCB Curve - Payment Dates'!$A$2:$A$246,0))</f>
        <v>0.76298123459017864</v>
      </c>
      <c r="E3661" s="32">
        <f t="shared" si="57"/>
        <v>1.1444718518852679</v>
      </c>
    </row>
    <row r="3662" spans="1:5" x14ac:dyDescent="0.25">
      <c r="A3662" s="17">
        <v>316</v>
      </c>
      <c r="B3662" s="31">
        <v>48625</v>
      </c>
      <c r="C3662" s="32">
        <f>INDEX('Input Data'!$B:$B,A3662)/2+IF(A3662&lt;&gt;A3663,100,0)</f>
        <v>1.5</v>
      </c>
      <c r="D3662" s="33">
        <f>INDEX('ZCB Curve - Payment Dates'!$D$2:$D$246,MATCH(B3662,'ZCB Curve - Payment Dates'!$A$2:$A$246,0))</f>
        <v>0.74476011611938586</v>
      </c>
      <c r="E3662" s="32">
        <f t="shared" si="57"/>
        <v>1.1171401741790787</v>
      </c>
    </row>
    <row r="3663" spans="1:5" x14ac:dyDescent="0.25">
      <c r="A3663" s="17">
        <v>316</v>
      </c>
      <c r="B3663" s="31">
        <v>48806</v>
      </c>
      <c r="C3663" s="32">
        <f>INDEX('Input Data'!$B:$B,A3663)/2+IF(A3663&lt;&gt;A3664,100,0)</f>
        <v>1.5</v>
      </c>
      <c r="D3663" s="33">
        <f>INDEX('ZCB Curve - Payment Dates'!$D$2:$D$246,MATCH(B3663,'ZCB Curve - Payment Dates'!$A$2:$A$246,0))</f>
        <v>0.72701302496114584</v>
      </c>
      <c r="E3663" s="32">
        <f t="shared" si="57"/>
        <v>1.0905195374417187</v>
      </c>
    </row>
    <row r="3664" spans="1:5" x14ac:dyDescent="0.25">
      <c r="A3664" s="17">
        <v>316</v>
      </c>
      <c r="B3664" s="31">
        <v>48990</v>
      </c>
      <c r="C3664" s="32">
        <f>INDEX('Input Data'!$B:$B,A3664)/2+IF(A3664&lt;&gt;A3665,100,0)</f>
        <v>1.5</v>
      </c>
      <c r="D3664" s="33">
        <f>INDEX('ZCB Curve - Payment Dates'!$D$2:$D$246,MATCH(B3664,'ZCB Curve - Payment Dates'!$A$2:$A$246,0))</f>
        <v>0.70912647031380449</v>
      </c>
      <c r="E3664" s="32">
        <f t="shared" si="57"/>
        <v>1.0636897054707068</v>
      </c>
    </row>
    <row r="3665" spans="1:5" x14ac:dyDescent="0.25">
      <c r="A3665" s="17">
        <v>316</v>
      </c>
      <c r="B3665" s="31">
        <v>49171</v>
      </c>
      <c r="C3665" s="32">
        <f>INDEX('Input Data'!$B:$B,A3665)/2+IF(A3665&lt;&gt;A3666,100,0)</f>
        <v>1.5</v>
      </c>
      <c r="D3665" s="33">
        <f>INDEX('ZCB Curve - Payment Dates'!$D$2:$D$246,MATCH(B3665,'ZCB Curve - Payment Dates'!$A$2:$A$246,0))</f>
        <v>0.6916661505723215</v>
      </c>
      <c r="E3665" s="32">
        <f t="shared" si="57"/>
        <v>1.0374992258584823</v>
      </c>
    </row>
    <row r="3666" spans="1:5" x14ac:dyDescent="0.25">
      <c r="A3666" s="17">
        <v>316</v>
      </c>
      <c r="B3666" s="31">
        <v>49355</v>
      </c>
      <c r="C3666" s="32">
        <f>INDEX('Input Data'!$B:$B,A3666)/2+IF(A3666&lt;&gt;A3667,100,0)</f>
        <v>1.5</v>
      </c>
      <c r="D3666" s="33">
        <f>INDEX('ZCB Curve - Payment Dates'!$D$2:$D$246,MATCH(B3666,'ZCB Curve - Payment Dates'!$A$2:$A$246,0))</f>
        <v>0.674047377898778</v>
      </c>
      <c r="E3666" s="32">
        <f t="shared" si="57"/>
        <v>1.0110710668481671</v>
      </c>
    </row>
    <row r="3667" spans="1:5" x14ac:dyDescent="0.25">
      <c r="A3667" s="17">
        <v>316</v>
      </c>
      <c r="B3667" s="31">
        <v>49536</v>
      </c>
      <c r="C3667" s="32">
        <f>INDEX('Input Data'!$B:$B,A3667)/2+IF(A3667&lt;&gt;A3668,100,0)</f>
        <v>1.5</v>
      </c>
      <c r="D3667" s="33">
        <f>INDEX('ZCB Curve - Payment Dates'!$D$2:$D$246,MATCH(B3667,'ZCB Curve - Payment Dates'!$A$2:$A$246,0))</f>
        <v>0.65684432300638129</v>
      </c>
      <c r="E3667" s="32">
        <f t="shared" si="57"/>
        <v>0.98526648450957199</v>
      </c>
    </row>
    <row r="3668" spans="1:5" x14ac:dyDescent="0.25">
      <c r="A3668" s="17">
        <v>316</v>
      </c>
      <c r="B3668" s="31">
        <v>49720</v>
      </c>
      <c r="C3668" s="32">
        <f>INDEX('Input Data'!$B:$B,A3668)/2+IF(A3668&lt;&gt;A3669,100,0)</f>
        <v>1.5</v>
      </c>
      <c r="D3668" s="33">
        <f>INDEX('ZCB Curve - Payment Dates'!$D$2:$D$246,MATCH(B3668,'ZCB Curve - Payment Dates'!$A$2:$A$246,0))</f>
        <v>0.63949604524993764</v>
      </c>
      <c r="E3668" s="32">
        <f t="shared" si="57"/>
        <v>0.95924406787490646</v>
      </c>
    </row>
    <row r="3669" spans="1:5" x14ac:dyDescent="0.25">
      <c r="A3669" s="17">
        <v>316</v>
      </c>
      <c r="B3669" s="31">
        <v>49902</v>
      </c>
      <c r="C3669" s="32">
        <f>INDEX('Input Data'!$B:$B,A3669)/2+IF(A3669&lt;&gt;A3670,100,0)</f>
        <v>1.5</v>
      </c>
      <c r="D3669" s="33">
        <f>INDEX('ZCB Curve - Payment Dates'!$D$2:$D$246,MATCH(B3669,'ZCB Curve - Payment Dates'!$A$2:$A$246,0))</f>
        <v>0.62248862376822711</v>
      </c>
      <c r="E3669" s="32">
        <f t="shared" si="57"/>
        <v>0.93373293565234072</v>
      </c>
    </row>
    <row r="3670" spans="1:5" x14ac:dyDescent="0.25">
      <c r="A3670" s="17">
        <v>316</v>
      </c>
      <c r="B3670" s="31">
        <v>50086</v>
      </c>
      <c r="C3670" s="32">
        <f>INDEX('Input Data'!$B:$B,A3670)/2+IF(A3670&lt;&gt;A3671,100,0)</f>
        <v>1.5</v>
      </c>
      <c r="D3670" s="33">
        <f>INDEX('ZCB Curve - Payment Dates'!$D$2:$D$246,MATCH(B3670,'ZCB Curve - Payment Dates'!$A$2:$A$246,0))</f>
        <v>0.60546490876014969</v>
      </c>
      <c r="E3670" s="32">
        <f t="shared" si="57"/>
        <v>0.90819736314022448</v>
      </c>
    </row>
    <row r="3671" spans="1:5" x14ac:dyDescent="0.25">
      <c r="A3671" s="17">
        <v>316</v>
      </c>
      <c r="B3671" s="31">
        <v>50267</v>
      </c>
      <c r="C3671" s="32">
        <f>INDEX('Input Data'!$B:$B,A3671)/2+IF(A3671&lt;&gt;A3672,100,0)</f>
        <v>1.5</v>
      </c>
      <c r="D3671" s="33">
        <f>INDEX('ZCB Curve - Payment Dates'!$D$2:$D$246,MATCH(B3671,'ZCB Curve - Payment Dates'!$A$2:$A$246,0))</f>
        <v>0.58890683803346977</v>
      </c>
      <c r="E3671" s="32">
        <f t="shared" si="57"/>
        <v>0.8833602570502046</v>
      </c>
    </row>
    <row r="3672" spans="1:5" x14ac:dyDescent="0.25">
      <c r="A3672" s="17">
        <v>316</v>
      </c>
      <c r="B3672" s="31">
        <v>50451</v>
      </c>
      <c r="C3672" s="32">
        <f>INDEX('Input Data'!$B:$B,A3672)/2+IF(A3672&lt;&gt;A3673,100,0)</f>
        <v>1.5</v>
      </c>
      <c r="D3672" s="33">
        <f>INDEX('ZCB Curve - Payment Dates'!$D$2:$D$246,MATCH(B3672,'ZCB Curve - Payment Dates'!$A$2:$A$246,0))</f>
        <v>0.57228983695479263</v>
      </c>
      <c r="E3672" s="32">
        <f t="shared" si="57"/>
        <v>0.85843475543218895</v>
      </c>
    </row>
    <row r="3673" spans="1:5" x14ac:dyDescent="0.25">
      <c r="A3673" s="17">
        <v>316</v>
      </c>
      <c r="B3673" s="31">
        <v>50632</v>
      </c>
      <c r="C3673" s="32">
        <f>INDEX('Input Data'!$B:$B,A3673)/2+IF(A3673&lt;&gt;A3674,100,0)</f>
        <v>1.5</v>
      </c>
      <c r="D3673" s="33">
        <f>INDEX('ZCB Curve - Payment Dates'!$D$2:$D$246,MATCH(B3673,'ZCB Curve - Payment Dates'!$A$2:$A$246,0))</f>
        <v>0.55617795699202288</v>
      </c>
      <c r="E3673" s="32">
        <f t="shared" si="57"/>
        <v>0.83426693548803432</v>
      </c>
    </row>
    <row r="3674" spans="1:5" x14ac:dyDescent="0.25">
      <c r="A3674" s="17">
        <v>316</v>
      </c>
      <c r="B3674" s="31">
        <v>50816</v>
      </c>
      <c r="C3674" s="32">
        <f>INDEX('Input Data'!$B:$B,A3674)/2+IF(A3674&lt;&gt;A3675,100,0)</f>
        <v>1.5</v>
      </c>
      <c r="D3674" s="33">
        <f>INDEX('ZCB Curve - Payment Dates'!$D$2:$D$246,MATCH(B3674,'ZCB Curve - Payment Dates'!$A$2:$A$246,0))</f>
        <v>0.54006240951211237</v>
      </c>
      <c r="E3674" s="32">
        <f t="shared" si="57"/>
        <v>0.8100936142681685</v>
      </c>
    </row>
    <row r="3675" spans="1:5" x14ac:dyDescent="0.25">
      <c r="A3675" s="17">
        <v>316</v>
      </c>
      <c r="B3675" s="31">
        <v>50997</v>
      </c>
      <c r="C3675" s="32">
        <f>INDEX('Input Data'!$B:$B,A3675)/2+IF(A3675&lt;&gt;A3676,100,0)</f>
        <v>1.5</v>
      </c>
      <c r="D3675" s="33">
        <f>INDEX('ZCB Curve - Payment Dates'!$D$2:$D$246,MATCH(B3675,'ZCB Curve - Payment Dates'!$A$2:$A$246,0))</f>
        <v>0.52449040173194583</v>
      </c>
      <c r="E3675" s="32">
        <f t="shared" si="57"/>
        <v>0.78673560259791875</v>
      </c>
    </row>
    <row r="3676" spans="1:5" x14ac:dyDescent="0.25">
      <c r="A3676" s="17">
        <v>316</v>
      </c>
      <c r="B3676" s="31">
        <v>51181</v>
      </c>
      <c r="C3676" s="32">
        <f>INDEX('Input Data'!$B:$B,A3676)/2+IF(A3676&lt;&gt;A3677,100,0)</f>
        <v>1.5</v>
      </c>
      <c r="D3676" s="33">
        <f>INDEX('ZCB Curve - Payment Dates'!$D$2:$D$246,MATCH(B3676,'ZCB Curve - Payment Dates'!$A$2:$A$246,0))</f>
        <v>0.5089691698468306</v>
      </c>
      <c r="E3676" s="32">
        <f t="shared" si="57"/>
        <v>0.76345375477024591</v>
      </c>
    </row>
    <row r="3677" spans="1:5" x14ac:dyDescent="0.25">
      <c r="A3677" s="17">
        <v>316</v>
      </c>
      <c r="B3677" s="31">
        <v>51363</v>
      </c>
      <c r="C3677" s="32">
        <f>INDEX('Input Data'!$B:$B,A3677)/2+IF(A3677&lt;&gt;A3678,100,0)</f>
        <v>1.5</v>
      </c>
      <c r="D3677" s="33">
        <f>INDEX('ZCB Curve - Payment Dates'!$D$2:$D$246,MATCH(B3677,'ZCB Curve - Payment Dates'!$A$2:$A$246,0))</f>
        <v>0.49394036022330806</v>
      </c>
      <c r="E3677" s="32">
        <f t="shared" si="57"/>
        <v>0.74091054033496206</v>
      </c>
    </row>
    <row r="3678" spans="1:5" x14ac:dyDescent="0.25">
      <c r="A3678" s="17">
        <v>316</v>
      </c>
      <c r="B3678" s="31">
        <v>51547</v>
      </c>
      <c r="C3678" s="32">
        <f>INDEX('Input Data'!$B:$B,A3678)/2+IF(A3678&lt;&gt;A3679,100,0)</f>
        <v>1.5</v>
      </c>
      <c r="D3678" s="33">
        <f>INDEX('ZCB Curve - Payment Dates'!$D$2:$D$246,MATCH(B3678,'ZCB Curve - Payment Dates'!$A$2:$A$246,0))</f>
        <v>0.47909718957588998</v>
      </c>
      <c r="E3678" s="32">
        <f t="shared" si="57"/>
        <v>0.71864578436383497</v>
      </c>
    </row>
    <row r="3679" spans="1:5" x14ac:dyDescent="0.25">
      <c r="A3679" s="17">
        <v>316</v>
      </c>
      <c r="B3679" s="31">
        <v>51728</v>
      </c>
      <c r="C3679" s="32">
        <f>INDEX('Input Data'!$B:$B,A3679)/2+IF(A3679&lt;&gt;A3680,100,0)</f>
        <v>1.5</v>
      </c>
      <c r="D3679" s="33">
        <f>INDEX('ZCB Curve - Payment Dates'!$D$2:$D$246,MATCH(B3679,'ZCB Curve - Payment Dates'!$A$2:$A$246,0))</f>
        <v>0.46485329459616059</v>
      </c>
      <c r="E3679" s="32">
        <f t="shared" si="57"/>
        <v>0.69727994189424092</v>
      </c>
    </row>
    <row r="3680" spans="1:5" x14ac:dyDescent="0.25">
      <c r="A3680" s="17">
        <v>316</v>
      </c>
      <c r="B3680" s="31">
        <v>51912</v>
      </c>
      <c r="C3680" s="32">
        <f>INDEX('Input Data'!$B:$B,A3680)/2+IF(A3680&lt;&gt;A3681,100,0)</f>
        <v>1.5</v>
      </c>
      <c r="D3680" s="33">
        <f>INDEX('ZCB Curve - Payment Dates'!$D$2:$D$246,MATCH(B3680,'ZCB Curve - Payment Dates'!$A$2:$A$246,0))</f>
        <v>0.45075168915212815</v>
      </c>
      <c r="E3680" s="32">
        <f t="shared" si="57"/>
        <v>0.67612753372819223</v>
      </c>
    </row>
    <row r="3681" spans="1:5" x14ac:dyDescent="0.25">
      <c r="A3681" s="17">
        <v>316</v>
      </c>
      <c r="B3681" s="31">
        <v>52093</v>
      </c>
      <c r="C3681" s="32">
        <f>INDEX('Input Data'!$B:$B,A3681)/2+IF(A3681&lt;&gt;A3682,100,0)</f>
        <v>1.5</v>
      </c>
      <c r="D3681" s="33">
        <f>INDEX('ZCB Curve - Payment Dates'!$D$2:$D$246,MATCH(B3681,'ZCB Curve - Payment Dates'!$A$2:$A$246,0))</f>
        <v>0.43726259018094221</v>
      </c>
      <c r="E3681" s="32">
        <f t="shared" si="57"/>
        <v>0.65589388527141335</v>
      </c>
    </row>
    <row r="3682" spans="1:5" x14ac:dyDescent="0.25">
      <c r="A3682" s="17">
        <v>316</v>
      </c>
      <c r="B3682" s="31">
        <v>52277</v>
      </c>
      <c r="C3682" s="32">
        <f>INDEX('Input Data'!$B:$B,A3682)/2+IF(A3682&lt;&gt;A3683,100,0)</f>
        <v>1.5</v>
      </c>
      <c r="D3682" s="33">
        <f>INDEX('ZCB Curve - Payment Dates'!$D$2:$D$246,MATCH(B3682,'ZCB Curve - Payment Dates'!$A$2:$A$246,0))</f>
        <v>0.4239492285351204</v>
      </c>
      <c r="E3682" s="32">
        <f t="shared" si="57"/>
        <v>0.63592384280268055</v>
      </c>
    </row>
    <row r="3683" spans="1:5" x14ac:dyDescent="0.25">
      <c r="A3683" s="17">
        <v>316</v>
      </c>
      <c r="B3683" s="31">
        <v>52458</v>
      </c>
      <c r="C3683" s="32">
        <f>INDEX('Input Data'!$B:$B,A3683)/2+IF(A3683&lt;&gt;A3684,100,0)</f>
        <v>1.5</v>
      </c>
      <c r="D3683" s="33">
        <f>INDEX('ZCB Curve - Payment Dates'!$D$2:$D$246,MATCH(B3683,'ZCB Curve - Payment Dates'!$A$2:$A$246,0))</f>
        <v>0.4112516019468152</v>
      </c>
      <c r="E3683" s="32">
        <f t="shared" si="57"/>
        <v>0.61687740292022286</v>
      </c>
    </row>
    <row r="3684" spans="1:5" x14ac:dyDescent="0.25">
      <c r="A3684" s="17">
        <v>316</v>
      </c>
      <c r="B3684" s="31">
        <v>52642</v>
      </c>
      <c r="C3684" s="32">
        <f>INDEX('Input Data'!$B:$B,A3684)/2+IF(A3684&lt;&gt;A3685,100,0)</f>
        <v>1.5</v>
      </c>
      <c r="D3684" s="33">
        <f>INDEX('ZCB Curve - Payment Dates'!$D$2:$D$246,MATCH(B3684,'ZCB Curve - Payment Dates'!$A$2:$A$246,0))</f>
        <v>0.39875459879352759</v>
      </c>
      <c r="E3684" s="32">
        <f t="shared" si="57"/>
        <v>0.59813189819029144</v>
      </c>
    </row>
    <row r="3685" spans="1:5" x14ac:dyDescent="0.25">
      <c r="A3685" s="17">
        <v>316</v>
      </c>
      <c r="B3685" s="31">
        <v>52824</v>
      </c>
      <c r="C3685" s="32">
        <f>INDEX('Input Data'!$B:$B,A3685)/2+IF(A3685&lt;&gt;A3686,100,0)</f>
        <v>1.5</v>
      </c>
      <c r="D3685" s="33">
        <f>INDEX('ZCB Curve - Payment Dates'!$D$2:$D$246,MATCH(B3685,'ZCB Curve - Payment Dates'!$A$2:$A$246,0))</f>
        <v>0.38680384560622083</v>
      </c>
      <c r="E3685" s="32">
        <f t="shared" si="57"/>
        <v>0.58020576840933125</v>
      </c>
    </row>
    <row r="3686" spans="1:5" x14ac:dyDescent="0.25">
      <c r="A3686" s="17">
        <v>316</v>
      </c>
      <c r="B3686" s="31">
        <v>53008</v>
      </c>
      <c r="C3686" s="32">
        <f>INDEX('Input Data'!$B:$B,A3686)/2+IF(A3686&lt;&gt;A3687,100,0)</f>
        <v>1.5</v>
      </c>
      <c r="D3686" s="33">
        <f>INDEX('ZCB Curve - Payment Dates'!$D$2:$D$246,MATCH(B3686,'ZCB Curve - Payment Dates'!$A$2:$A$246,0))</f>
        <v>0.37513648791915083</v>
      </c>
      <c r="E3686" s="32">
        <f t="shared" si="57"/>
        <v>0.56270473187872627</v>
      </c>
    </row>
    <row r="3687" spans="1:5" x14ac:dyDescent="0.25">
      <c r="A3687" s="17">
        <v>316</v>
      </c>
      <c r="B3687" s="31">
        <v>53189</v>
      </c>
      <c r="C3687" s="32">
        <f>INDEX('Input Data'!$B:$B,A3687)/2+IF(A3687&lt;&gt;A3688,100,0)</f>
        <v>1.5</v>
      </c>
      <c r="D3687" s="33">
        <f>INDEX('ZCB Curve - Payment Dates'!$D$2:$D$246,MATCH(B3687,'ZCB Curve - Payment Dates'!$A$2:$A$246,0))</f>
        <v>0.36406533257851953</v>
      </c>
      <c r="E3687" s="32">
        <f t="shared" si="57"/>
        <v>0.54609799886777932</v>
      </c>
    </row>
    <row r="3688" spans="1:5" x14ac:dyDescent="0.25">
      <c r="A3688" s="17">
        <v>316</v>
      </c>
      <c r="B3688" s="31">
        <v>53373</v>
      </c>
      <c r="C3688" s="32">
        <f>INDEX('Input Data'!$B:$B,A3688)/2+IF(A3688&lt;&gt;A3689,100,0)</f>
        <v>1.5</v>
      </c>
      <c r="D3688" s="33">
        <f>INDEX('ZCB Curve - Payment Dates'!$D$2:$D$246,MATCH(B3688,'ZCB Curve - Payment Dates'!$A$2:$A$246,0))</f>
        <v>0.35322166892031259</v>
      </c>
      <c r="E3688" s="32">
        <f t="shared" si="57"/>
        <v>0.52983250338046894</v>
      </c>
    </row>
    <row r="3689" spans="1:5" x14ac:dyDescent="0.25">
      <c r="A3689" s="17">
        <v>316</v>
      </c>
      <c r="B3689" s="31">
        <v>53554</v>
      </c>
      <c r="C3689" s="32">
        <f>INDEX('Input Data'!$B:$B,A3689)/2+IF(A3689&lt;&gt;A3690,100,0)</f>
        <v>1.5</v>
      </c>
      <c r="D3689" s="33">
        <f>INDEX('ZCB Curve - Payment Dates'!$D$2:$D$246,MATCH(B3689,'ZCB Curve - Payment Dates'!$A$2:$A$246,0))</f>
        <v>0.34295436226619208</v>
      </c>
      <c r="E3689" s="32">
        <f t="shared" si="57"/>
        <v>0.51443154339928809</v>
      </c>
    </row>
    <row r="3690" spans="1:5" x14ac:dyDescent="0.25">
      <c r="A3690" s="17">
        <v>316</v>
      </c>
      <c r="B3690" s="31">
        <v>53738</v>
      </c>
      <c r="C3690" s="32">
        <f>INDEX('Input Data'!$B:$B,A3690)/2+IF(A3690&lt;&gt;A3691,100,0)</f>
        <v>101.5</v>
      </c>
      <c r="D3690" s="33">
        <f>INDEX('ZCB Curve - Payment Dates'!$D$2:$D$246,MATCH(B3690,'ZCB Curve - Payment Dates'!$A$2:$A$246,0))</f>
        <v>0.33291860450360972</v>
      </c>
      <c r="E3690" s="32">
        <f t="shared" si="57"/>
        <v>33.791238357116384</v>
      </c>
    </row>
    <row r="3691" spans="1:5" x14ac:dyDescent="0.25">
      <c r="A3691" s="17">
        <v>317</v>
      </c>
      <c r="B3691" s="31">
        <v>46341</v>
      </c>
      <c r="C3691" s="32">
        <f>INDEX('Input Data'!$B:$B,A3691)/2+IF(A3691&lt;&gt;A3692,100,0)</f>
        <v>1.5</v>
      </c>
      <c r="D3691" s="33">
        <f>INDEX('ZCB Curve - Payment Dates'!$D$2:$D$246,MATCH(B3691,'ZCB Curve - Payment Dates'!$A$2:$A$246,0))</f>
        <v>0.99245367292309439</v>
      </c>
      <c r="E3691" s="32">
        <f t="shared" si="57"/>
        <v>1.4886805093846416</v>
      </c>
    </row>
    <row r="3692" spans="1:5" x14ac:dyDescent="0.25">
      <c r="A3692" s="17">
        <v>317</v>
      </c>
      <c r="B3692" s="31">
        <v>46522</v>
      </c>
      <c r="C3692" s="32">
        <f>INDEX('Input Data'!$B:$B,A3692)/2+IF(A3692&lt;&gt;A3693,100,0)</f>
        <v>1.5</v>
      </c>
      <c r="D3692" s="33">
        <f>INDEX('ZCB Curve - Payment Dates'!$D$2:$D$246,MATCH(B3692,'ZCB Curve - Payment Dates'!$A$2:$A$246,0))</f>
        <v>0.97242179559611874</v>
      </c>
      <c r="E3692" s="32">
        <f t="shared" si="57"/>
        <v>1.4586326933941782</v>
      </c>
    </row>
    <row r="3693" spans="1:5" x14ac:dyDescent="0.25">
      <c r="A3693" s="17">
        <v>317</v>
      </c>
      <c r="B3693" s="31">
        <v>46706</v>
      </c>
      <c r="C3693" s="32">
        <f>INDEX('Input Data'!$B:$B,A3693)/2+IF(A3693&lt;&gt;A3694,100,0)</f>
        <v>1.5</v>
      </c>
      <c r="D3693" s="33">
        <f>INDEX('ZCB Curve - Payment Dates'!$D$2:$D$246,MATCH(B3693,'ZCB Curve - Payment Dates'!$A$2:$A$246,0))</f>
        <v>0.95121018311627348</v>
      </c>
      <c r="E3693" s="32">
        <f t="shared" si="57"/>
        <v>1.4268152746744103</v>
      </c>
    </row>
    <row r="3694" spans="1:5" x14ac:dyDescent="0.25">
      <c r="A3694" s="17">
        <v>317</v>
      </c>
      <c r="B3694" s="31">
        <v>46888</v>
      </c>
      <c r="C3694" s="32">
        <f>INDEX('Input Data'!$B:$B,A3694)/2+IF(A3694&lt;&gt;A3695,100,0)</f>
        <v>1.5</v>
      </c>
      <c r="D3694" s="33">
        <f>INDEX('ZCB Curve - Payment Dates'!$D$2:$D$246,MATCH(B3694,'ZCB Curve - Payment Dates'!$A$2:$A$246,0))</f>
        <v>0.93000025435083566</v>
      </c>
      <c r="E3694" s="32">
        <f t="shared" si="57"/>
        <v>1.3950003815262535</v>
      </c>
    </row>
    <row r="3695" spans="1:5" x14ac:dyDescent="0.25">
      <c r="A3695" s="17">
        <v>317</v>
      </c>
      <c r="B3695" s="31">
        <v>47072</v>
      </c>
      <c r="C3695" s="32">
        <f>INDEX('Input Data'!$B:$B,A3695)/2+IF(A3695&lt;&gt;A3696,100,0)</f>
        <v>1.5</v>
      </c>
      <c r="D3695" s="33">
        <f>INDEX('ZCB Curve - Payment Dates'!$D$2:$D$246,MATCH(B3695,'ZCB Curve - Payment Dates'!$A$2:$A$246,0))</f>
        <v>0.90870125167038918</v>
      </c>
      <c r="E3695" s="32">
        <f t="shared" si="57"/>
        <v>1.3630518775055838</v>
      </c>
    </row>
    <row r="3696" spans="1:5" x14ac:dyDescent="0.25">
      <c r="A3696" s="17">
        <v>317</v>
      </c>
      <c r="B3696" s="31">
        <v>47253</v>
      </c>
      <c r="C3696" s="32">
        <f>INDEX('Input Data'!$B:$B,A3696)/2+IF(A3696&lt;&gt;A3697,100,0)</f>
        <v>1.5</v>
      </c>
      <c r="D3696" s="33">
        <f>INDEX('ZCB Curve - Payment Dates'!$D$2:$D$246,MATCH(B3696,'ZCB Curve - Payment Dates'!$A$2:$A$246,0))</f>
        <v>0.88809325063638844</v>
      </c>
      <c r="E3696" s="32">
        <f t="shared" si="57"/>
        <v>1.3321398759545826</v>
      </c>
    </row>
    <row r="3697" spans="1:5" x14ac:dyDescent="0.25">
      <c r="A3697" s="17">
        <v>317</v>
      </c>
      <c r="B3697" s="31">
        <v>47437</v>
      </c>
      <c r="C3697" s="32">
        <f>INDEX('Input Data'!$B:$B,A3697)/2+IF(A3697&lt;&gt;A3698,100,0)</f>
        <v>1.5</v>
      </c>
      <c r="D3697" s="33">
        <f>INDEX('ZCB Curve - Payment Dates'!$D$2:$D$246,MATCH(B3697,'ZCB Curve - Payment Dates'!$A$2:$A$246,0))</f>
        <v>0.86758824089536279</v>
      </c>
      <c r="E3697" s="32">
        <f t="shared" si="57"/>
        <v>1.3013823613430442</v>
      </c>
    </row>
    <row r="3698" spans="1:5" x14ac:dyDescent="0.25">
      <c r="A3698" s="17">
        <v>317</v>
      </c>
      <c r="B3698" s="31">
        <v>47618</v>
      </c>
      <c r="C3698" s="32">
        <f>INDEX('Input Data'!$B:$B,A3698)/2+IF(A3698&lt;&gt;A3699,100,0)</f>
        <v>1.5</v>
      </c>
      <c r="D3698" s="33">
        <f>INDEX('ZCB Curve - Payment Dates'!$D$2:$D$246,MATCH(B3698,'ZCB Curve - Payment Dates'!$A$2:$A$246,0))</f>
        <v>0.84787416911783064</v>
      </c>
      <c r="E3698" s="32">
        <f t="shared" si="57"/>
        <v>1.2718112536767459</v>
      </c>
    </row>
    <row r="3699" spans="1:5" x14ac:dyDescent="0.25">
      <c r="A3699" s="17">
        <v>317</v>
      </c>
      <c r="B3699" s="31">
        <v>47802</v>
      </c>
      <c r="C3699" s="32">
        <f>INDEX('Input Data'!$B:$B,A3699)/2+IF(A3699&lt;&gt;A3700,100,0)</f>
        <v>1.5</v>
      </c>
      <c r="D3699" s="33">
        <f>INDEX('ZCB Curve - Payment Dates'!$D$2:$D$246,MATCH(B3699,'ZCB Curve - Payment Dates'!$A$2:$A$246,0))</f>
        <v>0.82827715028796722</v>
      </c>
      <c r="E3699" s="32">
        <f t="shared" si="57"/>
        <v>1.2424157254319508</v>
      </c>
    </row>
    <row r="3700" spans="1:5" x14ac:dyDescent="0.25">
      <c r="A3700" s="17">
        <v>317</v>
      </c>
      <c r="B3700" s="31">
        <v>47983</v>
      </c>
      <c r="C3700" s="32">
        <f>INDEX('Input Data'!$B:$B,A3700)/2+IF(A3700&lt;&gt;A3701,100,0)</f>
        <v>1.5</v>
      </c>
      <c r="D3700" s="33">
        <f>INDEX('ZCB Curve - Payment Dates'!$D$2:$D$246,MATCH(B3700,'ZCB Curve - Payment Dates'!$A$2:$A$246,0))</f>
        <v>0.80939067484273564</v>
      </c>
      <c r="E3700" s="32">
        <f t="shared" si="57"/>
        <v>1.2140860122641035</v>
      </c>
    </row>
    <row r="3701" spans="1:5" x14ac:dyDescent="0.25">
      <c r="A3701" s="17">
        <v>317</v>
      </c>
      <c r="B3701" s="31">
        <v>48167</v>
      </c>
      <c r="C3701" s="32">
        <f>INDEX('Input Data'!$B:$B,A3701)/2+IF(A3701&lt;&gt;A3702,100,0)</f>
        <v>1.5</v>
      </c>
      <c r="D3701" s="33">
        <f>INDEX('ZCB Curve - Payment Dates'!$D$2:$D$246,MATCH(B3701,'ZCB Curve - Payment Dates'!$A$2:$A$246,0))</f>
        <v>0.79053567842581962</v>
      </c>
      <c r="E3701" s="32">
        <f t="shared" si="57"/>
        <v>1.1858035176387294</v>
      </c>
    </row>
    <row r="3702" spans="1:5" x14ac:dyDescent="0.25">
      <c r="A3702" s="17">
        <v>317</v>
      </c>
      <c r="B3702" s="31">
        <v>48349</v>
      </c>
      <c r="C3702" s="32">
        <f>INDEX('Input Data'!$B:$B,A3702)/2+IF(A3702&lt;&gt;A3703,100,0)</f>
        <v>1.5</v>
      </c>
      <c r="D3702" s="33">
        <f>INDEX('ZCB Curve - Payment Dates'!$D$2:$D$246,MATCH(B3702,'ZCB Curve - Payment Dates'!$A$2:$A$246,0))</f>
        <v>0.77217305702007488</v>
      </c>
      <c r="E3702" s="32">
        <f t="shared" si="57"/>
        <v>1.1582595855301123</v>
      </c>
    </row>
    <row r="3703" spans="1:5" x14ac:dyDescent="0.25">
      <c r="A3703" s="17">
        <v>317</v>
      </c>
      <c r="B3703" s="31">
        <v>48533</v>
      </c>
      <c r="C3703" s="32">
        <f>INDEX('Input Data'!$B:$B,A3703)/2+IF(A3703&lt;&gt;A3704,100,0)</f>
        <v>1.5</v>
      </c>
      <c r="D3703" s="33">
        <f>INDEX('ZCB Curve - Payment Dates'!$D$2:$D$246,MATCH(B3703,'ZCB Curve - Payment Dates'!$A$2:$A$246,0))</f>
        <v>0.75384766072076514</v>
      </c>
      <c r="E3703" s="32">
        <f t="shared" si="57"/>
        <v>1.1307714910811477</v>
      </c>
    </row>
    <row r="3704" spans="1:5" x14ac:dyDescent="0.25">
      <c r="A3704" s="17">
        <v>317</v>
      </c>
      <c r="B3704" s="31">
        <v>48714</v>
      </c>
      <c r="C3704" s="32">
        <f>INDEX('Input Data'!$B:$B,A3704)/2+IF(A3704&lt;&gt;A3705,100,0)</f>
        <v>1.5</v>
      </c>
      <c r="D3704" s="33">
        <f>INDEX('ZCB Curve - Payment Dates'!$D$2:$D$246,MATCH(B3704,'ZCB Curve - Payment Dates'!$A$2:$A$246,0))</f>
        <v>0.73601491848746747</v>
      </c>
      <c r="E3704" s="32">
        <f t="shared" si="57"/>
        <v>1.1040223777312013</v>
      </c>
    </row>
    <row r="3705" spans="1:5" x14ac:dyDescent="0.25">
      <c r="A3705" s="17">
        <v>317</v>
      </c>
      <c r="B3705" s="31">
        <v>48898</v>
      </c>
      <c r="C3705" s="32">
        <f>INDEX('Input Data'!$B:$B,A3705)/2+IF(A3705&lt;&gt;A3706,100,0)</f>
        <v>1.5</v>
      </c>
      <c r="D3705" s="33">
        <f>INDEX('ZCB Curve - Payment Dates'!$D$2:$D$246,MATCH(B3705,'ZCB Curve - Payment Dates'!$A$2:$A$246,0))</f>
        <v>0.71805338140354003</v>
      </c>
      <c r="E3705" s="32">
        <f t="shared" si="57"/>
        <v>1.07708007210531</v>
      </c>
    </row>
    <row r="3706" spans="1:5" x14ac:dyDescent="0.25">
      <c r="A3706" s="17">
        <v>317</v>
      </c>
      <c r="B3706" s="31">
        <v>49079</v>
      </c>
      <c r="C3706" s="32">
        <f>INDEX('Input Data'!$B:$B,A3706)/2+IF(A3706&lt;&gt;A3707,100,0)</f>
        <v>1.5</v>
      </c>
      <c r="D3706" s="33">
        <f>INDEX('ZCB Curve - Payment Dates'!$D$2:$D$246,MATCH(B3706,'ZCB Curve - Payment Dates'!$A$2:$A$246,0))</f>
        <v>0.70052630492471468</v>
      </c>
      <c r="E3706" s="32">
        <f t="shared" si="57"/>
        <v>1.050789457387072</v>
      </c>
    </row>
    <row r="3707" spans="1:5" x14ac:dyDescent="0.25">
      <c r="A3707" s="17">
        <v>317</v>
      </c>
      <c r="B3707" s="31">
        <v>49263</v>
      </c>
      <c r="C3707" s="32">
        <f>INDEX('Input Data'!$B:$B,A3707)/2+IF(A3707&lt;&gt;A3708,100,0)</f>
        <v>1.5</v>
      </c>
      <c r="D3707" s="33">
        <f>INDEX('ZCB Curve - Payment Dates'!$D$2:$D$246,MATCH(B3707,'ZCB Curve - Payment Dates'!$A$2:$A$246,0))</f>
        <v>0.68284221202539863</v>
      </c>
      <c r="E3707" s="32">
        <f t="shared" si="57"/>
        <v>1.024263318038098</v>
      </c>
    </row>
    <row r="3708" spans="1:5" x14ac:dyDescent="0.25">
      <c r="A3708" s="17">
        <v>317</v>
      </c>
      <c r="B3708" s="31">
        <v>49444</v>
      </c>
      <c r="C3708" s="32">
        <f>INDEX('Input Data'!$B:$B,A3708)/2+IF(A3708&lt;&gt;A3709,100,0)</f>
        <v>1.5</v>
      </c>
      <c r="D3708" s="33">
        <f>INDEX('ZCB Curve - Payment Dates'!$D$2:$D$246,MATCH(B3708,'ZCB Curve - Payment Dates'!$A$2:$A$246,0))</f>
        <v>0.66557347415228496</v>
      </c>
      <c r="E3708" s="32">
        <f t="shared" si="57"/>
        <v>0.99836021122842744</v>
      </c>
    </row>
    <row r="3709" spans="1:5" x14ac:dyDescent="0.25">
      <c r="A3709" s="17">
        <v>317</v>
      </c>
      <c r="B3709" s="31">
        <v>49628</v>
      </c>
      <c r="C3709" s="32">
        <f>INDEX('Input Data'!$B:$B,A3709)/2+IF(A3709&lt;&gt;A3710,100,0)</f>
        <v>1.5</v>
      </c>
      <c r="D3709" s="33">
        <f>INDEX('ZCB Curve - Payment Dates'!$D$2:$D$246,MATCH(B3709,'ZCB Curve - Payment Dates'!$A$2:$A$246,0))</f>
        <v>0.64815361918127823</v>
      </c>
      <c r="E3709" s="32">
        <f t="shared" si="57"/>
        <v>0.97223042877191734</v>
      </c>
    </row>
    <row r="3710" spans="1:5" x14ac:dyDescent="0.25">
      <c r="A3710" s="17">
        <v>317</v>
      </c>
      <c r="B3710" s="31">
        <v>49810</v>
      </c>
      <c r="C3710" s="32">
        <f>INDEX('Input Data'!$B:$B,A3710)/2+IF(A3710&lt;&gt;A3711,100,0)</f>
        <v>1.5</v>
      </c>
      <c r="D3710" s="33">
        <f>INDEX('ZCB Curve - Payment Dates'!$D$2:$D$246,MATCH(B3710,'ZCB Curve - Payment Dates'!$A$2:$A$246,0))</f>
        <v>0.63106457078577471</v>
      </c>
      <c r="E3710" s="32">
        <f t="shared" si="57"/>
        <v>0.94659685617866207</v>
      </c>
    </row>
    <row r="3711" spans="1:5" x14ac:dyDescent="0.25">
      <c r="A3711" s="17">
        <v>317</v>
      </c>
      <c r="B3711" s="31">
        <v>49994</v>
      </c>
      <c r="C3711" s="32">
        <f>INDEX('Input Data'!$B:$B,A3711)/2+IF(A3711&lt;&gt;A3712,100,0)</f>
        <v>1.5</v>
      </c>
      <c r="D3711" s="33">
        <f>INDEX('ZCB Curve - Payment Dates'!$D$2:$D$246,MATCH(B3711,'ZCB Curve - Payment Dates'!$A$2:$A$246,0))</f>
        <v>0.61395227923184648</v>
      </c>
      <c r="E3711" s="32">
        <f t="shared" si="57"/>
        <v>0.92092841884776977</v>
      </c>
    </row>
    <row r="3712" spans="1:5" x14ac:dyDescent="0.25">
      <c r="A3712" s="17">
        <v>317</v>
      </c>
      <c r="B3712" s="31">
        <v>50175</v>
      </c>
      <c r="C3712" s="32">
        <f>INDEX('Input Data'!$B:$B,A3712)/2+IF(A3712&lt;&gt;A3713,100,0)</f>
        <v>1.5</v>
      </c>
      <c r="D3712" s="33">
        <f>INDEX('ZCB Curve - Payment Dates'!$D$2:$D$246,MATCH(B3712,'ZCB Curve - Payment Dates'!$A$2:$A$246,0))</f>
        <v>0.5972963482314616</v>
      </c>
      <c r="E3712" s="32">
        <f t="shared" si="57"/>
        <v>0.89594452234719246</v>
      </c>
    </row>
    <row r="3713" spans="1:5" x14ac:dyDescent="0.25">
      <c r="A3713" s="17">
        <v>317</v>
      </c>
      <c r="B3713" s="31">
        <v>50359</v>
      </c>
      <c r="C3713" s="32">
        <f>INDEX('Input Data'!$B:$B,A3713)/2+IF(A3713&lt;&gt;A3714,100,0)</f>
        <v>1.5</v>
      </c>
      <c r="D3713" s="33">
        <f>INDEX('ZCB Curve - Payment Dates'!$D$2:$D$246,MATCH(B3713,'ZCB Curve - Payment Dates'!$A$2:$A$246,0))</f>
        <v>0.58056812006155756</v>
      </c>
      <c r="E3713" s="32">
        <f t="shared" si="57"/>
        <v>0.87085218009233634</v>
      </c>
    </row>
    <row r="3714" spans="1:5" x14ac:dyDescent="0.25">
      <c r="A3714" s="17">
        <v>317</v>
      </c>
      <c r="B3714" s="31">
        <v>50540</v>
      </c>
      <c r="C3714" s="32">
        <f>INDEX('Input Data'!$B:$B,A3714)/2+IF(A3714&lt;&gt;A3715,100,0)</f>
        <v>1.5</v>
      </c>
      <c r="D3714" s="33">
        <f>INDEX('ZCB Curve - Payment Dates'!$D$2:$D$246,MATCH(B3714,'ZCB Curve - Payment Dates'!$A$2:$A$246,0))</f>
        <v>0.56433491315969797</v>
      </c>
      <c r="E3714" s="32">
        <f t="shared" ref="E3714:E3777" si="58">C3714*D3714</f>
        <v>0.84650236973954696</v>
      </c>
    </row>
    <row r="3715" spans="1:5" x14ac:dyDescent="0.25">
      <c r="A3715" s="17">
        <v>317</v>
      </c>
      <c r="B3715" s="31">
        <v>50724</v>
      </c>
      <c r="C3715" s="32">
        <f>INDEX('Input Data'!$B:$B,A3715)/2+IF(A3715&lt;&gt;A3716,100,0)</f>
        <v>1.5</v>
      </c>
      <c r="D3715" s="33">
        <f>INDEX('ZCB Curve - Payment Dates'!$D$2:$D$246,MATCH(B3715,'ZCB Curve - Payment Dates'!$A$2:$A$246,0))</f>
        <v>0.54808398139057424</v>
      </c>
      <c r="E3715" s="32">
        <f t="shared" si="58"/>
        <v>0.82212597208586136</v>
      </c>
    </row>
    <row r="3716" spans="1:5" x14ac:dyDescent="0.25">
      <c r="A3716" s="17">
        <v>317</v>
      </c>
      <c r="B3716" s="31">
        <v>50905</v>
      </c>
      <c r="C3716" s="32">
        <f>INDEX('Input Data'!$B:$B,A3716)/2+IF(A3716&lt;&gt;A3717,100,0)</f>
        <v>1.5</v>
      </c>
      <c r="D3716" s="33">
        <f>INDEX('ZCB Curve - Payment Dates'!$D$2:$D$246,MATCH(B3716,'ZCB Curve - Payment Dates'!$A$2:$A$246,0))</f>
        <v>0.5323673246083096</v>
      </c>
      <c r="E3716" s="32">
        <f t="shared" si="58"/>
        <v>0.7985509869124644</v>
      </c>
    </row>
    <row r="3717" spans="1:5" x14ac:dyDescent="0.25">
      <c r="A3717" s="17">
        <v>317</v>
      </c>
      <c r="B3717" s="31">
        <v>51089</v>
      </c>
      <c r="C3717" s="32">
        <f>INDEX('Input Data'!$B:$B,A3717)/2+IF(A3717&lt;&gt;A3718,100,0)</f>
        <v>1.5</v>
      </c>
      <c r="D3717" s="33">
        <f>INDEX('ZCB Curve - Payment Dates'!$D$2:$D$246,MATCH(B3717,'ZCB Curve - Payment Dates'!$A$2:$A$246,0))</f>
        <v>0.51668806431098135</v>
      </c>
      <c r="E3717" s="32">
        <f t="shared" si="58"/>
        <v>0.77503209646647209</v>
      </c>
    </row>
    <row r="3718" spans="1:5" x14ac:dyDescent="0.25">
      <c r="A3718" s="17">
        <v>317</v>
      </c>
      <c r="B3718" s="31">
        <v>51271</v>
      </c>
      <c r="C3718" s="32">
        <f>INDEX('Input Data'!$B:$B,A3718)/2+IF(A3718&lt;&gt;A3719,100,0)</f>
        <v>1.5</v>
      </c>
      <c r="D3718" s="33">
        <f>INDEX('ZCB Curve - Payment Dates'!$D$2:$D$246,MATCH(B3718,'ZCB Curve - Payment Dates'!$A$2:$A$246,0))</f>
        <v>0.50149590020417278</v>
      </c>
      <c r="E3718" s="32">
        <f t="shared" si="58"/>
        <v>0.75224385030625918</v>
      </c>
    </row>
    <row r="3719" spans="1:5" x14ac:dyDescent="0.25">
      <c r="A3719" s="17">
        <v>317</v>
      </c>
      <c r="B3719" s="31">
        <v>51455</v>
      </c>
      <c r="C3719" s="32">
        <f>INDEX('Input Data'!$B:$B,A3719)/2+IF(A3719&lt;&gt;A3720,100,0)</f>
        <v>1.5</v>
      </c>
      <c r="D3719" s="33">
        <f>INDEX('ZCB Curve - Payment Dates'!$D$2:$D$246,MATCH(B3719,'ZCB Curve - Payment Dates'!$A$2:$A$246,0))</f>
        <v>0.48647538074270091</v>
      </c>
      <c r="E3719" s="32">
        <f t="shared" si="58"/>
        <v>0.72971307111405137</v>
      </c>
    </row>
    <row r="3720" spans="1:5" x14ac:dyDescent="0.25">
      <c r="A3720" s="17">
        <v>317</v>
      </c>
      <c r="B3720" s="31">
        <v>51636</v>
      </c>
      <c r="C3720" s="32">
        <f>INDEX('Input Data'!$B:$B,A3720)/2+IF(A3720&lt;&gt;A3721,100,0)</f>
        <v>1.5</v>
      </c>
      <c r="D3720" s="33">
        <f>INDEX('ZCB Curve - Payment Dates'!$D$2:$D$246,MATCH(B3720,'ZCB Curve - Payment Dates'!$A$2:$A$246,0))</f>
        <v>0.47204918703719451</v>
      </c>
      <c r="E3720" s="32">
        <f t="shared" si="58"/>
        <v>0.70807378055579173</v>
      </c>
    </row>
    <row r="3721" spans="1:5" x14ac:dyDescent="0.25">
      <c r="A3721" s="17">
        <v>317</v>
      </c>
      <c r="B3721" s="31">
        <v>51820</v>
      </c>
      <c r="C3721" s="32">
        <f>INDEX('Input Data'!$B:$B,A3721)/2+IF(A3721&lt;&gt;A3722,100,0)</f>
        <v>1.5</v>
      </c>
      <c r="D3721" s="33">
        <f>INDEX('ZCB Curve - Payment Dates'!$D$2:$D$246,MATCH(B3721,'ZCB Curve - Payment Dates'!$A$2:$A$246,0))</f>
        <v>0.45775548669345245</v>
      </c>
      <c r="E3721" s="32">
        <f t="shared" si="58"/>
        <v>0.68663323004017873</v>
      </c>
    </row>
    <row r="3722" spans="1:5" x14ac:dyDescent="0.25">
      <c r="A3722" s="17">
        <v>317</v>
      </c>
      <c r="B3722" s="31">
        <v>52001</v>
      </c>
      <c r="C3722" s="32">
        <f>INDEX('Input Data'!$B:$B,A3722)/2+IF(A3722&lt;&gt;A3723,100,0)</f>
        <v>1.5</v>
      </c>
      <c r="D3722" s="33">
        <f>INDEX('ZCB Curve - Payment Dates'!$D$2:$D$246,MATCH(B3722,'ZCB Curve - Payment Dates'!$A$2:$A$246,0))</f>
        <v>0.44407192118484318</v>
      </c>
      <c r="E3722" s="32">
        <f t="shared" si="58"/>
        <v>0.66610788177726477</v>
      </c>
    </row>
    <row r="3723" spans="1:5" x14ac:dyDescent="0.25">
      <c r="A3723" s="17">
        <v>317</v>
      </c>
      <c r="B3723" s="31">
        <v>52185</v>
      </c>
      <c r="C3723" s="32">
        <f>INDEX('Input Data'!$B:$B,A3723)/2+IF(A3723&lt;&gt;A3724,100,0)</f>
        <v>1.5</v>
      </c>
      <c r="D3723" s="33">
        <f>INDEX('ZCB Curve - Payment Dates'!$D$2:$D$246,MATCH(B3723,'ZCB Curve - Payment Dates'!$A$2:$A$246,0))</f>
        <v>0.43055647946672393</v>
      </c>
      <c r="E3723" s="32">
        <f t="shared" si="58"/>
        <v>0.64583471920008595</v>
      </c>
    </row>
    <row r="3724" spans="1:5" x14ac:dyDescent="0.25">
      <c r="A3724" s="17">
        <v>317</v>
      </c>
      <c r="B3724" s="31">
        <v>52366</v>
      </c>
      <c r="C3724" s="32">
        <f>INDEX('Input Data'!$B:$B,A3724)/2+IF(A3724&lt;&gt;A3725,100,0)</f>
        <v>1.5</v>
      </c>
      <c r="D3724" s="33">
        <f>INDEX('ZCB Curve - Payment Dates'!$D$2:$D$246,MATCH(B3724,'ZCB Curve - Payment Dates'!$A$2:$A$246,0))</f>
        <v>0.41765686229470528</v>
      </c>
      <c r="E3724" s="32">
        <f t="shared" si="58"/>
        <v>0.62648529344205794</v>
      </c>
    </row>
    <row r="3725" spans="1:5" x14ac:dyDescent="0.25">
      <c r="A3725" s="17">
        <v>317</v>
      </c>
      <c r="B3725" s="31">
        <v>52550</v>
      </c>
      <c r="C3725" s="32">
        <f>INDEX('Input Data'!$B:$B,A3725)/2+IF(A3725&lt;&gt;A3726,100,0)</f>
        <v>1.5</v>
      </c>
      <c r="D3725" s="33">
        <f>INDEX('ZCB Curve - Payment Dates'!$D$2:$D$246,MATCH(B3725,'ZCB Curve - Payment Dates'!$A$2:$A$246,0))</f>
        <v>0.40495237741553414</v>
      </c>
      <c r="E3725" s="32">
        <f t="shared" si="58"/>
        <v>0.60742856612330121</v>
      </c>
    </row>
    <row r="3726" spans="1:5" x14ac:dyDescent="0.25">
      <c r="A3726" s="17">
        <v>317</v>
      </c>
      <c r="B3726" s="31">
        <v>52732</v>
      </c>
      <c r="C3726" s="32">
        <f>INDEX('Input Data'!$B:$B,A3726)/2+IF(A3726&lt;&gt;A3727,100,0)</f>
        <v>1.5</v>
      </c>
      <c r="D3726" s="33">
        <f>INDEX('ZCB Curve - Payment Dates'!$D$2:$D$246,MATCH(B3726,'ZCB Curve - Payment Dates'!$A$2:$A$246,0))</f>
        <v>0.3927952920896523</v>
      </c>
      <c r="E3726" s="32">
        <f t="shared" si="58"/>
        <v>0.58919293813447848</v>
      </c>
    </row>
    <row r="3727" spans="1:5" x14ac:dyDescent="0.25">
      <c r="A3727" s="17">
        <v>317</v>
      </c>
      <c r="B3727" s="31">
        <v>52916</v>
      </c>
      <c r="C3727" s="32">
        <f>INDEX('Input Data'!$B:$B,A3727)/2+IF(A3727&lt;&gt;A3728,100,0)</f>
        <v>1.5</v>
      </c>
      <c r="D3727" s="33">
        <f>INDEX('ZCB Curve - Payment Dates'!$D$2:$D$246,MATCH(B3727,'ZCB Curve - Payment Dates'!$A$2:$A$246,0))</f>
        <v>0.38091684361752687</v>
      </c>
      <c r="E3727" s="32">
        <f t="shared" si="58"/>
        <v>0.57137526542629025</v>
      </c>
    </row>
    <row r="3728" spans="1:5" x14ac:dyDescent="0.25">
      <c r="A3728" s="17">
        <v>317</v>
      </c>
      <c r="B3728" s="31">
        <v>53097</v>
      </c>
      <c r="C3728" s="32">
        <f>INDEX('Input Data'!$B:$B,A3728)/2+IF(A3728&lt;&gt;A3729,100,0)</f>
        <v>1.5</v>
      </c>
      <c r="D3728" s="33">
        <f>INDEX('ZCB Curve - Payment Dates'!$D$2:$D$246,MATCH(B3728,'ZCB Curve - Payment Dates'!$A$2:$A$246,0))</f>
        <v>0.36964331092783359</v>
      </c>
      <c r="E3728" s="32">
        <f t="shared" si="58"/>
        <v>0.55446496639175036</v>
      </c>
    </row>
    <row r="3729" spans="1:5" x14ac:dyDescent="0.25">
      <c r="A3729" s="17">
        <v>317</v>
      </c>
      <c r="B3729" s="31">
        <v>53281</v>
      </c>
      <c r="C3729" s="32">
        <f>INDEX('Input Data'!$B:$B,A3729)/2+IF(A3729&lt;&gt;A3730,100,0)</f>
        <v>1.5</v>
      </c>
      <c r="D3729" s="33">
        <f>INDEX('ZCB Curve - Payment Dates'!$D$2:$D$246,MATCH(B3729,'ZCB Curve - Payment Dates'!$A$2:$A$246,0))</f>
        <v>0.35859090372935404</v>
      </c>
      <c r="E3729" s="32">
        <f t="shared" si="58"/>
        <v>0.53788635559403108</v>
      </c>
    </row>
    <row r="3730" spans="1:5" x14ac:dyDescent="0.25">
      <c r="A3730" s="17">
        <v>317</v>
      </c>
      <c r="B3730" s="31">
        <v>53462</v>
      </c>
      <c r="C3730" s="32">
        <f>INDEX('Input Data'!$B:$B,A3730)/2+IF(A3730&lt;&gt;A3731,100,0)</f>
        <v>1.5</v>
      </c>
      <c r="D3730" s="33">
        <f>INDEX('ZCB Curve - Payment Dates'!$D$2:$D$246,MATCH(B3730,'ZCB Curve - Payment Dates'!$A$2:$A$246,0))</f>
        <v>0.34812465854380154</v>
      </c>
      <c r="E3730" s="32">
        <f t="shared" si="58"/>
        <v>0.52218698781570227</v>
      </c>
    </row>
    <row r="3731" spans="1:5" x14ac:dyDescent="0.25">
      <c r="A3731" s="17">
        <v>317</v>
      </c>
      <c r="B3731" s="31">
        <v>53646</v>
      </c>
      <c r="C3731" s="32">
        <f>INDEX('Input Data'!$B:$B,A3731)/2+IF(A3731&lt;&gt;A3732,100,0)</f>
        <v>1.5</v>
      </c>
      <c r="D3731" s="33">
        <f>INDEX('ZCB Curve - Payment Dates'!$D$2:$D$246,MATCH(B3731,'ZCB Curve - Payment Dates'!$A$2:$A$246,0))</f>
        <v>0.33788528510382887</v>
      </c>
      <c r="E3731" s="32">
        <f t="shared" si="58"/>
        <v>0.50682792765574325</v>
      </c>
    </row>
    <row r="3732" spans="1:5" x14ac:dyDescent="0.25">
      <c r="A3732" s="17">
        <v>317</v>
      </c>
      <c r="B3732" s="31">
        <v>53827</v>
      </c>
      <c r="C3732" s="32">
        <f>INDEX('Input Data'!$B:$B,A3732)/2+IF(A3732&lt;&gt;A3733,100,0)</f>
        <v>101.5</v>
      </c>
      <c r="D3732" s="33">
        <f>INDEX('ZCB Curve - Payment Dates'!$D$2:$D$246,MATCH(B3732,'ZCB Curve - Payment Dates'!$A$2:$A$246,0))</f>
        <v>0.32820827061914198</v>
      </c>
      <c r="E3732" s="32">
        <f t="shared" si="58"/>
        <v>33.313139467842909</v>
      </c>
    </row>
    <row r="3733" spans="1:5" x14ac:dyDescent="0.25">
      <c r="A3733" s="17">
        <v>318</v>
      </c>
      <c r="B3733" s="31">
        <v>46433</v>
      </c>
      <c r="C3733" s="32">
        <f>INDEX('Input Data'!$B:$B,A3733)/2+IF(A3733&lt;&gt;A3734,100,0)</f>
        <v>1.375</v>
      </c>
      <c r="D3733" s="33">
        <f>INDEX('ZCB Curve - Payment Dates'!$D$2:$D$246,MATCH(B3733,'ZCB Curve - Payment Dates'!$A$2:$A$246,0))</f>
        <v>0.98242671792446301</v>
      </c>
      <c r="E3733" s="32">
        <f t="shared" si="58"/>
        <v>1.3508367371461367</v>
      </c>
    </row>
    <row r="3734" spans="1:5" x14ac:dyDescent="0.25">
      <c r="A3734" s="17">
        <v>318</v>
      </c>
      <c r="B3734" s="31">
        <v>46614</v>
      </c>
      <c r="C3734" s="32">
        <f>INDEX('Input Data'!$B:$B,A3734)/2+IF(A3734&lt;&gt;A3735,100,0)</f>
        <v>1.375</v>
      </c>
      <c r="D3734" s="33">
        <f>INDEX('ZCB Curve - Payment Dates'!$D$2:$D$246,MATCH(B3734,'ZCB Curve - Payment Dates'!$A$2:$A$246,0))</f>
        <v>0.96187948164765535</v>
      </c>
      <c r="E3734" s="32">
        <f t="shared" si="58"/>
        <v>1.322584287265526</v>
      </c>
    </row>
    <row r="3735" spans="1:5" x14ac:dyDescent="0.25">
      <c r="A3735" s="17">
        <v>318</v>
      </c>
      <c r="B3735" s="31">
        <v>46798</v>
      </c>
      <c r="C3735" s="32">
        <f>INDEX('Input Data'!$B:$B,A3735)/2+IF(A3735&lt;&gt;A3736,100,0)</f>
        <v>1.375</v>
      </c>
      <c r="D3735" s="33">
        <f>INDEX('ZCB Curve - Payment Dates'!$D$2:$D$246,MATCH(B3735,'ZCB Curve - Payment Dates'!$A$2:$A$246,0))</f>
        <v>0.94049096132648802</v>
      </c>
      <c r="E3735" s="32">
        <f t="shared" si="58"/>
        <v>1.293175071823921</v>
      </c>
    </row>
    <row r="3736" spans="1:5" x14ac:dyDescent="0.25">
      <c r="A3736" s="17">
        <v>318</v>
      </c>
      <c r="B3736" s="31">
        <v>46980</v>
      </c>
      <c r="C3736" s="32">
        <f>INDEX('Input Data'!$B:$B,A3736)/2+IF(A3736&lt;&gt;A3737,100,0)</f>
        <v>1.375</v>
      </c>
      <c r="D3736" s="33">
        <f>INDEX('ZCB Curve - Payment Dates'!$D$2:$D$246,MATCH(B3736,'ZCB Curve - Payment Dates'!$A$2:$A$246,0))</f>
        <v>0.91931844130238327</v>
      </c>
      <c r="E3736" s="32">
        <f t="shared" si="58"/>
        <v>1.264062856790777</v>
      </c>
    </row>
    <row r="3737" spans="1:5" x14ac:dyDescent="0.25">
      <c r="A3737" s="17">
        <v>318</v>
      </c>
      <c r="B3737" s="31">
        <v>47164</v>
      </c>
      <c r="C3737" s="32">
        <f>INDEX('Input Data'!$B:$B,A3737)/2+IF(A3737&lt;&gt;A3738,100,0)</f>
        <v>1.375</v>
      </c>
      <c r="D3737" s="33">
        <f>INDEX('ZCB Curve - Payment Dates'!$D$2:$D$246,MATCH(B3737,'ZCB Curve - Payment Dates'!$A$2:$A$246,0))</f>
        <v>0.89817430058086534</v>
      </c>
      <c r="E3737" s="32">
        <f t="shared" si="58"/>
        <v>1.2349896632986899</v>
      </c>
    </row>
    <row r="3738" spans="1:5" x14ac:dyDescent="0.25">
      <c r="A3738" s="17">
        <v>318</v>
      </c>
      <c r="B3738" s="31">
        <v>47345</v>
      </c>
      <c r="C3738" s="32">
        <f>INDEX('Input Data'!$B:$B,A3738)/2+IF(A3738&lt;&gt;A3739,100,0)</f>
        <v>1.375</v>
      </c>
      <c r="D3738" s="33">
        <f>INDEX('ZCB Curve - Payment Dates'!$D$2:$D$246,MATCH(B3738,'ZCB Curve - Payment Dates'!$A$2:$A$246,0))</f>
        <v>0.87778421628860481</v>
      </c>
      <c r="E3738" s="32">
        <f t="shared" si="58"/>
        <v>1.2069532973968315</v>
      </c>
    </row>
    <row r="3739" spans="1:5" x14ac:dyDescent="0.25">
      <c r="A3739" s="17">
        <v>318</v>
      </c>
      <c r="B3739" s="31">
        <v>47529</v>
      </c>
      <c r="C3739" s="32">
        <f>INDEX('Input Data'!$B:$B,A3739)/2+IF(A3739&lt;&gt;A3740,100,0)</f>
        <v>1.375</v>
      </c>
      <c r="D3739" s="33">
        <f>INDEX('ZCB Curve - Payment Dates'!$D$2:$D$246,MATCH(B3739,'ZCB Curve - Payment Dates'!$A$2:$A$246,0))</f>
        <v>0.85751015570959666</v>
      </c>
      <c r="E3739" s="32">
        <f t="shared" si="58"/>
        <v>1.1790764641006954</v>
      </c>
    </row>
    <row r="3740" spans="1:5" x14ac:dyDescent="0.25">
      <c r="A3740" s="17">
        <v>318</v>
      </c>
      <c r="B3740" s="31">
        <v>47710</v>
      </c>
      <c r="C3740" s="32">
        <f>INDEX('Input Data'!$B:$B,A3740)/2+IF(A3740&lt;&gt;A3741,100,0)</f>
        <v>1.375</v>
      </c>
      <c r="D3740" s="33">
        <f>INDEX('ZCB Curve - Payment Dates'!$D$2:$D$246,MATCH(B3740,'ZCB Curve - Payment Dates'!$A$2:$A$246,0))</f>
        <v>0.83802423748211174</v>
      </c>
      <c r="E3740" s="32">
        <f t="shared" si="58"/>
        <v>1.1522833265379036</v>
      </c>
    </row>
    <row r="3741" spans="1:5" x14ac:dyDescent="0.25">
      <c r="A3741" s="17">
        <v>318</v>
      </c>
      <c r="B3741" s="31">
        <v>47894</v>
      </c>
      <c r="C3741" s="32">
        <f>INDEX('Input Data'!$B:$B,A3741)/2+IF(A3741&lt;&gt;A3742,100,0)</f>
        <v>1.375</v>
      </c>
      <c r="D3741" s="33">
        <f>INDEX('ZCB Curve - Payment Dates'!$D$2:$D$246,MATCH(B3741,'ZCB Curve - Payment Dates'!$A$2:$A$246,0))</f>
        <v>0.8186305474741673</v>
      </c>
      <c r="E3741" s="32">
        <f t="shared" si="58"/>
        <v>1.1256170027769801</v>
      </c>
    </row>
    <row r="3742" spans="1:5" x14ac:dyDescent="0.25">
      <c r="A3742" s="17">
        <v>318</v>
      </c>
      <c r="B3742" s="31">
        <v>48075</v>
      </c>
      <c r="C3742" s="32">
        <f>INDEX('Input Data'!$B:$B,A3742)/2+IF(A3742&lt;&gt;A3743,100,0)</f>
        <v>1.375</v>
      </c>
      <c r="D3742" s="33">
        <f>INDEX('ZCB Curve - Payment Dates'!$D$2:$D$246,MATCH(B3742,'ZCB Curve - Payment Dates'!$A$2:$A$246,0))</f>
        <v>0.7999252334775927</v>
      </c>
      <c r="E3742" s="32">
        <f t="shared" si="58"/>
        <v>1.0998971960316899</v>
      </c>
    </row>
    <row r="3743" spans="1:5" x14ac:dyDescent="0.25">
      <c r="A3743" s="17">
        <v>318</v>
      </c>
      <c r="B3743" s="31">
        <v>48259</v>
      </c>
      <c r="C3743" s="32">
        <f>INDEX('Input Data'!$B:$B,A3743)/2+IF(A3743&lt;&gt;A3744,100,0)</f>
        <v>1.375</v>
      </c>
      <c r="D3743" s="33">
        <f>INDEX('ZCB Curve - Payment Dates'!$D$2:$D$246,MATCH(B3743,'ZCB Curve - Payment Dates'!$A$2:$A$246,0))</f>
        <v>0.78121887027612602</v>
      </c>
      <c r="E3743" s="32">
        <f t="shared" si="58"/>
        <v>1.0741759466296732</v>
      </c>
    </row>
    <row r="3744" spans="1:5" x14ac:dyDescent="0.25">
      <c r="A3744" s="17">
        <v>318</v>
      </c>
      <c r="B3744" s="31">
        <v>48441</v>
      </c>
      <c r="C3744" s="32">
        <f>INDEX('Input Data'!$B:$B,A3744)/2+IF(A3744&lt;&gt;A3745,100,0)</f>
        <v>1.375</v>
      </c>
      <c r="D3744" s="33">
        <f>INDEX('ZCB Curve - Payment Dates'!$D$2:$D$246,MATCH(B3744,'ZCB Curve - Payment Dates'!$A$2:$A$246,0))</f>
        <v>0.76298123459017864</v>
      </c>
      <c r="E3744" s="32">
        <f t="shared" si="58"/>
        <v>1.0490991975614956</v>
      </c>
    </row>
    <row r="3745" spans="1:5" x14ac:dyDescent="0.25">
      <c r="A3745" s="17">
        <v>318</v>
      </c>
      <c r="B3745" s="31">
        <v>48625</v>
      </c>
      <c r="C3745" s="32">
        <f>INDEX('Input Data'!$B:$B,A3745)/2+IF(A3745&lt;&gt;A3746,100,0)</f>
        <v>1.375</v>
      </c>
      <c r="D3745" s="33">
        <f>INDEX('ZCB Curve - Payment Dates'!$D$2:$D$246,MATCH(B3745,'ZCB Curve - Payment Dates'!$A$2:$A$246,0))</f>
        <v>0.74476011611938586</v>
      </c>
      <c r="E3745" s="32">
        <f t="shared" si="58"/>
        <v>1.0240451596641555</v>
      </c>
    </row>
    <row r="3746" spans="1:5" x14ac:dyDescent="0.25">
      <c r="A3746" s="17">
        <v>318</v>
      </c>
      <c r="B3746" s="31">
        <v>48806</v>
      </c>
      <c r="C3746" s="32">
        <f>INDEX('Input Data'!$B:$B,A3746)/2+IF(A3746&lt;&gt;A3747,100,0)</f>
        <v>1.375</v>
      </c>
      <c r="D3746" s="33">
        <f>INDEX('ZCB Curve - Payment Dates'!$D$2:$D$246,MATCH(B3746,'ZCB Curve - Payment Dates'!$A$2:$A$246,0))</f>
        <v>0.72701302496114584</v>
      </c>
      <c r="E3746" s="32">
        <f t="shared" si="58"/>
        <v>0.99964290932157551</v>
      </c>
    </row>
    <row r="3747" spans="1:5" x14ac:dyDescent="0.25">
      <c r="A3747" s="17">
        <v>318</v>
      </c>
      <c r="B3747" s="31">
        <v>48990</v>
      </c>
      <c r="C3747" s="32">
        <f>INDEX('Input Data'!$B:$B,A3747)/2+IF(A3747&lt;&gt;A3748,100,0)</f>
        <v>1.375</v>
      </c>
      <c r="D3747" s="33">
        <f>INDEX('ZCB Curve - Payment Dates'!$D$2:$D$246,MATCH(B3747,'ZCB Curve - Payment Dates'!$A$2:$A$246,0))</f>
        <v>0.70912647031380449</v>
      </c>
      <c r="E3747" s="32">
        <f t="shared" si="58"/>
        <v>0.9750488966814812</v>
      </c>
    </row>
    <row r="3748" spans="1:5" x14ac:dyDescent="0.25">
      <c r="A3748" s="17">
        <v>318</v>
      </c>
      <c r="B3748" s="31">
        <v>49171</v>
      </c>
      <c r="C3748" s="32">
        <f>INDEX('Input Data'!$B:$B,A3748)/2+IF(A3748&lt;&gt;A3749,100,0)</f>
        <v>1.375</v>
      </c>
      <c r="D3748" s="33">
        <f>INDEX('ZCB Curve - Payment Dates'!$D$2:$D$246,MATCH(B3748,'ZCB Curve - Payment Dates'!$A$2:$A$246,0))</f>
        <v>0.6916661505723215</v>
      </c>
      <c r="E3748" s="32">
        <f t="shared" si="58"/>
        <v>0.95104095703694203</v>
      </c>
    </row>
    <row r="3749" spans="1:5" x14ac:dyDescent="0.25">
      <c r="A3749" s="17">
        <v>318</v>
      </c>
      <c r="B3749" s="31">
        <v>49355</v>
      </c>
      <c r="C3749" s="32">
        <f>INDEX('Input Data'!$B:$B,A3749)/2+IF(A3749&lt;&gt;A3750,100,0)</f>
        <v>1.375</v>
      </c>
      <c r="D3749" s="33">
        <f>INDEX('ZCB Curve - Payment Dates'!$D$2:$D$246,MATCH(B3749,'ZCB Curve - Payment Dates'!$A$2:$A$246,0))</f>
        <v>0.674047377898778</v>
      </c>
      <c r="E3749" s="32">
        <f t="shared" si="58"/>
        <v>0.92681514461081971</v>
      </c>
    </row>
    <row r="3750" spans="1:5" x14ac:dyDescent="0.25">
      <c r="A3750" s="17">
        <v>318</v>
      </c>
      <c r="B3750" s="31">
        <v>49536</v>
      </c>
      <c r="C3750" s="32">
        <f>INDEX('Input Data'!$B:$B,A3750)/2+IF(A3750&lt;&gt;A3751,100,0)</f>
        <v>1.375</v>
      </c>
      <c r="D3750" s="33">
        <f>INDEX('ZCB Curve - Payment Dates'!$D$2:$D$246,MATCH(B3750,'ZCB Curve - Payment Dates'!$A$2:$A$246,0))</f>
        <v>0.65684432300638129</v>
      </c>
      <c r="E3750" s="32">
        <f t="shared" si="58"/>
        <v>0.90316094413377423</v>
      </c>
    </row>
    <row r="3751" spans="1:5" x14ac:dyDescent="0.25">
      <c r="A3751" s="17">
        <v>318</v>
      </c>
      <c r="B3751" s="31">
        <v>49720</v>
      </c>
      <c r="C3751" s="32">
        <f>INDEX('Input Data'!$B:$B,A3751)/2+IF(A3751&lt;&gt;A3752,100,0)</f>
        <v>1.375</v>
      </c>
      <c r="D3751" s="33">
        <f>INDEX('ZCB Curve - Payment Dates'!$D$2:$D$246,MATCH(B3751,'ZCB Curve - Payment Dates'!$A$2:$A$246,0))</f>
        <v>0.63949604524993764</v>
      </c>
      <c r="E3751" s="32">
        <f t="shared" si="58"/>
        <v>0.87930706221866428</v>
      </c>
    </row>
    <row r="3752" spans="1:5" x14ac:dyDescent="0.25">
      <c r="A3752" s="17">
        <v>318</v>
      </c>
      <c r="B3752" s="31">
        <v>49902</v>
      </c>
      <c r="C3752" s="32">
        <f>INDEX('Input Data'!$B:$B,A3752)/2+IF(A3752&lt;&gt;A3753,100,0)</f>
        <v>1.375</v>
      </c>
      <c r="D3752" s="33">
        <f>INDEX('ZCB Curve - Payment Dates'!$D$2:$D$246,MATCH(B3752,'ZCB Curve - Payment Dates'!$A$2:$A$246,0))</f>
        <v>0.62248862376822711</v>
      </c>
      <c r="E3752" s="32">
        <f t="shared" si="58"/>
        <v>0.85592185768131224</v>
      </c>
    </row>
    <row r="3753" spans="1:5" x14ac:dyDescent="0.25">
      <c r="A3753" s="17">
        <v>318</v>
      </c>
      <c r="B3753" s="31">
        <v>50086</v>
      </c>
      <c r="C3753" s="32">
        <f>INDEX('Input Data'!$B:$B,A3753)/2+IF(A3753&lt;&gt;A3754,100,0)</f>
        <v>1.375</v>
      </c>
      <c r="D3753" s="33">
        <f>INDEX('ZCB Curve - Payment Dates'!$D$2:$D$246,MATCH(B3753,'ZCB Curve - Payment Dates'!$A$2:$A$246,0))</f>
        <v>0.60546490876014969</v>
      </c>
      <c r="E3753" s="32">
        <f t="shared" si="58"/>
        <v>0.83251424954520581</v>
      </c>
    </row>
    <row r="3754" spans="1:5" x14ac:dyDescent="0.25">
      <c r="A3754" s="17">
        <v>318</v>
      </c>
      <c r="B3754" s="31">
        <v>50267</v>
      </c>
      <c r="C3754" s="32">
        <f>INDEX('Input Data'!$B:$B,A3754)/2+IF(A3754&lt;&gt;A3755,100,0)</f>
        <v>1.375</v>
      </c>
      <c r="D3754" s="33">
        <f>INDEX('ZCB Curve - Payment Dates'!$D$2:$D$246,MATCH(B3754,'ZCB Curve - Payment Dates'!$A$2:$A$246,0))</f>
        <v>0.58890683803346977</v>
      </c>
      <c r="E3754" s="32">
        <f t="shared" si="58"/>
        <v>0.80974690229602098</v>
      </c>
    </row>
    <row r="3755" spans="1:5" x14ac:dyDescent="0.25">
      <c r="A3755" s="17">
        <v>318</v>
      </c>
      <c r="B3755" s="31">
        <v>50451</v>
      </c>
      <c r="C3755" s="32">
        <f>INDEX('Input Data'!$B:$B,A3755)/2+IF(A3755&lt;&gt;A3756,100,0)</f>
        <v>1.375</v>
      </c>
      <c r="D3755" s="33">
        <f>INDEX('ZCB Curve - Payment Dates'!$D$2:$D$246,MATCH(B3755,'ZCB Curve - Payment Dates'!$A$2:$A$246,0))</f>
        <v>0.57228983695479263</v>
      </c>
      <c r="E3755" s="32">
        <f t="shared" si="58"/>
        <v>0.78689852581283981</v>
      </c>
    </row>
    <row r="3756" spans="1:5" x14ac:dyDescent="0.25">
      <c r="A3756" s="17">
        <v>318</v>
      </c>
      <c r="B3756" s="31">
        <v>50632</v>
      </c>
      <c r="C3756" s="32">
        <f>INDEX('Input Data'!$B:$B,A3756)/2+IF(A3756&lt;&gt;A3757,100,0)</f>
        <v>1.375</v>
      </c>
      <c r="D3756" s="33">
        <f>INDEX('ZCB Curve - Payment Dates'!$D$2:$D$246,MATCH(B3756,'ZCB Curve - Payment Dates'!$A$2:$A$246,0))</f>
        <v>0.55617795699202288</v>
      </c>
      <c r="E3756" s="32">
        <f t="shared" si="58"/>
        <v>0.76474469086403141</v>
      </c>
    </row>
    <row r="3757" spans="1:5" x14ac:dyDescent="0.25">
      <c r="A3757" s="17">
        <v>318</v>
      </c>
      <c r="B3757" s="31">
        <v>50816</v>
      </c>
      <c r="C3757" s="32">
        <f>INDEX('Input Data'!$B:$B,A3757)/2+IF(A3757&lt;&gt;A3758,100,0)</f>
        <v>1.375</v>
      </c>
      <c r="D3757" s="33">
        <f>INDEX('ZCB Curve - Payment Dates'!$D$2:$D$246,MATCH(B3757,'ZCB Curve - Payment Dates'!$A$2:$A$246,0))</f>
        <v>0.54006240951211237</v>
      </c>
      <c r="E3757" s="32">
        <f t="shared" si="58"/>
        <v>0.7425858130791545</v>
      </c>
    </row>
    <row r="3758" spans="1:5" x14ac:dyDescent="0.25">
      <c r="A3758" s="17">
        <v>318</v>
      </c>
      <c r="B3758" s="31">
        <v>50997</v>
      </c>
      <c r="C3758" s="32">
        <f>INDEX('Input Data'!$B:$B,A3758)/2+IF(A3758&lt;&gt;A3759,100,0)</f>
        <v>1.375</v>
      </c>
      <c r="D3758" s="33">
        <f>INDEX('ZCB Curve - Payment Dates'!$D$2:$D$246,MATCH(B3758,'ZCB Curve - Payment Dates'!$A$2:$A$246,0))</f>
        <v>0.52449040173194583</v>
      </c>
      <c r="E3758" s="32">
        <f t="shared" si="58"/>
        <v>0.72117430238142555</v>
      </c>
    </row>
    <row r="3759" spans="1:5" x14ac:dyDescent="0.25">
      <c r="A3759" s="17">
        <v>318</v>
      </c>
      <c r="B3759" s="31">
        <v>51181</v>
      </c>
      <c r="C3759" s="32">
        <f>INDEX('Input Data'!$B:$B,A3759)/2+IF(A3759&lt;&gt;A3760,100,0)</f>
        <v>1.375</v>
      </c>
      <c r="D3759" s="33">
        <f>INDEX('ZCB Curve - Payment Dates'!$D$2:$D$246,MATCH(B3759,'ZCB Curve - Payment Dates'!$A$2:$A$246,0))</f>
        <v>0.5089691698468306</v>
      </c>
      <c r="E3759" s="32">
        <f t="shared" si="58"/>
        <v>0.69983260853939211</v>
      </c>
    </row>
    <row r="3760" spans="1:5" x14ac:dyDescent="0.25">
      <c r="A3760" s="17">
        <v>318</v>
      </c>
      <c r="B3760" s="31">
        <v>51363</v>
      </c>
      <c r="C3760" s="32">
        <f>INDEX('Input Data'!$B:$B,A3760)/2+IF(A3760&lt;&gt;A3761,100,0)</f>
        <v>1.375</v>
      </c>
      <c r="D3760" s="33">
        <f>INDEX('ZCB Curve - Payment Dates'!$D$2:$D$246,MATCH(B3760,'ZCB Curve - Payment Dates'!$A$2:$A$246,0))</f>
        <v>0.49394036022330806</v>
      </c>
      <c r="E3760" s="32">
        <f t="shared" si="58"/>
        <v>0.67916799530704863</v>
      </c>
    </row>
    <row r="3761" spans="1:5" x14ac:dyDescent="0.25">
      <c r="A3761" s="17">
        <v>318</v>
      </c>
      <c r="B3761" s="31">
        <v>51547</v>
      </c>
      <c r="C3761" s="32">
        <f>INDEX('Input Data'!$B:$B,A3761)/2+IF(A3761&lt;&gt;A3762,100,0)</f>
        <v>1.375</v>
      </c>
      <c r="D3761" s="33">
        <f>INDEX('ZCB Curve - Payment Dates'!$D$2:$D$246,MATCH(B3761,'ZCB Curve - Payment Dates'!$A$2:$A$246,0))</f>
        <v>0.47909718957588998</v>
      </c>
      <c r="E3761" s="32">
        <f t="shared" si="58"/>
        <v>0.65875863566684867</v>
      </c>
    </row>
    <row r="3762" spans="1:5" x14ac:dyDescent="0.25">
      <c r="A3762" s="17">
        <v>318</v>
      </c>
      <c r="B3762" s="31">
        <v>51728</v>
      </c>
      <c r="C3762" s="32">
        <f>INDEX('Input Data'!$B:$B,A3762)/2+IF(A3762&lt;&gt;A3763,100,0)</f>
        <v>1.375</v>
      </c>
      <c r="D3762" s="33">
        <f>INDEX('ZCB Curve - Payment Dates'!$D$2:$D$246,MATCH(B3762,'ZCB Curve - Payment Dates'!$A$2:$A$246,0))</f>
        <v>0.46485329459616059</v>
      </c>
      <c r="E3762" s="32">
        <f t="shared" si="58"/>
        <v>0.63917328006972085</v>
      </c>
    </row>
    <row r="3763" spans="1:5" x14ac:dyDescent="0.25">
      <c r="A3763" s="17">
        <v>318</v>
      </c>
      <c r="B3763" s="31">
        <v>51912</v>
      </c>
      <c r="C3763" s="32">
        <f>INDEX('Input Data'!$B:$B,A3763)/2+IF(A3763&lt;&gt;A3764,100,0)</f>
        <v>1.375</v>
      </c>
      <c r="D3763" s="33">
        <f>INDEX('ZCB Curve - Payment Dates'!$D$2:$D$246,MATCH(B3763,'ZCB Curve - Payment Dates'!$A$2:$A$246,0))</f>
        <v>0.45075168915212815</v>
      </c>
      <c r="E3763" s="32">
        <f t="shared" si="58"/>
        <v>0.61978357258417627</v>
      </c>
    </row>
    <row r="3764" spans="1:5" x14ac:dyDescent="0.25">
      <c r="A3764" s="17">
        <v>318</v>
      </c>
      <c r="B3764" s="31">
        <v>52093</v>
      </c>
      <c r="C3764" s="32">
        <f>INDEX('Input Data'!$B:$B,A3764)/2+IF(A3764&lt;&gt;A3765,100,0)</f>
        <v>1.375</v>
      </c>
      <c r="D3764" s="33">
        <f>INDEX('ZCB Curve - Payment Dates'!$D$2:$D$246,MATCH(B3764,'ZCB Curve - Payment Dates'!$A$2:$A$246,0))</f>
        <v>0.43726259018094221</v>
      </c>
      <c r="E3764" s="32">
        <f t="shared" si="58"/>
        <v>0.60123606149879549</v>
      </c>
    </row>
    <row r="3765" spans="1:5" x14ac:dyDescent="0.25">
      <c r="A3765" s="17">
        <v>318</v>
      </c>
      <c r="B3765" s="31">
        <v>52277</v>
      </c>
      <c r="C3765" s="32">
        <f>INDEX('Input Data'!$B:$B,A3765)/2+IF(A3765&lt;&gt;A3766,100,0)</f>
        <v>1.375</v>
      </c>
      <c r="D3765" s="33">
        <f>INDEX('ZCB Curve - Payment Dates'!$D$2:$D$246,MATCH(B3765,'ZCB Curve - Payment Dates'!$A$2:$A$246,0))</f>
        <v>0.4239492285351204</v>
      </c>
      <c r="E3765" s="32">
        <f t="shared" si="58"/>
        <v>0.58293018923579054</v>
      </c>
    </row>
    <row r="3766" spans="1:5" x14ac:dyDescent="0.25">
      <c r="A3766" s="17">
        <v>318</v>
      </c>
      <c r="B3766" s="31">
        <v>52458</v>
      </c>
      <c r="C3766" s="32">
        <f>INDEX('Input Data'!$B:$B,A3766)/2+IF(A3766&lt;&gt;A3767,100,0)</f>
        <v>1.375</v>
      </c>
      <c r="D3766" s="33">
        <f>INDEX('ZCB Curve - Payment Dates'!$D$2:$D$246,MATCH(B3766,'ZCB Curve - Payment Dates'!$A$2:$A$246,0))</f>
        <v>0.4112516019468152</v>
      </c>
      <c r="E3766" s="32">
        <f t="shared" si="58"/>
        <v>0.56547095267687086</v>
      </c>
    </row>
    <row r="3767" spans="1:5" x14ac:dyDescent="0.25">
      <c r="A3767" s="17">
        <v>318</v>
      </c>
      <c r="B3767" s="31">
        <v>52642</v>
      </c>
      <c r="C3767" s="32">
        <f>INDEX('Input Data'!$B:$B,A3767)/2+IF(A3767&lt;&gt;A3768,100,0)</f>
        <v>1.375</v>
      </c>
      <c r="D3767" s="33">
        <f>INDEX('ZCB Curve - Payment Dates'!$D$2:$D$246,MATCH(B3767,'ZCB Curve - Payment Dates'!$A$2:$A$246,0))</f>
        <v>0.39875459879352759</v>
      </c>
      <c r="E3767" s="32">
        <f t="shared" si="58"/>
        <v>0.54828757334110045</v>
      </c>
    </row>
    <row r="3768" spans="1:5" x14ac:dyDescent="0.25">
      <c r="A3768" s="17">
        <v>318</v>
      </c>
      <c r="B3768" s="31">
        <v>52824</v>
      </c>
      <c r="C3768" s="32">
        <f>INDEX('Input Data'!$B:$B,A3768)/2+IF(A3768&lt;&gt;A3769,100,0)</f>
        <v>1.375</v>
      </c>
      <c r="D3768" s="33">
        <f>INDEX('ZCB Curve - Payment Dates'!$D$2:$D$246,MATCH(B3768,'ZCB Curve - Payment Dates'!$A$2:$A$246,0))</f>
        <v>0.38680384560622083</v>
      </c>
      <c r="E3768" s="32">
        <f t="shared" si="58"/>
        <v>0.53185528770855361</v>
      </c>
    </row>
    <row r="3769" spans="1:5" x14ac:dyDescent="0.25">
      <c r="A3769" s="17">
        <v>318</v>
      </c>
      <c r="B3769" s="31">
        <v>53008</v>
      </c>
      <c r="C3769" s="32">
        <f>INDEX('Input Data'!$B:$B,A3769)/2+IF(A3769&lt;&gt;A3770,100,0)</f>
        <v>1.375</v>
      </c>
      <c r="D3769" s="33">
        <f>INDEX('ZCB Curve - Payment Dates'!$D$2:$D$246,MATCH(B3769,'ZCB Curve - Payment Dates'!$A$2:$A$246,0))</f>
        <v>0.37513648791915083</v>
      </c>
      <c r="E3769" s="32">
        <f t="shared" si="58"/>
        <v>0.51581267088883243</v>
      </c>
    </row>
    <row r="3770" spans="1:5" x14ac:dyDescent="0.25">
      <c r="A3770" s="17">
        <v>318</v>
      </c>
      <c r="B3770" s="31">
        <v>53189</v>
      </c>
      <c r="C3770" s="32">
        <f>INDEX('Input Data'!$B:$B,A3770)/2+IF(A3770&lt;&gt;A3771,100,0)</f>
        <v>1.375</v>
      </c>
      <c r="D3770" s="33">
        <f>INDEX('ZCB Curve - Payment Dates'!$D$2:$D$246,MATCH(B3770,'ZCB Curve - Payment Dates'!$A$2:$A$246,0))</f>
        <v>0.36406533257851953</v>
      </c>
      <c r="E3770" s="32">
        <f t="shared" si="58"/>
        <v>0.50058983229546439</v>
      </c>
    </row>
    <row r="3771" spans="1:5" x14ac:dyDescent="0.25">
      <c r="A3771" s="17">
        <v>318</v>
      </c>
      <c r="B3771" s="31">
        <v>53373</v>
      </c>
      <c r="C3771" s="32">
        <f>INDEX('Input Data'!$B:$B,A3771)/2+IF(A3771&lt;&gt;A3772,100,0)</f>
        <v>1.375</v>
      </c>
      <c r="D3771" s="33">
        <f>INDEX('ZCB Curve - Payment Dates'!$D$2:$D$246,MATCH(B3771,'ZCB Curve - Payment Dates'!$A$2:$A$246,0))</f>
        <v>0.35322166892031259</v>
      </c>
      <c r="E3771" s="32">
        <f t="shared" si="58"/>
        <v>0.48567979476542983</v>
      </c>
    </row>
    <row r="3772" spans="1:5" x14ac:dyDescent="0.25">
      <c r="A3772" s="17">
        <v>318</v>
      </c>
      <c r="B3772" s="31">
        <v>53554</v>
      </c>
      <c r="C3772" s="32">
        <f>INDEX('Input Data'!$B:$B,A3772)/2+IF(A3772&lt;&gt;A3773,100,0)</f>
        <v>1.375</v>
      </c>
      <c r="D3772" s="33">
        <f>INDEX('ZCB Curve - Payment Dates'!$D$2:$D$246,MATCH(B3772,'ZCB Curve - Payment Dates'!$A$2:$A$246,0))</f>
        <v>0.34295436226619208</v>
      </c>
      <c r="E3772" s="32">
        <f t="shared" si="58"/>
        <v>0.4715622481160141</v>
      </c>
    </row>
    <row r="3773" spans="1:5" x14ac:dyDescent="0.25">
      <c r="A3773" s="17">
        <v>318</v>
      </c>
      <c r="B3773" s="31">
        <v>53738</v>
      </c>
      <c r="C3773" s="32">
        <f>INDEX('Input Data'!$B:$B,A3773)/2+IF(A3773&lt;&gt;A3774,100,0)</f>
        <v>1.375</v>
      </c>
      <c r="D3773" s="33">
        <f>INDEX('ZCB Curve - Payment Dates'!$D$2:$D$246,MATCH(B3773,'ZCB Curve - Payment Dates'!$A$2:$A$246,0))</f>
        <v>0.33291860450360972</v>
      </c>
      <c r="E3773" s="32">
        <f t="shared" si="58"/>
        <v>0.45776308119246334</v>
      </c>
    </row>
    <row r="3774" spans="1:5" x14ac:dyDescent="0.25">
      <c r="A3774" s="17">
        <v>318</v>
      </c>
      <c r="B3774" s="31">
        <v>53919</v>
      </c>
      <c r="C3774" s="32">
        <f>INDEX('Input Data'!$B:$B,A3774)/2+IF(A3774&lt;&gt;A3775,100,0)</f>
        <v>101.375</v>
      </c>
      <c r="D3774" s="33">
        <f>INDEX('ZCB Curve - Payment Dates'!$D$2:$D$246,MATCH(B3774,'ZCB Curve - Payment Dates'!$A$2:$A$246,0))</f>
        <v>0.32343468195091313</v>
      </c>
      <c r="E3774" s="32">
        <f t="shared" si="58"/>
        <v>32.788190882773819</v>
      </c>
    </row>
    <row r="3775" spans="1:5" x14ac:dyDescent="0.25">
      <c r="A3775" s="17">
        <v>319</v>
      </c>
      <c r="B3775" s="31">
        <v>46341</v>
      </c>
      <c r="C3775" s="32">
        <f>INDEX('Input Data'!$B:$B,A3775)/2+IF(A3775&lt;&gt;A3776,100,0)</f>
        <v>1.375</v>
      </c>
      <c r="D3775" s="33">
        <f>INDEX('ZCB Curve - Payment Dates'!$D$2:$D$246,MATCH(B3775,'ZCB Curve - Payment Dates'!$A$2:$A$246,0))</f>
        <v>0.99245367292309439</v>
      </c>
      <c r="E3775" s="32">
        <f t="shared" si="58"/>
        <v>1.3646238002692548</v>
      </c>
    </row>
    <row r="3776" spans="1:5" x14ac:dyDescent="0.25">
      <c r="A3776" s="17">
        <v>319</v>
      </c>
      <c r="B3776" s="31">
        <v>46522</v>
      </c>
      <c r="C3776" s="32">
        <f>INDEX('Input Data'!$B:$B,A3776)/2+IF(A3776&lt;&gt;A3777,100,0)</f>
        <v>1.375</v>
      </c>
      <c r="D3776" s="33">
        <f>INDEX('ZCB Curve - Payment Dates'!$D$2:$D$246,MATCH(B3776,'ZCB Curve - Payment Dates'!$A$2:$A$246,0))</f>
        <v>0.97242179559611874</v>
      </c>
      <c r="E3776" s="32">
        <f t="shared" si="58"/>
        <v>1.3370799689446633</v>
      </c>
    </row>
    <row r="3777" spans="1:5" x14ac:dyDescent="0.25">
      <c r="A3777" s="17">
        <v>319</v>
      </c>
      <c r="B3777" s="31">
        <v>46706</v>
      </c>
      <c r="C3777" s="32">
        <f>INDEX('Input Data'!$B:$B,A3777)/2+IF(A3777&lt;&gt;A3778,100,0)</f>
        <v>1.375</v>
      </c>
      <c r="D3777" s="33">
        <f>INDEX('ZCB Curve - Payment Dates'!$D$2:$D$246,MATCH(B3777,'ZCB Curve - Payment Dates'!$A$2:$A$246,0))</f>
        <v>0.95121018311627348</v>
      </c>
      <c r="E3777" s="32">
        <f t="shared" si="58"/>
        <v>1.307914001784876</v>
      </c>
    </row>
    <row r="3778" spans="1:5" x14ac:dyDescent="0.25">
      <c r="A3778" s="17">
        <v>319</v>
      </c>
      <c r="B3778" s="31">
        <v>46888</v>
      </c>
      <c r="C3778" s="32">
        <f>INDEX('Input Data'!$B:$B,A3778)/2+IF(A3778&lt;&gt;A3779,100,0)</f>
        <v>1.375</v>
      </c>
      <c r="D3778" s="33">
        <f>INDEX('ZCB Curve - Payment Dates'!$D$2:$D$246,MATCH(B3778,'ZCB Curve - Payment Dates'!$A$2:$A$246,0))</f>
        <v>0.93000025435083566</v>
      </c>
      <c r="E3778" s="32">
        <f t="shared" ref="E3778:E3841" si="59">C3778*D3778</f>
        <v>1.2787503497323991</v>
      </c>
    </row>
    <row r="3779" spans="1:5" x14ac:dyDescent="0.25">
      <c r="A3779" s="17">
        <v>319</v>
      </c>
      <c r="B3779" s="31">
        <v>47072</v>
      </c>
      <c r="C3779" s="32">
        <f>INDEX('Input Data'!$B:$B,A3779)/2+IF(A3779&lt;&gt;A3780,100,0)</f>
        <v>1.375</v>
      </c>
      <c r="D3779" s="33">
        <f>INDEX('ZCB Curve - Payment Dates'!$D$2:$D$246,MATCH(B3779,'ZCB Curve - Payment Dates'!$A$2:$A$246,0))</f>
        <v>0.90870125167038918</v>
      </c>
      <c r="E3779" s="32">
        <f t="shared" si="59"/>
        <v>1.249464221046785</v>
      </c>
    </row>
    <row r="3780" spans="1:5" x14ac:dyDescent="0.25">
      <c r="A3780" s="17">
        <v>319</v>
      </c>
      <c r="B3780" s="31">
        <v>47253</v>
      </c>
      <c r="C3780" s="32">
        <f>INDEX('Input Data'!$B:$B,A3780)/2+IF(A3780&lt;&gt;A3781,100,0)</f>
        <v>1.375</v>
      </c>
      <c r="D3780" s="33">
        <f>INDEX('ZCB Curve - Payment Dates'!$D$2:$D$246,MATCH(B3780,'ZCB Curve - Payment Dates'!$A$2:$A$246,0))</f>
        <v>0.88809325063638844</v>
      </c>
      <c r="E3780" s="32">
        <f t="shared" si="59"/>
        <v>1.2211282196250342</v>
      </c>
    </row>
    <row r="3781" spans="1:5" x14ac:dyDescent="0.25">
      <c r="A3781" s="17">
        <v>319</v>
      </c>
      <c r="B3781" s="31">
        <v>47437</v>
      </c>
      <c r="C3781" s="32">
        <f>INDEX('Input Data'!$B:$B,A3781)/2+IF(A3781&lt;&gt;A3782,100,0)</f>
        <v>1.375</v>
      </c>
      <c r="D3781" s="33">
        <f>INDEX('ZCB Curve - Payment Dates'!$D$2:$D$246,MATCH(B3781,'ZCB Curve - Payment Dates'!$A$2:$A$246,0))</f>
        <v>0.86758824089536279</v>
      </c>
      <c r="E3781" s="32">
        <f t="shared" si="59"/>
        <v>1.192933831231124</v>
      </c>
    </row>
    <row r="3782" spans="1:5" x14ac:dyDescent="0.25">
      <c r="A3782" s="17">
        <v>319</v>
      </c>
      <c r="B3782" s="31">
        <v>47618</v>
      </c>
      <c r="C3782" s="32">
        <f>INDEX('Input Data'!$B:$B,A3782)/2+IF(A3782&lt;&gt;A3783,100,0)</f>
        <v>1.375</v>
      </c>
      <c r="D3782" s="33">
        <f>INDEX('ZCB Curve - Payment Dates'!$D$2:$D$246,MATCH(B3782,'ZCB Curve - Payment Dates'!$A$2:$A$246,0))</f>
        <v>0.84787416911783064</v>
      </c>
      <c r="E3782" s="32">
        <f t="shared" si="59"/>
        <v>1.1658269825370171</v>
      </c>
    </row>
    <row r="3783" spans="1:5" x14ac:dyDescent="0.25">
      <c r="A3783" s="17">
        <v>319</v>
      </c>
      <c r="B3783" s="31">
        <v>47802</v>
      </c>
      <c r="C3783" s="32">
        <f>INDEX('Input Data'!$B:$B,A3783)/2+IF(A3783&lt;&gt;A3784,100,0)</f>
        <v>1.375</v>
      </c>
      <c r="D3783" s="33">
        <f>INDEX('ZCB Curve - Payment Dates'!$D$2:$D$246,MATCH(B3783,'ZCB Curve - Payment Dates'!$A$2:$A$246,0))</f>
        <v>0.82827715028796722</v>
      </c>
      <c r="E3783" s="32">
        <f t="shared" si="59"/>
        <v>1.1388810816459549</v>
      </c>
    </row>
    <row r="3784" spans="1:5" x14ac:dyDescent="0.25">
      <c r="A3784" s="17">
        <v>319</v>
      </c>
      <c r="B3784" s="31">
        <v>47983</v>
      </c>
      <c r="C3784" s="32">
        <f>INDEX('Input Data'!$B:$B,A3784)/2+IF(A3784&lt;&gt;A3785,100,0)</f>
        <v>1.375</v>
      </c>
      <c r="D3784" s="33">
        <f>INDEX('ZCB Curve - Payment Dates'!$D$2:$D$246,MATCH(B3784,'ZCB Curve - Payment Dates'!$A$2:$A$246,0))</f>
        <v>0.80939067484273564</v>
      </c>
      <c r="E3784" s="32">
        <f t="shared" si="59"/>
        <v>1.1129121779087614</v>
      </c>
    </row>
    <row r="3785" spans="1:5" x14ac:dyDescent="0.25">
      <c r="A3785" s="17">
        <v>319</v>
      </c>
      <c r="B3785" s="31">
        <v>48167</v>
      </c>
      <c r="C3785" s="32">
        <f>INDEX('Input Data'!$B:$B,A3785)/2+IF(A3785&lt;&gt;A3786,100,0)</f>
        <v>1.375</v>
      </c>
      <c r="D3785" s="33">
        <f>INDEX('ZCB Curve - Payment Dates'!$D$2:$D$246,MATCH(B3785,'ZCB Curve - Payment Dates'!$A$2:$A$246,0))</f>
        <v>0.79053567842581962</v>
      </c>
      <c r="E3785" s="32">
        <f t="shared" si="59"/>
        <v>1.086986557835502</v>
      </c>
    </row>
    <row r="3786" spans="1:5" x14ac:dyDescent="0.25">
      <c r="A3786" s="17">
        <v>319</v>
      </c>
      <c r="B3786" s="31">
        <v>48349</v>
      </c>
      <c r="C3786" s="32">
        <f>INDEX('Input Data'!$B:$B,A3786)/2+IF(A3786&lt;&gt;A3787,100,0)</f>
        <v>1.375</v>
      </c>
      <c r="D3786" s="33">
        <f>INDEX('ZCB Curve - Payment Dates'!$D$2:$D$246,MATCH(B3786,'ZCB Curve - Payment Dates'!$A$2:$A$246,0))</f>
        <v>0.77217305702007488</v>
      </c>
      <c r="E3786" s="32">
        <f t="shared" si="59"/>
        <v>1.061737953402603</v>
      </c>
    </row>
    <row r="3787" spans="1:5" x14ac:dyDescent="0.25">
      <c r="A3787" s="17">
        <v>319</v>
      </c>
      <c r="B3787" s="31">
        <v>48533</v>
      </c>
      <c r="C3787" s="32">
        <f>INDEX('Input Data'!$B:$B,A3787)/2+IF(A3787&lt;&gt;A3788,100,0)</f>
        <v>1.375</v>
      </c>
      <c r="D3787" s="33">
        <f>INDEX('ZCB Curve - Payment Dates'!$D$2:$D$246,MATCH(B3787,'ZCB Curve - Payment Dates'!$A$2:$A$246,0))</f>
        <v>0.75384766072076514</v>
      </c>
      <c r="E3787" s="32">
        <f t="shared" si="59"/>
        <v>1.036540533491052</v>
      </c>
    </row>
    <row r="3788" spans="1:5" x14ac:dyDescent="0.25">
      <c r="A3788" s="17">
        <v>319</v>
      </c>
      <c r="B3788" s="31">
        <v>48714</v>
      </c>
      <c r="C3788" s="32">
        <f>INDEX('Input Data'!$B:$B,A3788)/2+IF(A3788&lt;&gt;A3789,100,0)</f>
        <v>1.375</v>
      </c>
      <c r="D3788" s="33">
        <f>INDEX('ZCB Curve - Payment Dates'!$D$2:$D$246,MATCH(B3788,'ZCB Curve - Payment Dates'!$A$2:$A$246,0))</f>
        <v>0.73601491848746747</v>
      </c>
      <c r="E3788" s="32">
        <f t="shared" si="59"/>
        <v>1.0120205129202677</v>
      </c>
    </row>
    <row r="3789" spans="1:5" x14ac:dyDescent="0.25">
      <c r="A3789" s="17">
        <v>319</v>
      </c>
      <c r="B3789" s="31">
        <v>48898</v>
      </c>
      <c r="C3789" s="32">
        <f>INDEX('Input Data'!$B:$B,A3789)/2+IF(A3789&lt;&gt;A3790,100,0)</f>
        <v>1.375</v>
      </c>
      <c r="D3789" s="33">
        <f>INDEX('ZCB Curve - Payment Dates'!$D$2:$D$246,MATCH(B3789,'ZCB Curve - Payment Dates'!$A$2:$A$246,0))</f>
        <v>0.71805338140354003</v>
      </c>
      <c r="E3789" s="32">
        <f t="shared" si="59"/>
        <v>0.98732339942986758</v>
      </c>
    </row>
    <row r="3790" spans="1:5" x14ac:dyDescent="0.25">
      <c r="A3790" s="17">
        <v>319</v>
      </c>
      <c r="B3790" s="31">
        <v>49079</v>
      </c>
      <c r="C3790" s="32">
        <f>INDEX('Input Data'!$B:$B,A3790)/2+IF(A3790&lt;&gt;A3791,100,0)</f>
        <v>1.375</v>
      </c>
      <c r="D3790" s="33">
        <f>INDEX('ZCB Curve - Payment Dates'!$D$2:$D$246,MATCH(B3790,'ZCB Curve - Payment Dates'!$A$2:$A$246,0))</f>
        <v>0.70052630492471468</v>
      </c>
      <c r="E3790" s="32">
        <f t="shared" si="59"/>
        <v>0.96322366927148273</v>
      </c>
    </row>
    <row r="3791" spans="1:5" x14ac:dyDescent="0.25">
      <c r="A3791" s="17">
        <v>319</v>
      </c>
      <c r="B3791" s="31">
        <v>49263</v>
      </c>
      <c r="C3791" s="32">
        <f>INDEX('Input Data'!$B:$B,A3791)/2+IF(A3791&lt;&gt;A3792,100,0)</f>
        <v>1.375</v>
      </c>
      <c r="D3791" s="33">
        <f>INDEX('ZCB Curve - Payment Dates'!$D$2:$D$246,MATCH(B3791,'ZCB Curve - Payment Dates'!$A$2:$A$246,0))</f>
        <v>0.68284221202539863</v>
      </c>
      <c r="E3791" s="32">
        <f t="shared" si="59"/>
        <v>0.93890804153492313</v>
      </c>
    </row>
    <row r="3792" spans="1:5" x14ac:dyDescent="0.25">
      <c r="A3792" s="17">
        <v>319</v>
      </c>
      <c r="B3792" s="31">
        <v>49444</v>
      </c>
      <c r="C3792" s="32">
        <f>INDEX('Input Data'!$B:$B,A3792)/2+IF(A3792&lt;&gt;A3793,100,0)</f>
        <v>1.375</v>
      </c>
      <c r="D3792" s="33">
        <f>INDEX('ZCB Curve - Payment Dates'!$D$2:$D$246,MATCH(B3792,'ZCB Curve - Payment Dates'!$A$2:$A$246,0))</f>
        <v>0.66557347415228496</v>
      </c>
      <c r="E3792" s="32">
        <f t="shared" si="59"/>
        <v>0.91516352695939185</v>
      </c>
    </row>
    <row r="3793" spans="1:5" x14ac:dyDescent="0.25">
      <c r="A3793" s="17">
        <v>319</v>
      </c>
      <c r="B3793" s="31">
        <v>49628</v>
      </c>
      <c r="C3793" s="32">
        <f>INDEX('Input Data'!$B:$B,A3793)/2+IF(A3793&lt;&gt;A3794,100,0)</f>
        <v>1.375</v>
      </c>
      <c r="D3793" s="33">
        <f>INDEX('ZCB Curve - Payment Dates'!$D$2:$D$246,MATCH(B3793,'ZCB Curve - Payment Dates'!$A$2:$A$246,0))</f>
        <v>0.64815361918127823</v>
      </c>
      <c r="E3793" s="32">
        <f t="shared" si="59"/>
        <v>0.89121122637425754</v>
      </c>
    </row>
    <row r="3794" spans="1:5" x14ac:dyDescent="0.25">
      <c r="A3794" s="17">
        <v>319</v>
      </c>
      <c r="B3794" s="31">
        <v>49810</v>
      </c>
      <c r="C3794" s="32">
        <f>INDEX('Input Data'!$B:$B,A3794)/2+IF(A3794&lt;&gt;A3795,100,0)</f>
        <v>1.375</v>
      </c>
      <c r="D3794" s="33">
        <f>INDEX('ZCB Curve - Payment Dates'!$D$2:$D$246,MATCH(B3794,'ZCB Curve - Payment Dates'!$A$2:$A$246,0))</f>
        <v>0.63106457078577471</v>
      </c>
      <c r="E3794" s="32">
        <f t="shared" si="59"/>
        <v>0.86771378483044026</v>
      </c>
    </row>
    <row r="3795" spans="1:5" x14ac:dyDescent="0.25">
      <c r="A3795" s="17">
        <v>319</v>
      </c>
      <c r="B3795" s="31">
        <v>49994</v>
      </c>
      <c r="C3795" s="32">
        <f>INDEX('Input Data'!$B:$B,A3795)/2+IF(A3795&lt;&gt;A3796,100,0)</f>
        <v>1.375</v>
      </c>
      <c r="D3795" s="33">
        <f>INDEX('ZCB Curve - Payment Dates'!$D$2:$D$246,MATCH(B3795,'ZCB Curve - Payment Dates'!$A$2:$A$246,0))</f>
        <v>0.61395227923184648</v>
      </c>
      <c r="E3795" s="32">
        <f t="shared" si="59"/>
        <v>0.84418438394378892</v>
      </c>
    </row>
    <row r="3796" spans="1:5" x14ac:dyDescent="0.25">
      <c r="A3796" s="17">
        <v>319</v>
      </c>
      <c r="B3796" s="31">
        <v>50175</v>
      </c>
      <c r="C3796" s="32">
        <f>INDEX('Input Data'!$B:$B,A3796)/2+IF(A3796&lt;&gt;A3797,100,0)</f>
        <v>1.375</v>
      </c>
      <c r="D3796" s="33">
        <f>INDEX('ZCB Curve - Payment Dates'!$D$2:$D$246,MATCH(B3796,'ZCB Curve - Payment Dates'!$A$2:$A$246,0))</f>
        <v>0.5972963482314616</v>
      </c>
      <c r="E3796" s="32">
        <f t="shared" si="59"/>
        <v>0.82128247881825966</v>
      </c>
    </row>
    <row r="3797" spans="1:5" x14ac:dyDescent="0.25">
      <c r="A3797" s="17">
        <v>319</v>
      </c>
      <c r="B3797" s="31">
        <v>50359</v>
      </c>
      <c r="C3797" s="32">
        <f>INDEX('Input Data'!$B:$B,A3797)/2+IF(A3797&lt;&gt;A3798,100,0)</f>
        <v>1.375</v>
      </c>
      <c r="D3797" s="33">
        <f>INDEX('ZCB Curve - Payment Dates'!$D$2:$D$246,MATCH(B3797,'ZCB Curve - Payment Dates'!$A$2:$A$246,0))</f>
        <v>0.58056812006155756</v>
      </c>
      <c r="E3797" s="32">
        <f t="shared" si="59"/>
        <v>0.79828116508464164</v>
      </c>
    </row>
    <row r="3798" spans="1:5" x14ac:dyDescent="0.25">
      <c r="A3798" s="17">
        <v>319</v>
      </c>
      <c r="B3798" s="31">
        <v>50540</v>
      </c>
      <c r="C3798" s="32">
        <f>INDEX('Input Data'!$B:$B,A3798)/2+IF(A3798&lt;&gt;A3799,100,0)</f>
        <v>1.375</v>
      </c>
      <c r="D3798" s="33">
        <f>INDEX('ZCB Curve - Payment Dates'!$D$2:$D$246,MATCH(B3798,'ZCB Curve - Payment Dates'!$A$2:$A$246,0))</f>
        <v>0.56433491315969797</v>
      </c>
      <c r="E3798" s="32">
        <f t="shared" si="59"/>
        <v>0.77596050559458474</v>
      </c>
    </row>
    <row r="3799" spans="1:5" x14ac:dyDescent="0.25">
      <c r="A3799" s="17">
        <v>319</v>
      </c>
      <c r="B3799" s="31">
        <v>50724</v>
      </c>
      <c r="C3799" s="32">
        <f>INDEX('Input Data'!$B:$B,A3799)/2+IF(A3799&lt;&gt;A3800,100,0)</f>
        <v>1.375</v>
      </c>
      <c r="D3799" s="33">
        <f>INDEX('ZCB Curve - Payment Dates'!$D$2:$D$246,MATCH(B3799,'ZCB Curve - Payment Dates'!$A$2:$A$246,0))</f>
        <v>0.54808398139057424</v>
      </c>
      <c r="E3799" s="32">
        <f t="shared" si="59"/>
        <v>0.75361547441203958</v>
      </c>
    </row>
    <row r="3800" spans="1:5" x14ac:dyDescent="0.25">
      <c r="A3800" s="17">
        <v>319</v>
      </c>
      <c r="B3800" s="31">
        <v>50905</v>
      </c>
      <c r="C3800" s="32">
        <f>INDEX('Input Data'!$B:$B,A3800)/2+IF(A3800&lt;&gt;A3801,100,0)</f>
        <v>1.375</v>
      </c>
      <c r="D3800" s="33">
        <f>INDEX('ZCB Curve - Payment Dates'!$D$2:$D$246,MATCH(B3800,'ZCB Curve - Payment Dates'!$A$2:$A$246,0))</f>
        <v>0.5323673246083096</v>
      </c>
      <c r="E3800" s="32">
        <f t="shared" si="59"/>
        <v>0.73200507133642567</v>
      </c>
    </row>
    <row r="3801" spans="1:5" x14ac:dyDescent="0.25">
      <c r="A3801" s="17">
        <v>319</v>
      </c>
      <c r="B3801" s="31">
        <v>51089</v>
      </c>
      <c r="C3801" s="32">
        <f>INDEX('Input Data'!$B:$B,A3801)/2+IF(A3801&lt;&gt;A3802,100,0)</f>
        <v>1.375</v>
      </c>
      <c r="D3801" s="33">
        <f>INDEX('ZCB Curve - Payment Dates'!$D$2:$D$246,MATCH(B3801,'ZCB Curve - Payment Dates'!$A$2:$A$246,0))</f>
        <v>0.51668806431098135</v>
      </c>
      <c r="E3801" s="32">
        <f t="shared" si="59"/>
        <v>0.71044608842759938</v>
      </c>
    </row>
    <row r="3802" spans="1:5" x14ac:dyDescent="0.25">
      <c r="A3802" s="17">
        <v>319</v>
      </c>
      <c r="B3802" s="31">
        <v>51271</v>
      </c>
      <c r="C3802" s="32">
        <f>INDEX('Input Data'!$B:$B,A3802)/2+IF(A3802&lt;&gt;A3803,100,0)</f>
        <v>1.375</v>
      </c>
      <c r="D3802" s="33">
        <f>INDEX('ZCB Curve - Payment Dates'!$D$2:$D$246,MATCH(B3802,'ZCB Curve - Payment Dates'!$A$2:$A$246,0))</f>
        <v>0.50149590020417278</v>
      </c>
      <c r="E3802" s="32">
        <f t="shared" si="59"/>
        <v>0.68955686278073758</v>
      </c>
    </row>
    <row r="3803" spans="1:5" x14ac:dyDescent="0.25">
      <c r="A3803" s="17">
        <v>319</v>
      </c>
      <c r="B3803" s="31">
        <v>51455</v>
      </c>
      <c r="C3803" s="32">
        <f>INDEX('Input Data'!$B:$B,A3803)/2+IF(A3803&lt;&gt;A3804,100,0)</f>
        <v>1.375</v>
      </c>
      <c r="D3803" s="33">
        <f>INDEX('ZCB Curve - Payment Dates'!$D$2:$D$246,MATCH(B3803,'ZCB Curve - Payment Dates'!$A$2:$A$246,0))</f>
        <v>0.48647538074270091</v>
      </c>
      <c r="E3803" s="32">
        <f t="shared" si="59"/>
        <v>0.66890364852121376</v>
      </c>
    </row>
    <row r="3804" spans="1:5" x14ac:dyDescent="0.25">
      <c r="A3804" s="17">
        <v>319</v>
      </c>
      <c r="B3804" s="31">
        <v>51636</v>
      </c>
      <c r="C3804" s="32">
        <f>INDEX('Input Data'!$B:$B,A3804)/2+IF(A3804&lt;&gt;A3805,100,0)</f>
        <v>1.375</v>
      </c>
      <c r="D3804" s="33">
        <f>INDEX('ZCB Curve - Payment Dates'!$D$2:$D$246,MATCH(B3804,'ZCB Curve - Payment Dates'!$A$2:$A$246,0))</f>
        <v>0.47204918703719451</v>
      </c>
      <c r="E3804" s="32">
        <f t="shared" si="59"/>
        <v>0.64906763217614249</v>
      </c>
    </row>
    <row r="3805" spans="1:5" x14ac:dyDescent="0.25">
      <c r="A3805" s="17">
        <v>319</v>
      </c>
      <c r="B3805" s="31">
        <v>51820</v>
      </c>
      <c r="C3805" s="32">
        <f>INDEX('Input Data'!$B:$B,A3805)/2+IF(A3805&lt;&gt;A3806,100,0)</f>
        <v>1.375</v>
      </c>
      <c r="D3805" s="33">
        <f>INDEX('ZCB Curve - Payment Dates'!$D$2:$D$246,MATCH(B3805,'ZCB Curve - Payment Dates'!$A$2:$A$246,0))</f>
        <v>0.45775548669345245</v>
      </c>
      <c r="E3805" s="32">
        <f t="shared" si="59"/>
        <v>0.62941379420349708</v>
      </c>
    </row>
    <row r="3806" spans="1:5" x14ac:dyDescent="0.25">
      <c r="A3806" s="17">
        <v>319</v>
      </c>
      <c r="B3806" s="31">
        <v>52001</v>
      </c>
      <c r="C3806" s="32">
        <f>INDEX('Input Data'!$B:$B,A3806)/2+IF(A3806&lt;&gt;A3807,100,0)</f>
        <v>1.375</v>
      </c>
      <c r="D3806" s="33">
        <f>INDEX('ZCB Curve - Payment Dates'!$D$2:$D$246,MATCH(B3806,'ZCB Curve - Payment Dates'!$A$2:$A$246,0))</f>
        <v>0.44407192118484318</v>
      </c>
      <c r="E3806" s="32">
        <f t="shared" si="59"/>
        <v>0.61059889162915937</v>
      </c>
    </row>
    <row r="3807" spans="1:5" x14ac:dyDescent="0.25">
      <c r="A3807" s="17">
        <v>319</v>
      </c>
      <c r="B3807" s="31">
        <v>52185</v>
      </c>
      <c r="C3807" s="32">
        <f>INDEX('Input Data'!$B:$B,A3807)/2+IF(A3807&lt;&gt;A3808,100,0)</f>
        <v>1.375</v>
      </c>
      <c r="D3807" s="33">
        <f>INDEX('ZCB Curve - Payment Dates'!$D$2:$D$246,MATCH(B3807,'ZCB Curve - Payment Dates'!$A$2:$A$246,0))</f>
        <v>0.43055647946672393</v>
      </c>
      <c r="E3807" s="32">
        <f t="shared" si="59"/>
        <v>0.59201515926674542</v>
      </c>
    </row>
    <row r="3808" spans="1:5" x14ac:dyDescent="0.25">
      <c r="A3808" s="17">
        <v>319</v>
      </c>
      <c r="B3808" s="31">
        <v>52366</v>
      </c>
      <c r="C3808" s="32">
        <f>INDEX('Input Data'!$B:$B,A3808)/2+IF(A3808&lt;&gt;A3809,100,0)</f>
        <v>1.375</v>
      </c>
      <c r="D3808" s="33">
        <f>INDEX('ZCB Curve - Payment Dates'!$D$2:$D$246,MATCH(B3808,'ZCB Curve - Payment Dates'!$A$2:$A$246,0))</f>
        <v>0.41765686229470528</v>
      </c>
      <c r="E3808" s="32">
        <f t="shared" si="59"/>
        <v>0.57427818565521971</v>
      </c>
    </row>
    <row r="3809" spans="1:5" x14ac:dyDescent="0.25">
      <c r="A3809" s="17">
        <v>319</v>
      </c>
      <c r="B3809" s="31">
        <v>52550</v>
      </c>
      <c r="C3809" s="32">
        <f>INDEX('Input Data'!$B:$B,A3809)/2+IF(A3809&lt;&gt;A3810,100,0)</f>
        <v>1.375</v>
      </c>
      <c r="D3809" s="33">
        <f>INDEX('ZCB Curve - Payment Dates'!$D$2:$D$246,MATCH(B3809,'ZCB Curve - Payment Dates'!$A$2:$A$246,0))</f>
        <v>0.40495237741553414</v>
      </c>
      <c r="E3809" s="32">
        <f t="shared" si="59"/>
        <v>0.55680951894635944</v>
      </c>
    </row>
    <row r="3810" spans="1:5" x14ac:dyDescent="0.25">
      <c r="A3810" s="17">
        <v>319</v>
      </c>
      <c r="B3810" s="31">
        <v>52732</v>
      </c>
      <c r="C3810" s="32">
        <f>INDEX('Input Data'!$B:$B,A3810)/2+IF(A3810&lt;&gt;A3811,100,0)</f>
        <v>1.375</v>
      </c>
      <c r="D3810" s="33">
        <f>INDEX('ZCB Curve - Payment Dates'!$D$2:$D$246,MATCH(B3810,'ZCB Curve - Payment Dates'!$A$2:$A$246,0))</f>
        <v>0.3927952920896523</v>
      </c>
      <c r="E3810" s="32">
        <f t="shared" si="59"/>
        <v>0.54009352662327192</v>
      </c>
    </row>
    <row r="3811" spans="1:5" x14ac:dyDescent="0.25">
      <c r="A3811" s="17">
        <v>319</v>
      </c>
      <c r="B3811" s="31">
        <v>52916</v>
      </c>
      <c r="C3811" s="32">
        <f>INDEX('Input Data'!$B:$B,A3811)/2+IF(A3811&lt;&gt;A3812,100,0)</f>
        <v>1.375</v>
      </c>
      <c r="D3811" s="33">
        <f>INDEX('ZCB Curve - Payment Dates'!$D$2:$D$246,MATCH(B3811,'ZCB Curve - Payment Dates'!$A$2:$A$246,0))</f>
        <v>0.38091684361752687</v>
      </c>
      <c r="E3811" s="32">
        <f t="shared" si="59"/>
        <v>0.52376065997409949</v>
      </c>
    </row>
    <row r="3812" spans="1:5" x14ac:dyDescent="0.25">
      <c r="A3812" s="17">
        <v>319</v>
      </c>
      <c r="B3812" s="31">
        <v>53097</v>
      </c>
      <c r="C3812" s="32">
        <f>INDEX('Input Data'!$B:$B,A3812)/2+IF(A3812&lt;&gt;A3813,100,0)</f>
        <v>1.375</v>
      </c>
      <c r="D3812" s="33">
        <f>INDEX('ZCB Curve - Payment Dates'!$D$2:$D$246,MATCH(B3812,'ZCB Curve - Payment Dates'!$A$2:$A$246,0))</f>
        <v>0.36964331092783359</v>
      </c>
      <c r="E3812" s="32">
        <f t="shared" si="59"/>
        <v>0.50825955252577115</v>
      </c>
    </row>
    <row r="3813" spans="1:5" x14ac:dyDescent="0.25">
      <c r="A3813" s="17">
        <v>319</v>
      </c>
      <c r="B3813" s="31">
        <v>53281</v>
      </c>
      <c r="C3813" s="32">
        <f>INDEX('Input Data'!$B:$B,A3813)/2+IF(A3813&lt;&gt;A3814,100,0)</f>
        <v>1.375</v>
      </c>
      <c r="D3813" s="33">
        <f>INDEX('ZCB Curve - Payment Dates'!$D$2:$D$246,MATCH(B3813,'ZCB Curve - Payment Dates'!$A$2:$A$246,0))</f>
        <v>0.35859090372935404</v>
      </c>
      <c r="E3813" s="32">
        <f t="shared" si="59"/>
        <v>0.49306249262786178</v>
      </c>
    </row>
    <row r="3814" spans="1:5" x14ac:dyDescent="0.25">
      <c r="A3814" s="17">
        <v>319</v>
      </c>
      <c r="B3814" s="31">
        <v>53462</v>
      </c>
      <c r="C3814" s="32">
        <f>INDEX('Input Data'!$B:$B,A3814)/2+IF(A3814&lt;&gt;A3815,100,0)</f>
        <v>1.375</v>
      </c>
      <c r="D3814" s="33">
        <f>INDEX('ZCB Curve - Payment Dates'!$D$2:$D$246,MATCH(B3814,'ZCB Curve - Payment Dates'!$A$2:$A$246,0))</f>
        <v>0.34812465854380154</v>
      </c>
      <c r="E3814" s="32">
        <f t="shared" si="59"/>
        <v>0.47867140549772713</v>
      </c>
    </row>
    <row r="3815" spans="1:5" x14ac:dyDescent="0.25">
      <c r="A3815" s="17">
        <v>319</v>
      </c>
      <c r="B3815" s="31">
        <v>53646</v>
      </c>
      <c r="C3815" s="32">
        <f>INDEX('Input Data'!$B:$B,A3815)/2+IF(A3815&lt;&gt;A3816,100,0)</f>
        <v>1.375</v>
      </c>
      <c r="D3815" s="33">
        <f>INDEX('ZCB Curve - Payment Dates'!$D$2:$D$246,MATCH(B3815,'ZCB Curve - Payment Dates'!$A$2:$A$246,0))</f>
        <v>0.33788528510382887</v>
      </c>
      <c r="E3815" s="32">
        <f t="shared" si="59"/>
        <v>0.46459226701776468</v>
      </c>
    </row>
    <row r="3816" spans="1:5" x14ac:dyDescent="0.25">
      <c r="A3816" s="17">
        <v>319</v>
      </c>
      <c r="B3816" s="31">
        <v>53827</v>
      </c>
      <c r="C3816" s="32">
        <f>INDEX('Input Data'!$B:$B,A3816)/2+IF(A3816&lt;&gt;A3817,100,0)</f>
        <v>1.375</v>
      </c>
      <c r="D3816" s="33">
        <f>INDEX('ZCB Curve - Payment Dates'!$D$2:$D$246,MATCH(B3816,'ZCB Curve - Payment Dates'!$A$2:$A$246,0))</f>
        <v>0.32820827061914198</v>
      </c>
      <c r="E3816" s="32">
        <f t="shared" si="59"/>
        <v>0.45128637210132022</v>
      </c>
    </row>
    <row r="3817" spans="1:5" x14ac:dyDescent="0.25">
      <c r="A3817" s="17">
        <v>319</v>
      </c>
      <c r="B3817" s="31">
        <v>54011</v>
      </c>
      <c r="C3817" s="32">
        <f>INDEX('Input Data'!$B:$B,A3817)/2+IF(A3817&lt;&gt;A3818,100,0)</f>
        <v>101.375</v>
      </c>
      <c r="D3817" s="33">
        <f>INDEX('ZCB Curve - Payment Dates'!$D$2:$D$246,MATCH(B3817,'ZCB Curve - Payment Dates'!$A$2:$A$246,0))</f>
        <v>0.31875888330253388</v>
      </c>
      <c r="E3817" s="32">
        <f t="shared" si="59"/>
        <v>32.314181794794372</v>
      </c>
    </row>
    <row r="3818" spans="1:5" x14ac:dyDescent="0.25">
      <c r="A3818" s="17">
        <v>320</v>
      </c>
      <c r="B3818" s="31">
        <v>46433</v>
      </c>
      <c r="C3818" s="32">
        <f>INDEX('Input Data'!$B:$B,A3818)/2+IF(A3818&lt;&gt;A3819,100,0)</f>
        <v>1.5</v>
      </c>
      <c r="D3818" s="33">
        <f>INDEX('ZCB Curve - Payment Dates'!$D$2:$D$246,MATCH(B3818,'ZCB Curve - Payment Dates'!$A$2:$A$246,0))</f>
        <v>0.98242671792446301</v>
      </c>
      <c r="E3818" s="32">
        <f t="shared" si="59"/>
        <v>1.4736400768866944</v>
      </c>
    </row>
    <row r="3819" spans="1:5" x14ac:dyDescent="0.25">
      <c r="A3819" s="17">
        <v>320</v>
      </c>
      <c r="B3819" s="31">
        <v>46614</v>
      </c>
      <c r="C3819" s="32">
        <f>INDEX('Input Data'!$B:$B,A3819)/2+IF(A3819&lt;&gt;A3820,100,0)</f>
        <v>1.5</v>
      </c>
      <c r="D3819" s="33">
        <f>INDEX('ZCB Curve - Payment Dates'!$D$2:$D$246,MATCH(B3819,'ZCB Curve - Payment Dates'!$A$2:$A$246,0))</f>
        <v>0.96187948164765535</v>
      </c>
      <c r="E3819" s="32">
        <f t="shared" si="59"/>
        <v>1.4428192224714831</v>
      </c>
    </row>
    <row r="3820" spans="1:5" x14ac:dyDescent="0.25">
      <c r="A3820" s="17">
        <v>320</v>
      </c>
      <c r="B3820" s="31">
        <v>46798</v>
      </c>
      <c r="C3820" s="32">
        <f>INDEX('Input Data'!$B:$B,A3820)/2+IF(A3820&lt;&gt;A3821,100,0)</f>
        <v>1.5</v>
      </c>
      <c r="D3820" s="33">
        <f>INDEX('ZCB Curve - Payment Dates'!$D$2:$D$246,MATCH(B3820,'ZCB Curve - Payment Dates'!$A$2:$A$246,0))</f>
        <v>0.94049096132648802</v>
      </c>
      <c r="E3820" s="32">
        <f t="shared" si="59"/>
        <v>1.4107364419897319</v>
      </c>
    </row>
    <row r="3821" spans="1:5" x14ac:dyDescent="0.25">
      <c r="A3821" s="17">
        <v>320</v>
      </c>
      <c r="B3821" s="31">
        <v>46980</v>
      </c>
      <c r="C3821" s="32">
        <f>INDEX('Input Data'!$B:$B,A3821)/2+IF(A3821&lt;&gt;A3822,100,0)</f>
        <v>1.5</v>
      </c>
      <c r="D3821" s="33">
        <f>INDEX('ZCB Curve - Payment Dates'!$D$2:$D$246,MATCH(B3821,'ZCB Curve - Payment Dates'!$A$2:$A$246,0))</f>
        <v>0.91931844130238327</v>
      </c>
      <c r="E3821" s="32">
        <f t="shared" si="59"/>
        <v>1.378977661953575</v>
      </c>
    </row>
    <row r="3822" spans="1:5" x14ac:dyDescent="0.25">
      <c r="A3822" s="17">
        <v>320</v>
      </c>
      <c r="B3822" s="31">
        <v>47164</v>
      </c>
      <c r="C3822" s="32">
        <f>INDEX('Input Data'!$B:$B,A3822)/2+IF(A3822&lt;&gt;A3823,100,0)</f>
        <v>1.5</v>
      </c>
      <c r="D3822" s="33">
        <f>INDEX('ZCB Curve - Payment Dates'!$D$2:$D$246,MATCH(B3822,'ZCB Curve - Payment Dates'!$A$2:$A$246,0))</f>
        <v>0.89817430058086534</v>
      </c>
      <c r="E3822" s="32">
        <f t="shared" si="59"/>
        <v>1.3472614508712981</v>
      </c>
    </row>
    <row r="3823" spans="1:5" x14ac:dyDescent="0.25">
      <c r="A3823" s="17">
        <v>320</v>
      </c>
      <c r="B3823" s="31">
        <v>47345</v>
      </c>
      <c r="C3823" s="32">
        <f>INDEX('Input Data'!$B:$B,A3823)/2+IF(A3823&lt;&gt;A3824,100,0)</f>
        <v>1.5</v>
      </c>
      <c r="D3823" s="33">
        <f>INDEX('ZCB Curve - Payment Dates'!$D$2:$D$246,MATCH(B3823,'ZCB Curve - Payment Dates'!$A$2:$A$246,0))</f>
        <v>0.87778421628860481</v>
      </c>
      <c r="E3823" s="32">
        <f t="shared" si="59"/>
        <v>1.3166763244329072</v>
      </c>
    </row>
    <row r="3824" spans="1:5" x14ac:dyDescent="0.25">
      <c r="A3824" s="17">
        <v>320</v>
      </c>
      <c r="B3824" s="31">
        <v>47529</v>
      </c>
      <c r="C3824" s="32">
        <f>INDEX('Input Data'!$B:$B,A3824)/2+IF(A3824&lt;&gt;A3825,100,0)</f>
        <v>1.5</v>
      </c>
      <c r="D3824" s="33">
        <f>INDEX('ZCB Curve - Payment Dates'!$D$2:$D$246,MATCH(B3824,'ZCB Curve - Payment Dates'!$A$2:$A$246,0))</f>
        <v>0.85751015570959666</v>
      </c>
      <c r="E3824" s="32">
        <f t="shared" si="59"/>
        <v>1.2862652335643949</v>
      </c>
    </row>
    <row r="3825" spans="1:5" x14ac:dyDescent="0.25">
      <c r="A3825" s="17">
        <v>320</v>
      </c>
      <c r="B3825" s="31">
        <v>47710</v>
      </c>
      <c r="C3825" s="32">
        <f>INDEX('Input Data'!$B:$B,A3825)/2+IF(A3825&lt;&gt;A3826,100,0)</f>
        <v>1.5</v>
      </c>
      <c r="D3825" s="33">
        <f>INDEX('ZCB Curve - Payment Dates'!$D$2:$D$246,MATCH(B3825,'ZCB Curve - Payment Dates'!$A$2:$A$246,0))</f>
        <v>0.83802423748211174</v>
      </c>
      <c r="E3825" s="32">
        <f t="shared" si="59"/>
        <v>1.2570363562231677</v>
      </c>
    </row>
    <row r="3826" spans="1:5" x14ac:dyDescent="0.25">
      <c r="A3826" s="17">
        <v>320</v>
      </c>
      <c r="B3826" s="31">
        <v>47894</v>
      </c>
      <c r="C3826" s="32">
        <f>INDEX('Input Data'!$B:$B,A3826)/2+IF(A3826&lt;&gt;A3827,100,0)</f>
        <v>1.5</v>
      </c>
      <c r="D3826" s="33">
        <f>INDEX('ZCB Curve - Payment Dates'!$D$2:$D$246,MATCH(B3826,'ZCB Curve - Payment Dates'!$A$2:$A$246,0))</f>
        <v>0.8186305474741673</v>
      </c>
      <c r="E3826" s="32">
        <f t="shared" si="59"/>
        <v>1.2279458212112511</v>
      </c>
    </row>
    <row r="3827" spans="1:5" x14ac:dyDescent="0.25">
      <c r="A3827" s="17">
        <v>320</v>
      </c>
      <c r="B3827" s="31">
        <v>48075</v>
      </c>
      <c r="C3827" s="32">
        <f>INDEX('Input Data'!$B:$B,A3827)/2+IF(A3827&lt;&gt;A3828,100,0)</f>
        <v>1.5</v>
      </c>
      <c r="D3827" s="33">
        <f>INDEX('ZCB Curve - Payment Dates'!$D$2:$D$246,MATCH(B3827,'ZCB Curve - Payment Dates'!$A$2:$A$246,0))</f>
        <v>0.7999252334775927</v>
      </c>
      <c r="E3827" s="32">
        <f t="shared" si="59"/>
        <v>1.199887850216389</v>
      </c>
    </row>
    <row r="3828" spans="1:5" x14ac:dyDescent="0.25">
      <c r="A3828" s="17">
        <v>320</v>
      </c>
      <c r="B3828" s="31">
        <v>48259</v>
      </c>
      <c r="C3828" s="32">
        <f>INDEX('Input Data'!$B:$B,A3828)/2+IF(A3828&lt;&gt;A3829,100,0)</f>
        <v>1.5</v>
      </c>
      <c r="D3828" s="33">
        <f>INDEX('ZCB Curve - Payment Dates'!$D$2:$D$246,MATCH(B3828,'ZCB Curve - Payment Dates'!$A$2:$A$246,0))</f>
        <v>0.78121887027612602</v>
      </c>
      <c r="E3828" s="32">
        <f t="shared" si="59"/>
        <v>1.1718283054141891</v>
      </c>
    </row>
    <row r="3829" spans="1:5" x14ac:dyDescent="0.25">
      <c r="A3829" s="17">
        <v>320</v>
      </c>
      <c r="B3829" s="31">
        <v>48441</v>
      </c>
      <c r="C3829" s="32">
        <f>INDEX('Input Data'!$B:$B,A3829)/2+IF(A3829&lt;&gt;A3830,100,0)</f>
        <v>1.5</v>
      </c>
      <c r="D3829" s="33">
        <f>INDEX('ZCB Curve - Payment Dates'!$D$2:$D$246,MATCH(B3829,'ZCB Curve - Payment Dates'!$A$2:$A$246,0))</f>
        <v>0.76298123459017864</v>
      </c>
      <c r="E3829" s="32">
        <f t="shared" si="59"/>
        <v>1.1444718518852679</v>
      </c>
    </row>
    <row r="3830" spans="1:5" x14ac:dyDescent="0.25">
      <c r="A3830" s="17">
        <v>320</v>
      </c>
      <c r="B3830" s="31">
        <v>48625</v>
      </c>
      <c r="C3830" s="32">
        <f>INDEX('Input Data'!$B:$B,A3830)/2+IF(A3830&lt;&gt;A3831,100,0)</f>
        <v>1.5</v>
      </c>
      <c r="D3830" s="33">
        <f>INDEX('ZCB Curve - Payment Dates'!$D$2:$D$246,MATCH(B3830,'ZCB Curve - Payment Dates'!$A$2:$A$246,0))</f>
        <v>0.74476011611938586</v>
      </c>
      <c r="E3830" s="32">
        <f t="shared" si="59"/>
        <v>1.1171401741790787</v>
      </c>
    </row>
    <row r="3831" spans="1:5" x14ac:dyDescent="0.25">
      <c r="A3831" s="17">
        <v>320</v>
      </c>
      <c r="B3831" s="31">
        <v>48806</v>
      </c>
      <c r="C3831" s="32">
        <f>INDEX('Input Data'!$B:$B,A3831)/2+IF(A3831&lt;&gt;A3832,100,0)</f>
        <v>1.5</v>
      </c>
      <c r="D3831" s="33">
        <f>INDEX('ZCB Curve - Payment Dates'!$D$2:$D$246,MATCH(B3831,'ZCB Curve - Payment Dates'!$A$2:$A$246,0))</f>
        <v>0.72701302496114584</v>
      </c>
      <c r="E3831" s="32">
        <f t="shared" si="59"/>
        <v>1.0905195374417187</v>
      </c>
    </row>
    <row r="3832" spans="1:5" x14ac:dyDescent="0.25">
      <c r="A3832" s="17">
        <v>320</v>
      </c>
      <c r="B3832" s="31">
        <v>48990</v>
      </c>
      <c r="C3832" s="32">
        <f>INDEX('Input Data'!$B:$B,A3832)/2+IF(A3832&lt;&gt;A3833,100,0)</f>
        <v>1.5</v>
      </c>
      <c r="D3832" s="33">
        <f>INDEX('ZCB Curve - Payment Dates'!$D$2:$D$246,MATCH(B3832,'ZCB Curve - Payment Dates'!$A$2:$A$246,0))</f>
        <v>0.70912647031380449</v>
      </c>
      <c r="E3832" s="32">
        <f t="shared" si="59"/>
        <v>1.0636897054707068</v>
      </c>
    </row>
    <row r="3833" spans="1:5" x14ac:dyDescent="0.25">
      <c r="A3833" s="17">
        <v>320</v>
      </c>
      <c r="B3833" s="31">
        <v>49171</v>
      </c>
      <c r="C3833" s="32">
        <f>INDEX('Input Data'!$B:$B,A3833)/2+IF(A3833&lt;&gt;A3834,100,0)</f>
        <v>1.5</v>
      </c>
      <c r="D3833" s="33">
        <f>INDEX('ZCB Curve - Payment Dates'!$D$2:$D$246,MATCH(B3833,'ZCB Curve - Payment Dates'!$A$2:$A$246,0))</f>
        <v>0.6916661505723215</v>
      </c>
      <c r="E3833" s="32">
        <f t="shared" si="59"/>
        <v>1.0374992258584823</v>
      </c>
    </row>
    <row r="3834" spans="1:5" x14ac:dyDescent="0.25">
      <c r="A3834" s="17">
        <v>320</v>
      </c>
      <c r="B3834" s="31">
        <v>49355</v>
      </c>
      <c r="C3834" s="32">
        <f>INDEX('Input Data'!$B:$B,A3834)/2+IF(A3834&lt;&gt;A3835,100,0)</f>
        <v>1.5</v>
      </c>
      <c r="D3834" s="33">
        <f>INDEX('ZCB Curve - Payment Dates'!$D$2:$D$246,MATCH(B3834,'ZCB Curve - Payment Dates'!$A$2:$A$246,0))</f>
        <v>0.674047377898778</v>
      </c>
      <c r="E3834" s="32">
        <f t="shared" si="59"/>
        <v>1.0110710668481671</v>
      </c>
    </row>
    <row r="3835" spans="1:5" x14ac:dyDescent="0.25">
      <c r="A3835" s="17">
        <v>320</v>
      </c>
      <c r="B3835" s="31">
        <v>49536</v>
      </c>
      <c r="C3835" s="32">
        <f>INDEX('Input Data'!$B:$B,A3835)/2+IF(A3835&lt;&gt;A3836,100,0)</f>
        <v>1.5</v>
      </c>
      <c r="D3835" s="33">
        <f>INDEX('ZCB Curve - Payment Dates'!$D$2:$D$246,MATCH(B3835,'ZCB Curve - Payment Dates'!$A$2:$A$246,0))</f>
        <v>0.65684432300638129</v>
      </c>
      <c r="E3835" s="32">
        <f t="shared" si="59"/>
        <v>0.98526648450957199</v>
      </c>
    </row>
    <row r="3836" spans="1:5" x14ac:dyDescent="0.25">
      <c r="A3836" s="17">
        <v>320</v>
      </c>
      <c r="B3836" s="31">
        <v>49720</v>
      </c>
      <c r="C3836" s="32">
        <f>INDEX('Input Data'!$B:$B,A3836)/2+IF(A3836&lt;&gt;A3837,100,0)</f>
        <v>1.5</v>
      </c>
      <c r="D3836" s="33">
        <f>INDEX('ZCB Curve - Payment Dates'!$D$2:$D$246,MATCH(B3836,'ZCB Curve - Payment Dates'!$A$2:$A$246,0))</f>
        <v>0.63949604524993764</v>
      </c>
      <c r="E3836" s="32">
        <f t="shared" si="59"/>
        <v>0.95924406787490646</v>
      </c>
    </row>
    <row r="3837" spans="1:5" x14ac:dyDescent="0.25">
      <c r="A3837" s="17">
        <v>320</v>
      </c>
      <c r="B3837" s="31">
        <v>49902</v>
      </c>
      <c r="C3837" s="32">
        <f>INDEX('Input Data'!$B:$B,A3837)/2+IF(A3837&lt;&gt;A3838,100,0)</f>
        <v>1.5</v>
      </c>
      <c r="D3837" s="33">
        <f>INDEX('ZCB Curve - Payment Dates'!$D$2:$D$246,MATCH(B3837,'ZCB Curve - Payment Dates'!$A$2:$A$246,0))</f>
        <v>0.62248862376822711</v>
      </c>
      <c r="E3837" s="32">
        <f t="shared" si="59"/>
        <v>0.93373293565234072</v>
      </c>
    </row>
    <row r="3838" spans="1:5" x14ac:dyDescent="0.25">
      <c r="A3838" s="17">
        <v>320</v>
      </c>
      <c r="B3838" s="31">
        <v>50086</v>
      </c>
      <c r="C3838" s="32">
        <f>INDEX('Input Data'!$B:$B,A3838)/2+IF(A3838&lt;&gt;A3839,100,0)</f>
        <v>1.5</v>
      </c>
      <c r="D3838" s="33">
        <f>INDEX('ZCB Curve - Payment Dates'!$D$2:$D$246,MATCH(B3838,'ZCB Curve - Payment Dates'!$A$2:$A$246,0))</f>
        <v>0.60546490876014969</v>
      </c>
      <c r="E3838" s="32">
        <f t="shared" si="59"/>
        <v>0.90819736314022448</v>
      </c>
    </row>
    <row r="3839" spans="1:5" x14ac:dyDescent="0.25">
      <c r="A3839" s="17">
        <v>320</v>
      </c>
      <c r="B3839" s="31">
        <v>50267</v>
      </c>
      <c r="C3839" s="32">
        <f>INDEX('Input Data'!$B:$B,A3839)/2+IF(A3839&lt;&gt;A3840,100,0)</f>
        <v>1.5</v>
      </c>
      <c r="D3839" s="33">
        <f>INDEX('ZCB Curve - Payment Dates'!$D$2:$D$246,MATCH(B3839,'ZCB Curve - Payment Dates'!$A$2:$A$246,0))</f>
        <v>0.58890683803346977</v>
      </c>
      <c r="E3839" s="32">
        <f t="shared" si="59"/>
        <v>0.8833602570502046</v>
      </c>
    </row>
    <row r="3840" spans="1:5" x14ac:dyDescent="0.25">
      <c r="A3840" s="17">
        <v>320</v>
      </c>
      <c r="B3840" s="31">
        <v>50451</v>
      </c>
      <c r="C3840" s="32">
        <f>INDEX('Input Data'!$B:$B,A3840)/2+IF(A3840&lt;&gt;A3841,100,0)</f>
        <v>1.5</v>
      </c>
      <c r="D3840" s="33">
        <f>INDEX('ZCB Curve - Payment Dates'!$D$2:$D$246,MATCH(B3840,'ZCB Curve - Payment Dates'!$A$2:$A$246,0))</f>
        <v>0.57228983695479263</v>
      </c>
      <c r="E3840" s="32">
        <f t="shared" si="59"/>
        <v>0.85843475543218895</v>
      </c>
    </row>
    <row r="3841" spans="1:5" x14ac:dyDescent="0.25">
      <c r="A3841" s="17">
        <v>320</v>
      </c>
      <c r="B3841" s="31">
        <v>50632</v>
      </c>
      <c r="C3841" s="32">
        <f>INDEX('Input Data'!$B:$B,A3841)/2+IF(A3841&lt;&gt;A3842,100,0)</f>
        <v>1.5</v>
      </c>
      <c r="D3841" s="33">
        <f>INDEX('ZCB Curve - Payment Dates'!$D$2:$D$246,MATCH(B3841,'ZCB Curve - Payment Dates'!$A$2:$A$246,0))</f>
        <v>0.55617795699202288</v>
      </c>
      <c r="E3841" s="32">
        <f t="shared" si="59"/>
        <v>0.83426693548803432</v>
      </c>
    </row>
    <row r="3842" spans="1:5" x14ac:dyDescent="0.25">
      <c r="A3842" s="17">
        <v>320</v>
      </c>
      <c r="B3842" s="31">
        <v>50816</v>
      </c>
      <c r="C3842" s="32">
        <f>INDEX('Input Data'!$B:$B,A3842)/2+IF(A3842&lt;&gt;A3843,100,0)</f>
        <v>1.5</v>
      </c>
      <c r="D3842" s="33">
        <f>INDEX('ZCB Curve - Payment Dates'!$D$2:$D$246,MATCH(B3842,'ZCB Curve - Payment Dates'!$A$2:$A$246,0))</f>
        <v>0.54006240951211237</v>
      </c>
      <c r="E3842" s="32">
        <f t="shared" ref="E3842:E3905" si="60">C3842*D3842</f>
        <v>0.8100936142681685</v>
      </c>
    </row>
    <row r="3843" spans="1:5" x14ac:dyDescent="0.25">
      <c r="A3843" s="17">
        <v>320</v>
      </c>
      <c r="B3843" s="31">
        <v>50997</v>
      </c>
      <c r="C3843" s="32">
        <f>INDEX('Input Data'!$B:$B,A3843)/2+IF(A3843&lt;&gt;A3844,100,0)</f>
        <v>1.5</v>
      </c>
      <c r="D3843" s="33">
        <f>INDEX('ZCB Curve - Payment Dates'!$D$2:$D$246,MATCH(B3843,'ZCB Curve - Payment Dates'!$A$2:$A$246,0))</f>
        <v>0.52449040173194583</v>
      </c>
      <c r="E3843" s="32">
        <f t="shared" si="60"/>
        <v>0.78673560259791875</v>
      </c>
    </row>
    <row r="3844" spans="1:5" x14ac:dyDescent="0.25">
      <c r="A3844" s="17">
        <v>320</v>
      </c>
      <c r="B3844" s="31">
        <v>51181</v>
      </c>
      <c r="C3844" s="32">
        <f>INDEX('Input Data'!$B:$B,A3844)/2+IF(A3844&lt;&gt;A3845,100,0)</f>
        <v>1.5</v>
      </c>
      <c r="D3844" s="33">
        <f>INDEX('ZCB Curve - Payment Dates'!$D$2:$D$246,MATCH(B3844,'ZCB Curve - Payment Dates'!$A$2:$A$246,0))</f>
        <v>0.5089691698468306</v>
      </c>
      <c r="E3844" s="32">
        <f t="shared" si="60"/>
        <v>0.76345375477024591</v>
      </c>
    </row>
    <row r="3845" spans="1:5" x14ac:dyDescent="0.25">
      <c r="A3845" s="17">
        <v>320</v>
      </c>
      <c r="B3845" s="31">
        <v>51363</v>
      </c>
      <c r="C3845" s="32">
        <f>INDEX('Input Data'!$B:$B,A3845)/2+IF(A3845&lt;&gt;A3846,100,0)</f>
        <v>1.5</v>
      </c>
      <c r="D3845" s="33">
        <f>INDEX('ZCB Curve - Payment Dates'!$D$2:$D$246,MATCH(B3845,'ZCB Curve - Payment Dates'!$A$2:$A$246,0))</f>
        <v>0.49394036022330806</v>
      </c>
      <c r="E3845" s="32">
        <f t="shared" si="60"/>
        <v>0.74091054033496206</v>
      </c>
    </row>
    <row r="3846" spans="1:5" x14ac:dyDescent="0.25">
      <c r="A3846" s="17">
        <v>320</v>
      </c>
      <c r="B3846" s="31">
        <v>51547</v>
      </c>
      <c r="C3846" s="32">
        <f>INDEX('Input Data'!$B:$B,A3846)/2+IF(A3846&lt;&gt;A3847,100,0)</f>
        <v>1.5</v>
      </c>
      <c r="D3846" s="33">
        <f>INDEX('ZCB Curve - Payment Dates'!$D$2:$D$246,MATCH(B3846,'ZCB Curve - Payment Dates'!$A$2:$A$246,0))</f>
        <v>0.47909718957588998</v>
      </c>
      <c r="E3846" s="32">
        <f t="shared" si="60"/>
        <v>0.71864578436383497</v>
      </c>
    </row>
    <row r="3847" spans="1:5" x14ac:dyDescent="0.25">
      <c r="A3847" s="17">
        <v>320</v>
      </c>
      <c r="B3847" s="31">
        <v>51728</v>
      </c>
      <c r="C3847" s="32">
        <f>INDEX('Input Data'!$B:$B,A3847)/2+IF(A3847&lt;&gt;A3848,100,0)</f>
        <v>1.5</v>
      </c>
      <c r="D3847" s="33">
        <f>INDEX('ZCB Curve - Payment Dates'!$D$2:$D$246,MATCH(B3847,'ZCB Curve - Payment Dates'!$A$2:$A$246,0))</f>
        <v>0.46485329459616059</v>
      </c>
      <c r="E3847" s="32">
        <f t="shared" si="60"/>
        <v>0.69727994189424092</v>
      </c>
    </row>
    <row r="3848" spans="1:5" x14ac:dyDescent="0.25">
      <c r="A3848" s="17">
        <v>320</v>
      </c>
      <c r="B3848" s="31">
        <v>51912</v>
      </c>
      <c r="C3848" s="32">
        <f>INDEX('Input Data'!$B:$B,A3848)/2+IF(A3848&lt;&gt;A3849,100,0)</f>
        <v>1.5</v>
      </c>
      <c r="D3848" s="33">
        <f>INDEX('ZCB Curve - Payment Dates'!$D$2:$D$246,MATCH(B3848,'ZCB Curve - Payment Dates'!$A$2:$A$246,0))</f>
        <v>0.45075168915212815</v>
      </c>
      <c r="E3848" s="32">
        <f t="shared" si="60"/>
        <v>0.67612753372819223</v>
      </c>
    </row>
    <row r="3849" spans="1:5" x14ac:dyDescent="0.25">
      <c r="A3849" s="17">
        <v>320</v>
      </c>
      <c r="B3849" s="31">
        <v>52093</v>
      </c>
      <c r="C3849" s="32">
        <f>INDEX('Input Data'!$B:$B,A3849)/2+IF(A3849&lt;&gt;A3850,100,0)</f>
        <v>1.5</v>
      </c>
      <c r="D3849" s="33">
        <f>INDEX('ZCB Curve - Payment Dates'!$D$2:$D$246,MATCH(B3849,'ZCB Curve - Payment Dates'!$A$2:$A$246,0))</f>
        <v>0.43726259018094221</v>
      </c>
      <c r="E3849" s="32">
        <f t="shared" si="60"/>
        <v>0.65589388527141335</v>
      </c>
    </row>
    <row r="3850" spans="1:5" x14ac:dyDescent="0.25">
      <c r="A3850" s="17">
        <v>320</v>
      </c>
      <c r="B3850" s="31">
        <v>52277</v>
      </c>
      <c r="C3850" s="32">
        <f>INDEX('Input Data'!$B:$B,A3850)/2+IF(A3850&lt;&gt;A3851,100,0)</f>
        <v>1.5</v>
      </c>
      <c r="D3850" s="33">
        <f>INDEX('ZCB Curve - Payment Dates'!$D$2:$D$246,MATCH(B3850,'ZCB Curve - Payment Dates'!$A$2:$A$246,0))</f>
        <v>0.4239492285351204</v>
      </c>
      <c r="E3850" s="32">
        <f t="shared" si="60"/>
        <v>0.63592384280268055</v>
      </c>
    </row>
    <row r="3851" spans="1:5" x14ac:dyDescent="0.25">
      <c r="A3851" s="17">
        <v>320</v>
      </c>
      <c r="B3851" s="31">
        <v>52458</v>
      </c>
      <c r="C3851" s="32">
        <f>INDEX('Input Data'!$B:$B,A3851)/2+IF(A3851&lt;&gt;A3852,100,0)</f>
        <v>1.5</v>
      </c>
      <c r="D3851" s="33">
        <f>INDEX('ZCB Curve - Payment Dates'!$D$2:$D$246,MATCH(B3851,'ZCB Curve - Payment Dates'!$A$2:$A$246,0))</f>
        <v>0.4112516019468152</v>
      </c>
      <c r="E3851" s="32">
        <f t="shared" si="60"/>
        <v>0.61687740292022286</v>
      </c>
    </row>
    <row r="3852" spans="1:5" x14ac:dyDescent="0.25">
      <c r="A3852" s="17">
        <v>320</v>
      </c>
      <c r="B3852" s="31">
        <v>52642</v>
      </c>
      <c r="C3852" s="32">
        <f>INDEX('Input Data'!$B:$B,A3852)/2+IF(A3852&lt;&gt;A3853,100,0)</f>
        <v>1.5</v>
      </c>
      <c r="D3852" s="33">
        <f>INDEX('ZCB Curve - Payment Dates'!$D$2:$D$246,MATCH(B3852,'ZCB Curve - Payment Dates'!$A$2:$A$246,0))</f>
        <v>0.39875459879352759</v>
      </c>
      <c r="E3852" s="32">
        <f t="shared" si="60"/>
        <v>0.59813189819029144</v>
      </c>
    </row>
    <row r="3853" spans="1:5" x14ac:dyDescent="0.25">
      <c r="A3853" s="17">
        <v>320</v>
      </c>
      <c r="B3853" s="31">
        <v>52824</v>
      </c>
      <c r="C3853" s="32">
        <f>INDEX('Input Data'!$B:$B,A3853)/2+IF(A3853&lt;&gt;A3854,100,0)</f>
        <v>1.5</v>
      </c>
      <c r="D3853" s="33">
        <f>INDEX('ZCB Curve - Payment Dates'!$D$2:$D$246,MATCH(B3853,'ZCB Curve - Payment Dates'!$A$2:$A$246,0))</f>
        <v>0.38680384560622083</v>
      </c>
      <c r="E3853" s="32">
        <f t="shared" si="60"/>
        <v>0.58020576840933125</v>
      </c>
    </row>
    <row r="3854" spans="1:5" x14ac:dyDescent="0.25">
      <c r="A3854" s="17">
        <v>320</v>
      </c>
      <c r="B3854" s="31">
        <v>53008</v>
      </c>
      <c r="C3854" s="32">
        <f>INDEX('Input Data'!$B:$B,A3854)/2+IF(A3854&lt;&gt;A3855,100,0)</f>
        <v>1.5</v>
      </c>
      <c r="D3854" s="33">
        <f>INDEX('ZCB Curve - Payment Dates'!$D$2:$D$246,MATCH(B3854,'ZCB Curve - Payment Dates'!$A$2:$A$246,0))</f>
        <v>0.37513648791915083</v>
      </c>
      <c r="E3854" s="32">
        <f t="shared" si="60"/>
        <v>0.56270473187872627</v>
      </c>
    </row>
    <row r="3855" spans="1:5" x14ac:dyDescent="0.25">
      <c r="A3855" s="17">
        <v>320</v>
      </c>
      <c r="B3855" s="31">
        <v>53189</v>
      </c>
      <c r="C3855" s="32">
        <f>INDEX('Input Data'!$B:$B,A3855)/2+IF(A3855&lt;&gt;A3856,100,0)</f>
        <v>1.5</v>
      </c>
      <c r="D3855" s="33">
        <f>INDEX('ZCB Curve - Payment Dates'!$D$2:$D$246,MATCH(B3855,'ZCB Curve - Payment Dates'!$A$2:$A$246,0))</f>
        <v>0.36406533257851953</v>
      </c>
      <c r="E3855" s="32">
        <f t="shared" si="60"/>
        <v>0.54609799886777932</v>
      </c>
    </row>
    <row r="3856" spans="1:5" x14ac:dyDescent="0.25">
      <c r="A3856" s="17">
        <v>320</v>
      </c>
      <c r="B3856" s="31">
        <v>53373</v>
      </c>
      <c r="C3856" s="32">
        <f>INDEX('Input Data'!$B:$B,A3856)/2+IF(A3856&lt;&gt;A3857,100,0)</f>
        <v>1.5</v>
      </c>
      <c r="D3856" s="33">
        <f>INDEX('ZCB Curve - Payment Dates'!$D$2:$D$246,MATCH(B3856,'ZCB Curve - Payment Dates'!$A$2:$A$246,0))</f>
        <v>0.35322166892031259</v>
      </c>
      <c r="E3856" s="32">
        <f t="shared" si="60"/>
        <v>0.52983250338046894</v>
      </c>
    </row>
    <row r="3857" spans="1:5" x14ac:dyDescent="0.25">
      <c r="A3857" s="17">
        <v>320</v>
      </c>
      <c r="B3857" s="31">
        <v>53554</v>
      </c>
      <c r="C3857" s="32">
        <f>INDEX('Input Data'!$B:$B,A3857)/2+IF(A3857&lt;&gt;A3858,100,0)</f>
        <v>1.5</v>
      </c>
      <c r="D3857" s="33">
        <f>INDEX('ZCB Curve - Payment Dates'!$D$2:$D$246,MATCH(B3857,'ZCB Curve - Payment Dates'!$A$2:$A$246,0))</f>
        <v>0.34295436226619208</v>
      </c>
      <c r="E3857" s="32">
        <f t="shared" si="60"/>
        <v>0.51443154339928809</v>
      </c>
    </row>
    <row r="3858" spans="1:5" x14ac:dyDescent="0.25">
      <c r="A3858" s="17">
        <v>320</v>
      </c>
      <c r="B3858" s="31">
        <v>53738</v>
      </c>
      <c r="C3858" s="32">
        <f>INDEX('Input Data'!$B:$B,A3858)/2+IF(A3858&lt;&gt;A3859,100,0)</f>
        <v>1.5</v>
      </c>
      <c r="D3858" s="33">
        <f>INDEX('ZCB Curve - Payment Dates'!$D$2:$D$246,MATCH(B3858,'ZCB Curve - Payment Dates'!$A$2:$A$246,0))</f>
        <v>0.33291860450360972</v>
      </c>
      <c r="E3858" s="32">
        <f t="shared" si="60"/>
        <v>0.4993779067554146</v>
      </c>
    </row>
    <row r="3859" spans="1:5" x14ac:dyDescent="0.25">
      <c r="A3859" s="17">
        <v>320</v>
      </c>
      <c r="B3859" s="31">
        <v>53919</v>
      </c>
      <c r="C3859" s="32">
        <f>INDEX('Input Data'!$B:$B,A3859)/2+IF(A3859&lt;&gt;A3860,100,0)</f>
        <v>1.5</v>
      </c>
      <c r="D3859" s="33">
        <f>INDEX('ZCB Curve - Payment Dates'!$D$2:$D$246,MATCH(B3859,'ZCB Curve - Payment Dates'!$A$2:$A$246,0))</f>
        <v>0.32343468195091313</v>
      </c>
      <c r="E3859" s="32">
        <f t="shared" si="60"/>
        <v>0.48515202292636972</v>
      </c>
    </row>
    <row r="3860" spans="1:5" x14ac:dyDescent="0.25">
      <c r="A3860" s="17">
        <v>320</v>
      </c>
      <c r="B3860" s="31">
        <v>54103</v>
      </c>
      <c r="C3860" s="32">
        <f>INDEX('Input Data'!$B:$B,A3860)/2+IF(A3860&lt;&gt;A3861,100,0)</f>
        <v>101.5</v>
      </c>
      <c r="D3860" s="33">
        <f>INDEX('ZCB Curve - Payment Dates'!$D$2:$D$246,MATCH(B3860,'ZCB Curve - Payment Dates'!$A$2:$A$246,0))</f>
        <v>0.31418167147949361</v>
      </c>
      <c r="E3860" s="32">
        <f t="shared" si="60"/>
        <v>31.889439655168601</v>
      </c>
    </row>
    <row r="3861" spans="1:5" x14ac:dyDescent="0.25">
      <c r="A3861" s="17">
        <v>321</v>
      </c>
      <c r="B3861" s="31">
        <v>46341</v>
      </c>
      <c r="C3861" s="32">
        <f>INDEX('Input Data'!$B:$B,A3861)/2+IF(A3861&lt;&gt;A3862,100,0)</f>
        <v>1.5625</v>
      </c>
      <c r="D3861" s="33">
        <f>INDEX('ZCB Curve - Payment Dates'!$D$2:$D$246,MATCH(B3861,'ZCB Curve - Payment Dates'!$A$2:$A$246,0))</f>
        <v>0.99245367292309439</v>
      </c>
      <c r="E3861" s="32">
        <f t="shared" si="60"/>
        <v>1.550708863942335</v>
      </c>
    </row>
    <row r="3862" spans="1:5" x14ac:dyDescent="0.25">
      <c r="A3862" s="17">
        <v>321</v>
      </c>
      <c r="B3862" s="31">
        <v>46522</v>
      </c>
      <c r="C3862" s="32">
        <f>INDEX('Input Data'!$B:$B,A3862)/2+IF(A3862&lt;&gt;A3863,100,0)</f>
        <v>1.5625</v>
      </c>
      <c r="D3862" s="33">
        <f>INDEX('ZCB Curve - Payment Dates'!$D$2:$D$246,MATCH(B3862,'ZCB Curve - Payment Dates'!$A$2:$A$246,0))</f>
        <v>0.97242179559611874</v>
      </c>
      <c r="E3862" s="32">
        <f t="shared" si="60"/>
        <v>1.5194090556189355</v>
      </c>
    </row>
    <row r="3863" spans="1:5" x14ac:dyDescent="0.25">
      <c r="A3863" s="17">
        <v>321</v>
      </c>
      <c r="B3863" s="31">
        <v>46706</v>
      </c>
      <c r="C3863" s="32">
        <f>INDEX('Input Data'!$B:$B,A3863)/2+IF(A3863&lt;&gt;A3864,100,0)</f>
        <v>1.5625</v>
      </c>
      <c r="D3863" s="33">
        <f>INDEX('ZCB Curve - Payment Dates'!$D$2:$D$246,MATCH(B3863,'ZCB Curve - Payment Dates'!$A$2:$A$246,0))</f>
        <v>0.95121018311627348</v>
      </c>
      <c r="E3863" s="32">
        <f t="shared" si="60"/>
        <v>1.4862659111191774</v>
      </c>
    </row>
    <row r="3864" spans="1:5" x14ac:dyDescent="0.25">
      <c r="A3864" s="17">
        <v>321</v>
      </c>
      <c r="B3864" s="31">
        <v>46888</v>
      </c>
      <c r="C3864" s="32">
        <f>INDEX('Input Data'!$B:$B,A3864)/2+IF(A3864&lt;&gt;A3865,100,0)</f>
        <v>1.5625</v>
      </c>
      <c r="D3864" s="33">
        <f>INDEX('ZCB Curve - Payment Dates'!$D$2:$D$246,MATCH(B3864,'ZCB Curve - Payment Dates'!$A$2:$A$246,0))</f>
        <v>0.93000025435083566</v>
      </c>
      <c r="E3864" s="32">
        <f t="shared" si="60"/>
        <v>1.4531253974231808</v>
      </c>
    </row>
    <row r="3865" spans="1:5" x14ac:dyDescent="0.25">
      <c r="A3865" s="17">
        <v>321</v>
      </c>
      <c r="B3865" s="31">
        <v>47072</v>
      </c>
      <c r="C3865" s="32">
        <f>INDEX('Input Data'!$B:$B,A3865)/2+IF(A3865&lt;&gt;A3866,100,0)</f>
        <v>1.5625</v>
      </c>
      <c r="D3865" s="33">
        <f>INDEX('ZCB Curve - Payment Dates'!$D$2:$D$246,MATCH(B3865,'ZCB Curve - Payment Dates'!$A$2:$A$246,0))</f>
        <v>0.90870125167038918</v>
      </c>
      <c r="E3865" s="32">
        <f t="shared" si="60"/>
        <v>1.4198457057349831</v>
      </c>
    </row>
    <row r="3866" spans="1:5" x14ac:dyDescent="0.25">
      <c r="A3866" s="17">
        <v>321</v>
      </c>
      <c r="B3866" s="31">
        <v>47253</v>
      </c>
      <c r="C3866" s="32">
        <f>INDEX('Input Data'!$B:$B,A3866)/2+IF(A3866&lt;&gt;A3867,100,0)</f>
        <v>1.5625</v>
      </c>
      <c r="D3866" s="33">
        <f>INDEX('ZCB Curve - Payment Dates'!$D$2:$D$246,MATCH(B3866,'ZCB Curve - Payment Dates'!$A$2:$A$246,0))</f>
        <v>0.88809325063638844</v>
      </c>
      <c r="E3866" s="32">
        <f t="shared" si="60"/>
        <v>1.3876457041193568</v>
      </c>
    </row>
    <row r="3867" spans="1:5" x14ac:dyDescent="0.25">
      <c r="A3867" s="17">
        <v>321</v>
      </c>
      <c r="B3867" s="31">
        <v>47437</v>
      </c>
      <c r="C3867" s="32">
        <f>INDEX('Input Data'!$B:$B,A3867)/2+IF(A3867&lt;&gt;A3868,100,0)</f>
        <v>1.5625</v>
      </c>
      <c r="D3867" s="33">
        <f>INDEX('ZCB Curve - Payment Dates'!$D$2:$D$246,MATCH(B3867,'ZCB Curve - Payment Dates'!$A$2:$A$246,0))</f>
        <v>0.86758824089536279</v>
      </c>
      <c r="E3867" s="32">
        <f t="shared" si="60"/>
        <v>1.3556066263990043</v>
      </c>
    </row>
    <row r="3868" spans="1:5" x14ac:dyDescent="0.25">
      <c r="A3868" s="17">
        <v>321</v>
      </c>
      <c r="B3868" s="31">
        <v>47618</v>
      </c>
      <c r="C3868" s="32">
        <f>INDEX('Input Data'!$B:$B,A3868)/2+IF(A3868&lt;&gt;A3869,100,0)</f>
        <v>1.5625</v>
      </c>
      <c r="D3868" s="33">
        <f>INDEX('ZCB Curve - Payment Dates'!$D$2:$D$246,MATCH(B3868,'ZCB Curve - Payment Dates'!$A$2:$A$246,0))</f>
        <v>0.84787416911783064</v>
      </c>
      <c r="E3868" s="32">
        <f t="shared" si="60"/>
        <v>1.3248033892466105</v>
      </c>
    </row>
    <row r="3869" spans="1:5" x14ac:dyDescent="0.25">
      <c r="A3869" s="17">
        <v>321</v>
      </c>
      <c r="B3869" s="31">
        <v>47802</v>
      </c>
      <c r="C3869" s="32">
        <f>INDEX('Input Data'!$B:$B,A3869)/2+IF(A3869&lt;&gt;A3870,100,0)</f>
        <v>1.5625</v>
      </c>
      <c r="D3869" s="33">
        <f>INDEX('ZCB Curve - Payment Dates'!$D$2:$D$246,MATCH(B3869,'ZCB Curve - Payment Dates'!$A$2:$A$246,0))</f>
        <v>0.82827715028796722</v>
      </c>
      <c r="E3869" s="32">
        <f t="shared" si="60"/>
        <v>1.2941830473249487</v>
      </c>
    </row>
    <row r="3870" spans="1:5" x14ac:dyDescent="0.25">
      <c r="A3870" s="17">
        <v>321</v>
      </c>
      <c r="B3870" s="31">
        <v>47983</v>
      </c>
      <c r="C3870" s="32">
        <f>INDEX('Input Data'!$B:$B,A3870)/2+IF(A3870&lt;&gt;A3871,100,0)</f>
        <v>1.5625</v>
      </c>
      <c r="D3870" s="33">
        <f>INDEX('ZCB Curve - Payment Dates'!$D$2:$D$246,MATCH(B3870,'ZCB Curve - Payment Dates'!$A$2:$A$246,0))</f>
        <v>0.80939067484273564</v>
      </c>
      <c r="E3870" s="32">
        <f t="shared" si="60"/>
        <v>1.2646729294417745</v>
      </c>
    </row>
    <row r="3871" spans="1:5" x14ac:dyDescent="0.25">
      <c r="A3871" s="17">
        <v>321</v>
      </c>
      <c r="B3871" s="31">
        <v>48167</v>
      </c>
      <c r="C3871" s="32">
        <f>INDEX('Input Data'!$B:$B,A3871)/2+IF(A3871&lt;&gt;A3872,100,0)</f>
        <v>1.5625</v>
      </c>
      <c r="D3871" s="33">
        <f>INDEX('ZCB Curve - Payment Dates'!$D$2:$D$246,MATCH(B3871,'ZCB Curve - Payment Dates'!$A$2:$A$246,0))</f>
        <v>0.79053567842581962</v>
      </c>
      <c r="E3871" s="32">
        <f t="shared" si="60"/>
        <v>1.2352119975403431</v>
      </c>
    </row>
    <row r="3872" spans="1:5" x14ac:dyDescent="0.25">
      <c r="A3872" s="17">
        <v>321</v>
      </c>
      <c r="B3872" s="31">
        <v>48349</v>
      </c>
      <c r="C3872" s="32">
        <f>INDEX('Input Data'!$B:$B,A3872)/2+IF(A3872&lt;&gt;A3873,100,0)</f>
        <v>1.5625</v>
      </c>
      <c r="D3872" s="33">
        <f>INDEX('ZCB Curve - Payment Dates'!$D$2:$D$246,MATCH(B3872,'ZCB Curve - Payment Dates'!$A$2:$A$246,0))</f>
        <v>0.77217305702007488</v>
      </c>
      <c r="E3872" s="32">
        <f t="shared" si="60"/>
        <v>1.2065204015938671</v>
      </c>
    </row>
    <row r="3873" spans="1:5" x14ac:dyDescent="0.25">
      <c r="A3873" s="17">
        <v>321</v>
      </c>
      <c r="B3873" s="31">
        <v>48533</v>
      </c>
      <c r="C3873" s="32">
        <f>INDEX('Input Data'!$B:$B,A3873)/2+IF(A3873&lt;&gt;A3874,100,0)</f>
        <v>1.5625</v>
      </c>
      <c r="D3873" s="33">
        <f>INDEX('ZCB Curve - Payment Dates'!$D$2:$D$246,MATCH(B3873,'ZCB Curve - Payment Dates'!$A$2:$A$246,0))</f>
        <v>0.75384766072076514</v>
      </c>
      <c r="E3873" s="32">
        <f t="shared" si="60"/>
        <v>1.1778869698761956</v>
      </c>
    </row>
    <row r="3874" spans="1:5" x14ac:dyDescent="0.25">
      <c r="A3874" s="17">
        <v>321</v>
      </c>
      <c r="B3874" s="31">
        <v>48714</v>
      </c>
      <c r="C3874" s="32">
        <f>INDEX('Input Data'!$B:$B,A3874)/2+IF(A3874&lt;&gt;A3875,100,0)</f>
        <v>1.5625</v>
      </c>
      <c r="D3874" s="33">
        <f>INDEX('ZCB Curve - Payment Dates'!$D$2:$D$246,MATCH(B3874,'ZCB Curve - Payment Dates'!$A$2:$A$246,0))</f>
        <v>0.73601491848746747</v>
      </c>
      <c r="E3874" s="32">
        <f t="shared" si="60"/>
        <v>1.1500233101366679</v>
      </c>
    </row>
    <row r="3875" spans="1:5" x14ac:dyDescent="0.25">
      <c r="A3875" s="17">
        <v>321</v>
      </c>
      <c r="B3875" s="31">
        <v>48898</v>
      </c>
      <c r="C3875" s="32">
        <f>INDEX('Input Data'!$B:$B,A3875)/2+IF(A3875&lt;&gt;A3876,100,0)</f>
        <v>1.5625</v>
      </c>
      <c r="D3875" s="33">
        <f>INDEX('ZCB Curve - Payment Dates'!$D$2:$D$246,MATCH(B3875,'ZCB Curve - Payment Dates'!$A$2:$A$246,0))</f>
        <v>0.71805338140354003</v>
      </c>
      <c r="E3875" s="32">
        <f t="shared" si="60"/>
        <v>1.1219584084430312</v>
      </c>
    </row>
    <row r="3876" spans="1:5" x14ac:dyDescent="0.25">
      <c r="A3876" s="17">
        <v>321</v>
      </c>
      <c r="B3876" s="31">
        <v>49079</v>
      </c>
      <c r="C3876" s="32">
        <f>INDEX('Input Data'!$B:$B,A3876)/2+IF(A3876&lt;&gt;A3877,100,0)</f>
        <v>1.5625</v>
      </c>
      <c r="D3876" s="33">
        <f>INDEX('ZCB Curve - Payment Dates'!$D$2:$D$246,MATCH(B3876,'ZCB Curve - Payment Dates'!$A$2:$A$246,0))</f>
        <v>0.70052630492471468</v>
      </c>
      <c r="E3876" s="32">
        <f t="shared" si="60"/>
        <v>1.0945723514448666</v>
      </c>
    </row>
    <row r="3877" spans="1:5" x14ac:dyDescent="0.25">
      <c r="A3877" s="17">
        <v>321</v>
      </c>
      <c r="B3877" s="31">
        <v>49263</v>
      </c>
      <c r="C3877" s="32">
        <f>INDEX('Input Data'!$B:$B,A3877)/2+IF(A3877&lt;&gt;A3878,100,0)</f>
        <v>1.5625</v>
      </c>
      <c r="D3877" s="33">
        <f>INDEX('ZCB Curve - Payment Dates'!$D$2:$D$246,MATCH(B3877,'ZCB Curve - Payment Dates'!$A$2:$A$246,0))</f>
        <v>0.68284221202539863</v>
      </c>
      <c r="E3877" s="32">
        <f t="shared" si="60"/>
        <v>1.0669409562896854</v>
      </c>
    </row>
    <row r="3878" spans="1:5" x14ac:dyDescent="0.25">
      <c r="A3878" s="17">
        <v>321</v>
      </c>
      <c r="B3878" s="31">
        <v>49444</v>
      </c>
      <c r="C3878" s="32">
        <f>INDEX('Input Data'!$B:$B,A3878)/2+IF(A3878&lt;&gt;A3879,100,0)</f>
        <v>1.5625</v>
      </c>
      <c r="D3878" s="33">
        <f>INDEX('ZCB Curve - Payment Dates'!$D$2:$D$246,MATCH(B3878,'ZCB Curve - Payment Dates'!$A$2:$A$246,0))</f>
        <v>0.66557347415228496</v>
      </c>
      <c r="E3878" s="32">
        <f t="shared" si="60"/>
        <v>1.0399585533629452</v>
      </c>
    </row>
    <row r="3879" spans="1:5" x14ac:dyDescent="0.25">
      <c r="A3879" s="17">
        <v>321</v>
      </c>
      <c r="B3879" s="31">
        <v>49628</v>
      </c>
      <c r="C3879" s="32">
        <f>INDEX('Input Data'!$B:$B,A3879)/2+IF(A3879&lt;&gt;A3880,100,0)</f>
        <v>1.5625</v>
      </c>
      <c r="D3879" s="33">
        <f>INDEX('ZCB Curve - Payment Dates'!$D$2:$D$246,MATCH(B3879,'ZCB Curve - Payment Dates'!$A$2:$A$246,0))</f>
        <v>0.64815361918127823</v>
      </c>
      <c r="E3879" s="32">
        <f t="shared" si="60"/>
        <v>1.0127400299707472</v>
      </c>
    </row>
    <row r="3880" spans="1:5" x14ac:dyDescent="0.25">
      <c r="A3880" s="17">
        <v>321</v>
      </c>
      <c r="B3880" s="31">
        <v>49810</v>
      </c>
      <c r="C3880" s="32">
        <f>INDEX('Input Data'!$B:$B,A3880)/2+IF(A3880&lt;&gt;A3881,100,0)</f>
        <v>1.5625</v>
      </c>
      <c r="D3880" s="33">
        <f>INDEX('ZCB Curve - Payment Dates'!$D$2:$D$246,MATCH(B3880,'ZCB Curve - Payment Dates'!$A$2:$A$246,0))</f>
        <v>0.63106457078577471</v>
      </c>
      <c r="E3880" s="32">
        <f t="shared" si="60"/>
        <v>0.98603839185277298</v>
      </c>
    </row>
    <row r="3881" spans="1:5" x14ac:dyDescent="0.25">
      <c r="A3881" s="17">
        <v>321</v>
      </c>
      <c r="B3881" s="31">
        <v>49994</v>
      </c>
      <c r="C3881" s="32">
        <f>INDEX('Input Data'!$B:$B,A3881)/2+IF(A3881&lt;&gt;A3882,100,0)</f>
        <v>1.5625</v>
      </c>
      <c r="D3881" s="33">
        <f>INDEX('ZCB Curve - Payment Dates'!$D$2:$D$246,MATCH(B3881,'ZCB Curve - Payment Dates'!$A$2:$A$246,0))</f>
        <v>0.61395227923184648</v>
      </c>
      <c r="E3881" s="32">
        <f t="shared" si="60"/>
        <v>0.95930043629976014</v>
      </c>
    </row>
    <row r="3882" spans="1:5" x14ac:dyDescent="0.25">
      <c r="A3882" s="17">
        <v>321</v>
      </c>
      <c r="B3882" s="31">
        <v>50175</v>
      </c>
      <c r="C3882" s="32">
        <f>INDEX('Input Data'!$B:$B,A3882)/2+IF(A3882&lt;&gt;A3883,100,0)</f>
        <v>1.5625</v>
      </c>
      <c r="D3882" s="33">
        <f>INDEX('ZCB Curve - Payment Dates'!$D$2:$D$246,MATCH(B3882,'ZCB Curve - Payment Dates'!$A$2:$A$246,0))</f>
        <v>0.5972963482314616</v>
      </c>
      <c r="E3882" s="32">
        <f t="shared" si="60"/>
        <v>0.93327554411165881</v>
      </c>
    </row>
    <row r="3883" spans="1:5" x14ac:dyDescent="0.25">
      <c r="A3883" s="17">
        <v>321</v>
      </c>
      <c r="B3883" s="31">
        <v>50359</v>
      </c>
      <c r="C3883" s="32">
        <f>INDEX('Input Data'!$B:$B,A3883)/2+IF(A3883&lt;&gt;A3884,100,0)</f>
        <v>1.5625</v>
      </c>
      <c r="D3883" s="33">
        <f>INDEX('ZCB Curve - Payment Dates'!$D$2:$D$246,MATCH(B3883,'ZCB Curve - Payment Dates'!$A$2:$A$246,0))</f>
        <v>0.58056812006155756</v>
      </c>
      <c r="E3883" s="32">
        <f t="shared" si="60"/>
        <v>0.90713768759618363</v>
      </c>
    </row>
    <row r="3884" spans="1:5" x14ac:dyDescent="0.25">
      <c r="A3884" s="17">
        <v>321</v>
      </c>
      <c r="B3884" s="31">
        <v>50540</v>
      </c>
      <c r="C3884" s="32">
        <f>INDEX('Input Data'!$B:$B,A3884)/2+IF(A3884&lt;&gt;A3885,100,0)</f>
        <v>1.5625</v>
      </c>
      <c r="D3884" s="33">
        <f>INDEX('ZCB Curve - Payment Dates'!$D$2:$D$246,MATCH(B3884,'ZCB Curve - Payment Dates'!$A$2:$A$246,0))</f>
        <v>0.56433491315969797</v>
      </c>
      <c r="E3884" s="32">
        <f t="shared" si="60"/>
        <v>0.88177330181202807</v>
      </c>
    </row>
    <row r="3885" spans="1:5" x14ac:dyDescent="0.25">
      <c r="A3885" s="17">
        <v>321</v>
      </c>
      <c r="B3885" s="31">
        <v>50724</v>
      </c>
      <c r="C3885" s="32">
        <f>INDEX('Input Data'!$B:$B,A3885)/2+IF(A3885&lt;&gt;A3886,100,0)</f>
        <v>1.5625</v>
      </c>
      <c r="D3885" s="33">
        <f>INDEX('ZCB Curve - Payment Dates'!$D$2:$D$246,MATCH(B3885,'ZCB Curve - Payment Dates'!$A$2:$A$246,0))</f>
        <v>0.54808398139057424</v>
      </c>
      <c r="E3885" s="32">
        <f t="shared" si="60"/>
        <v>0.85638122092277225</v>
      </c>
    </row>
    <row r="3886" spans="1:5" x14ac:dyDescent="0.25">
      <c r="A3886" s="17">
        <v>321</v>
      </c>
      <c r="B3886" s="31">
        <v>50905</v>
      </c>
      <c r="C3886" s="32">
        <f>INDEX('Input Data'!$B:$B,A3886)/2+IF(A3886&lt;&gt;A3887,100,0)</f>
        <v>1.5625</v>
      </c>
      <c r="D3886" s="33">
        <f>INDEX('ZCB Curve - Payment Dates'!$D$2:$D$246,MATCH(B3886,'ZCB Curve - Payment Dates'!$A$2:$A$246,0))</f>
        <v>0.5323673246083096</v>
      </c>
      <c r="E3886" s="32">
        <f t="shared" si="60"/>
        <v>0.83182394470048371</v>
      </c>
    </row>
    <row r="3887" spans="1:5" x14ac:dyDescent="0.25">
      <c r="A3887" s="17">
        <v>321</v>
      </c>
      <c r="B3887" s="31">
        <v>51089</v>
      </c>
      <c r="C3887" s="32">
        <f>INDEX('Input Data'!$B:$B,A3887)/2+IF(A3887&lt;&gt;A3888,100,0)</f>
        <v>1.5625</v>
      </c>
      <c r="D3887" s="33">
        <f>INDEX('ZCB Curve - Payment Dates'!$D$2:$D$246,MATCH(B3887,'ZCB Curve - Payment Dates'!$A$2:$A$246,0))</f>
        <v>0.51668806431098135</v>
      </c>
      <c r="E3887" s="32">
        <f t="shared" si="60"/>
        <v>0.80732510048590833</v>
      </c>
    </row>
    <row r="3888" spans="1:5" x14ac:dyDescent="0.25">
      <c r="A3888" s="17">
        <v>321</v>
      </c>
      <c r="B3888" s="31">
        <v>51271</v>
      </c>
      <c r="C3888" s="32">
        <f>INDEX('Input Data'!$B:$B,A3888)/2+IF(A3888&lt;&gt;A3889,100,0)</f>
        <v>1.5625</v>
      </c>
      <c r="D3888" s="33">
        <f>INDEX('ZCB Curve - Payment Dates'!$D$2:$D$246,MATCH(B3888,'ZCB Curve - Payment Dates'!$A$2:$A$246,0))</f>
        <v>0.50149590020417278</v>
      </c>
      <c r="E3888" s="32">
        <f t="shared" si="60"/>
        <v>0.78358734406901998</v>
      </c>
    </row>
    <row r="3889" spans="1:5" x14ac:dyDescent="0.25">
      <c r="A3889" s="17">
        <v>321</v>
      </c>
      <c r="B3889" s="31">
        <v>51455</v>
      </c>
      <c r="C3889" s="32">
        <f>INDEX('Input Data'!$B:$B,A3889)/2+IF(A3889&lt;&gt;A3890,100,0)</f>
        <v>1.5625</v>
      </c>
      <c r="D3889" s="33">
        <f>INDEX('ZCB Curve - Payment Dates'!$D$2:$D$246,MATCH(B3889,'ZCB Curve - Payment Dates'!$A$2:$A$246,0))</f>
        <v>0.48647538074270091</v>
      </c>
      <c r="E3889" s="32">
        <f t="shared" si="60"/>
        <v>0.76011778241047012</v>
      </c>
    </row>
    <row r="3890" spans="1:5" x14ac:dyDescent="0.25">
      <c r="A3890" s="17">
        <v>321</v>
      </c>
      <c r="B3890" s="31">
        <v>51636</v>
      </c>
      <c r="C3890" s="32">
        <f>INDEX('Input Data'!$B:$B,A3890)/2+IF(A3890&lt;&gt;A3891,100,0)</f>
        <v>1.5625</v>
      </c>
      <c r="D3890" s="33">
        <f>INDEX('ZCB Curve - Payment Dates'!$D$2:$D$246,MATCH(B3890,'ZCB Curve - Payment Dates'!$A$2:$A$246,0))</f>
        <v>0.47204918703719451</v>
      </c>
      <c r="E3890" s="32">
        <f t="shared" si="60"/>
        <v>0.73757685474561641</v>
      </c>
    </row>
    <row r="3891" spans="1:5" x14ac:dyDescent="0.25">
      <c r="A3891" s="17">
        <v>321</v>
      </c>
      <c r="B3891" s="31">
        <v>51820</v>
      </c>
      <c r="C3891" s="32">
        <f>INDEX('Input Data'!$B:$B,A3891)/2+IF(A3891&lt;&gt;A3892,100,0)</f>
        <v>1.5625</v>
      </c>
      <c r="D3891" s="33">
        <f>INDEX('ZCB Curve - Payment Dates'!$D$2:$D$246,MATCH(B3891,'ZCB Curve - Payment Dates'!$A$2:$A$246,0))</f>
        <v>0.45775548669345245</v>
      </c>
      <c r="E3891" s="32">
        <f t="shared" si="60"/>
        <v>0.7152429479585195</v>
      </c>
    </row>
    <row r="3892" spans="1:5" x14ac:dyDescent="0.25">
      <c r="A3892" s="17">
        <v>321</v>
      </c>
      <c r="B3892" s="31">
        <v>52001</v>
      </c>
      <c r="C3892" s="32">
        <f>INDEX('Input Data'!$B:$B,A3892)/2+IF(A3892&lt;&gt;A3893,100,0)</f>
        <v>1.5625</v>
      </c>
      <c r="D3892" s="33">
        <f>INDEX('ZCB Curve - Payment Dates'!$D$2:$D$246,MATCH(B3892,'ZCB Curve - Payment Dates'!$A$2:$A$246,0))</f>
        <v>0.44407192118484318</v>
      </c>
      <c r="E3892" s="32">
        <f t="shared" si="60"/>
        <v>0.69386237685131746</v>
      </c>
    </row>
    <row r="3893" spans="1:5" x14ac:dyDescent="0.25">
      <c r="A3893" s="17">
        <v>321</v>
      </c>
      <c r="B3893" s="31">
        <v>52185</v>
      </c>
      <c r="C3893" s="32">
        <f>INDEX('Input Data'!$B:$B,A3893)/2+IF(A3893&lt;&gt;A3894,100,0)</f>
        <v>1.5625</v>
      </c>
      <c r="D3893" s="33">
        <f>INDEX('ZCB Curve - Payment Dates'!$D$2:$D$246,MATCH(B3893,'ZCB Curve - Payment Dates'!$A$2:$A$246,0))</f>
        <v>0.43055647946672393</v>
      </c>
      <c r="E3893" s="32">
        <f t="shared" si="60"/>
        <v>0.67274449916675616</v>
      </c>
    </row>
    <row r="3894" spans="1:5" x14ac:dyDescent="0.25">
      <c r="A3894" s="17">
        <v>321</v>
      </c>
      <c r="B3894" s="31">
        <v>52366</v>
      </c>
      <c r="C3894" s="32">
        <f>INDEX('Input Data'!$B:$B,A3894)/2+IF(A3894&lt;&gt;A3895,100,0)</f>
        <v>1.5625</v>
      </c>
      <c r="D3894" s="33">
        <f>INDEX('ZCB Curve - Payment Dates'!$D$2:$D$246,MATCH(B3894,'ZCB Curve - Payment Dates'!$A$2:$A$246,0))</f>
        <v>0.41765686229470528</v>
      </c>
      <c r="E3894" s="32">
        <f t="shared" si="60"/>
        <v>0.65258884733547695</v>
      </c>
    </row>
    <row r="3895" spans="1:5" x14ac:dyDescent="0.25">
      <c r="A3895" s="17">
        <v>321</v>
      </c>
      <c r="B3895" s="31">
        <v>52550</v>
      </c>
      <c r="C3895" s="32">
        <f>INDEX('Input Data'!$B:$B,A3895)/2+IF(A3895&lt;&gt;A3896,100,0)</f>
        <v>1.5625</v>
      </c>
      <c r="D3895" s="33">
        <f>INDEX('ZCB Curve - Payment Dates'!$D$2:$D$246,MATCH(B3895,'ZCB Curve - Payment Dates'!$A$2:$A$246,0))</f>
        <v>0.40495237741553414</v>
      </c>
      <c r="E3895" s="32">
        <f t="shared" si="60"/>
        <v>0.63273808971177203</v>
      </c>
    </row>
    <row r="3896" spans="1:5" x14ac:dyDescent="0.25">
      <c r="A3896" s="17">
        <v>321</v>
      </c>
      <c r="B3896" s="31">
        <v>52732</v>
      </c>
      <c r="C3896" s="32">
        <f>INDEX('Input Data'!$B:$B,A3896)/2+IF(A3896&lt;&gt;A3897,100,0)</f>
        <v>1.5625</v>
      </c>
      <c r="D3896" s="33">
        <f>INDEX('ZCB Curve - Payment Dates'!$D$2:$D$246,MATCH(B3896,'ZCB Curve - Payment Dates'!$A$2:$A$246,0))</f>
        <v>0.3927952920896523</v>
      </c>
      <c r="E3896" s="32">
        <f t="shared" si="60"/>
        <v>0.61374264389008171</v>
      </c>
    </row>
    <row r="3897" spans="1:5" x14ac:dyDescent="0.25">
      <c r="A3897" s="17">
        <v>321</v>
      </c>
      <c r="B3897" s="31">
        <v>52916</v>
      </c>
      <c r="C3897" s="32">
        <f>INDEX('Input Data'!$B:$B,A3897)/2+IF(A3897&lt;&gt;A3898,100,0)</f>
        <v>1.5625</v>
      </c>
      <c r="D3897" s="33">
        <f>INDEX('ZCB Curve - Payment Dates'!$D$2:$D$246,MATCH(B3897,'ZCB Curve - Payment Dates'!$A$2:$A$246,0))</f>
        <v>0.38091684361752687</v>
      </c>
      <c r="E3897" s="32">
        <f t="shared" si="60"/>
        <v>0.59518256815238568</v>
      </c>
    </row>
    <row r="3898" spans="1:5" x14ac:dyDescent="0.25">
      <c r="A3898" s="17">
        <v>321</v>
      </c>
      <c r="B3898" s="31">
        <v>53097</v>
      </c>
      <c r="C3898" s="32">
        <f>INDEX('Input Data'!$B:$B,A3898)/2+IF(A3898&lt;&gt;A3899,100,0)</f>
        <v>1.5625</v>
      </c>
      <c r="D3898" s="33">
        <f>INDEX('ZCB Curve - Payment Dates'!$D$2:$D$246,MATCH(B3898,'ZCB Curve - Payment Dates'!$A$2:$A$246,0))</f>
        <v>0.36964331092783359</v>
      </c>
      <c r="E3898" s="32">
        <f t="shared" si="60"/>
        <v>0.57756767332474002</v>
      </c>
    </row>
    <row r="3899" spans="1:5" x14ac:dyDescent="0.25">
      <c r="A3899" s="17">
        <v>321</v>
      </c>
      <c r="B3899" s="31">
        <v>53281</v>
      </c>
      <c r="C3899" s="32">
        <f>INDEX('Input Data'!$B:$B,A3899)/2+IF(A3899&lt;&gt;A3900,100,0)</f>
        <v>1.5625</v>
      </c>
      <c r="D3899" s="33">
        <f>INDEX('ZCB Curve - Payment Dates'!$D$2:$D$246,MATCH(B3899,'ZCB Curve - Payment Dates'!$A$2:$A$246,0))</f>
        <v>0.35859090372935404</v>
      </c>
      <c r="E3899" s="32">
        <f t="shared" si="60"/>
        <v>0.56029828707711571</v>
      </c>
    </row>
    <row r="3900" spans="1:5" x14ac:dyDescent="0.25">
      <c r="A3900" s="17">
        <v>321</v>
      </c>
      <c r="B3900" s="31">
        <v>53462</v>
      </c>
      <c r="C3900" s="32">
        <f>INDEX('Input Data'!$B:$B,A3900)/2+IF(A3900&lt;&gt;A3901,100,0)</f>
        <v>1.5625</v>
      </c>
      <c r="D3900" s="33">
        <f>INDEX('ZCB Curve - Payment Dates'!$D$2:$D$246,MATCH(B3900,'ZCB Curve - Payment Dates'!$A$2:$A$246,0))</f>
        <v>0.34812465854380154</v>
      </c>
      <c r="E3900" s="32">
        <f t="shared" si="60"/>
        <v>0.54394477897468985</v>
      </c>
    </row>
    <row r="3901" spans="1:5" x14ac:dyDescent="0.25">
      <c r="A3901" s="17">
        <v>321</v>
      </c>
      <c r="B3901" s="31">
        <v>53646</v>
      </c>
      <c r="C3901" s="32">
        <f>INDEX('Input Data'!$B:$B,A3901)/2+IF(A3901&lt;&gt;A3902,100,0)</f>
        <v>1.5625</v>
      </c>
      <c r="D3901" s="33">
        <f>INDEX('ZCB Curve - Payment Dates'!$D$2:$D$246,MATCH(B3901,'ZCB Curve - Payment Dates'!$A$2:$A$246,0))</f>
        <v>0.33788528510382887</v>
      </c>
      <c r="E3901" s="32">
        <f t="shared" si="60"/>
        <v>0.52794575797473264</v>
      </c>
    </row>
    <row r="3902" spans="1:5" x14ac:dyDescent="0.25">
      <c r="A3902" s="17">
        <v>321</v>
      </c>
      <c r="B3902" s="31">
        <v>53827</v>
      </c>
      <c r="C3902" s="32">
        <f>INDEX('Input Data'!$B:$B,A3902)/2+IF(A3902&lt;&gt;A3903,100,0)</f>
        <v>1.5625</v>
      </c>
      <c r="D3902" s="33">
        <f>INDEX('ZCB Curve - Payment Dates'!$D$2:$D$246,MATCH(B3902,'ZCB Curve - Payment Dates'!$A$2:$A$246,0))</f>
        <v>0.32820827061914198</v>
      </c>
      <c r="E3902" s="32">
        <f t="shared" si="60"/>
        <v>0.5128254228424094</v>
      </c>
    </row>
    <row r="3903" spans="1:5" x14ac:dyDescent="0.25">
      <c r="A3903" s="17">
        <v>321</v>
      </c>
      <c r="B3903" s="31">
        <v>54011</v>
      </c>
      <c r="C3903" s="32">
        <f>INDEX('Input Data'!$B:$B,A3903)/2+IF(A3903&lt;&gt;A3904,100,0)</f>
        <v>1.5625</v>
      </c>
      <c r="D3903" s="33">
        <f>INDEX('ZCB Curve - Payment Dates'!$D$2:$D$246,MATCH(B3903,'ZCB Curve - Payment Dates'!$A$2:$A$246,0))</f>
        <v>0.31875888330253388</v>
      </c>
      <c r="E3903" s="32">
        <f t="shared" si="60"/>
        <v>0.4980607551602092</v>
      </c>
    </row>
    <row r="3904" spans="1:5" x14ac:dyDescent="0.25">
      <c r="A3904" s="17">
        <v>321</v>
      </c>
      <c r="B3904" s="31">
        <v>54193</v>
      </c>
      <c r="C3904" s="32">
        <f>INDEX('Input Data'!$B:$B,A3904)/2+IF(A3904&lt;&gt;A3905,100,0)</f>
        <v>101.5625</v>
      </c>
      <c r="D3904" s="33">
        <f>INDEX('ZCB Curve - Payment Dates'!$D$2:$D$246,MATCH(B3904,'ZCB Curve - Payment Dates'!$A$2:$A$246,0))</f>
        <v>0.30979516521120642</v>
      </c>
      <c r="E3904" s="32">
        <f t="shared" si="60"/>
        <v>31.463571466763153</v>
      </c>
    </row>
    <row r="3905" spans="1:5" x14ac:dyDescent="0.25">
      <c r="A3905" s="17">
        <v>322</v>
      </c>
      <c r="B3905" s="31">
        <v>46433</v>
      </c>
      <c r="C3905" s="32">
        <f>INDEX('Input Data'!$B:$B,A3905)/2+IF(A3905&lt;&gt;A3906,100,0)</f>
        <v>1.5</v>
      </c>
      <c r="D3905" s="33">
        <f>INDEX('ZCB Curve - Payment Dates'!$D$2:$D$246,MATCH(B3905,'ZCB Curve - Payment Dates'!$A$2:$A$246,0))</f>
        <v>0.98242671792446301</v>
      </c>
      <c r="E3905" s="32">
        <f t="shared" si="60"/>
        <v>1.4736400768866944</v>
      </c>
    </row>
    <row r="3906" spans="1:5" x14ac:dyDescent="0.25">
      <c r="A3906" s="17">
        <v>322</v>
      </c>
      <c r="B3906" s="31">
        <v>46614</v>
      </c>
      <c r="C3906" s="32">
        <f>INDEX('Input Data'!$B:$B,A3906)/2+IF(A3906&lt;&gt;A3907,100,0)</f>
        <v>1.5</v>
      </c>
      <c r="D3906" s="33">
        <f>INDEX('ZCB Curve - Payment Dates'!$D$2:$D$246,MATCH(B3906,'ZCB Curve - Payment Dates'!$A$2:$A$246,0))</f>
        <v>0.96187948164765535</v>
      </c>
      <c r="E3906" s="32">
        <f t="shared" ref="E3906:E3969" si="61">C3906*D3906</f>
        <v>1.4428192224714831</v>
      </c>
    </row>
    <row r="3907" spans="1:5" x14ac:dyDescent="0.25">
      <c r="A3907" s="17">
        <v>322</v>
      </c>
      <c r="B3907" s="31">
        <v>46798</v>
      </c>
      <c r="C3907" s="32">
        <f>INDEX('Input Data'!$B:$B,A3907)/2+IF(A3907&lt;&gt;A3908,100,0)</f>
        <v>1.5</v>
      </c>
      <c r="D3907" s="33">
        <f>INDEX('ZCB Curve - Payment Dates'!$D$2:$D$246,MATCH(B3907,'ZCB Curve - Payment Dates'!$A$2:$A$246,0))</f>
        <v>0.94049096132648802</v>
      </c>
      <c r="E3907" s="32">
        <f t="shared" si="61"/>
        <v>1.4107364419897319</v>
      </c>
    </row>
    <row r="3908" spans="1:5" x14ac:dyDescent="0.25">
      <c r="A3908" s="17">
        <v>322</v>
      </c>
      <c r="B3908" s="31">
        <v>46980</v>
      </c>
      <c r="C3908" s="32">
        <f>INDEX('Input Data'!$B:$B,A3908)/2+IF(A3908&lt;&gt;A3909,100,0)</f>
        <v>1.5</v>
      </c>
      <c r="D3908" s="33">
        <f>INDEX('ZCB Curve - Payment Dates'!$D$2:$D$246,MATCH(B3908,'ZCB Curve - Payment Dates'!$A$2:$A$246,0))</f>
        <v>0.91931844130238327</v>
      </c>
      <c r="E3908" s="32">
        <f t="shared" si="61"/>
        <v>1.378977661953575</v>
      </c>
    </row>
    <row r="3909" spans="1:5" x14ac:dyDescent="0.25">
      <c r="A3909" s="17">
        <v>322</v>
      </c>
      <c r="B3909" s="31">
        <v>47164</v>
      </c>
      <c r="C3909" s="32">
        <f>INDEX('Input Data'!$B:$B,A3909)/2+IF(A3909&lt;&gt;A3910,100,0)</f>
        <v>1.5</v>
      </c>
      <c r="D3909" s="33">
        <f>INDEX('ZCB Curve - Payment Dates'!$D$2:$D$246,MATCH(B3909,'ZCB Curve - Payment Dates'!$A$2:$A$246,0))</f>
        <v>0.89817430058086534</v>
      </c>
      <c r="E3909" s="32">
        <f t="shared" si="61"/>
        <v>1.3472614508712981</v>
      </c>
    </row>
    <row r="3910" spans="1:5" x14ac:dyDescent="0.25">
      <c r="A3910" s="17">
        <v>322</v>
      </c>
      <c r="B3910" s="31">
        <v>47345</v>
      </c>
      <c r="C3910" s="32">
        <f>INDEX('Input Data'!$B:$B,A3910)/2+IF(A3910&lt;&gt;A3911,100,0)</f>
        <v>1.5</v>
      </c>
      <c r="D3910" s="33">
        <f>INDEX('ZCB Curve - Payment Dates'!$D$2:$D$246,MATCH(B3910,'ZCB Curve - Payment Dates'!$A$2:$A$246,0))</f>
        <v>0.87778421628860481</v>
      </c>
      <c r="E3910" s="32">
        <f t="shared" si="61"/>
        <v>1.3166763244329072</v>
      </c>
    </row>
    <row r="3911" spans="1:5" x14ac:dyDescent="0.25">
      <c r="A3911" s="17">
        <v>322</v>
      </c>
      <c r="B3911" s="31">
        <v>47529</v>
      </c>
      <c r="C3911" s="32">
        <f>INDEX('Input Data'!$B:$B,A3911)/2+IF(A3911&lt;&gt;A3912,100,0)</f>
        <v>1.5</v>
      </c>
      <c r="D3911" s="33">
        <f>INDEX('ZCB Curve - Payment Dates'!$D$2:$D$246,MATCH(B3911,'ZCB Curve - Payment Dates'!$A$2:$A$246,0))</f>
        <v>0.85751015570959666</v>
      </c>
      <c r="E3911" s="32">
        <f t="shared" si="61"/>
        <v>1.2862652335643949</v>
      </c>
    </row>
    <row r="3912" spans="1:5" x14ac:dyDescent="0.25">
      <c r="A3912" s="17">
        <v>322</v>
      </c>
      <c r="B3912" s="31">
        <v>47710</v>
      </c>
      <c r="C3912" s="32">
        <f>INDEX('Input Data'!$B:$B,A3912)/2+IF(A3912&lt;&gt;A3913,100,0)</f>
        <v>1.5</v>
      </c>
      <c r="D3912" s="33">
        <f>INDEX('ZCB Curve - Payment Dates'!$D$2:$D$246,MATCH(B3912,'ZCB Curve - Payment Dates'!$A$2:$A$246,0))</f>
        <v>0.83802423748211174</v>
      </c>
      <c r="E3912" s="32">
        <f t="shared" si="61"/>
        <v>1.2570363562231677</v>
      </c>
    </row>
    <row r="3913" spans="1:5" x14ac:dyDescent="0.25">
      <c r="A3913" s="17">
        <v>322</v>
      </c>
      <c r="B3913" s="31">
        <v>47894</v>
      </c>
      <c r="C3913" s="32">
        <f>INDEX('Input Data'!$B:$B,A3913)/2+IF(A3913&lt;&gt;A3914,100,0)</f>
        <v>1.5</v>
      </c>
      <c r="D3913" s="33">
        <f>INDEX('ZCB Curve - Payment Dates'!$D$2:$D$246,MATCH(B3913,'ZCB Curve - Payment Dates'!$A$2:$A$246,0))</f>
        <v>0.8186305474741673</v>
      </c>
      <c r="E3913" s="32">
        <f t="shared" si="61"/>
        <v>1.2279458212112511</v>
      </c>
    </row>
    <row r="3914" spans="1:5" x14ac:dyDescent="0.25">
      <c r="A3914" s="17">
        <v>322</v>
      </c>
      <c r="B3914" s="31">
        <v>48075</v>
      </c>
      <c r="C3914" s="32">
        <f>INDEX('Input Data'!$B:$B,A3914)/2+IF(A3914&lt;&gt;A3915,100,0)</f>
        <v>1.5</v>
      </c>
      <c r="D3914" s="33">
        <f>INDEX('ZCB Curve - Payment Dates'!$D$2:$D$246,MATCH(B3914,'ZCB Curve - Payment Dates'!$A$2:$A$246,0))</f>
        <v>0.7999252334775927</v>
      </c>
      <c r="E3914" s="32">
        <f t="shared" si="61"/>
        <v>1.199887850216389</v>
      </c>
    </row>
    <row r="3915" spans="1:5" x14ac:dyDescent="0.25">
      <c r="A3915" s="17">
        <v>322</v>
      </c>
      <c r="B3915" s="31">
        <v>48259</v>
      </c>
      <c r="C3915" s="32">
        <f>INDEX('Input Data'!$B:$B,A3915)/2+IF(A3915&lt;&gt;A3916,100,0)</f>
        <v>1.5</v>
      </c>
      <c r="D3915" s="33">
        <f>INDEX('ZCB Curve - Payment Dates'!$D$2:$D$246,MATCH(B3915,'ZCB Curve - Payment Dates'!$A$2:$A$246,0))</f>
        <v>0.78121887027612602</v>
      </c>
      <c r="E3915" s="32">
        <f t="shared" si="61"/>
        <v>1.1718283054141891</v>
      </c>
    </row>
    <row r="3916" spans="1:5" x14ac:dyDescent="0.25">
      <c r="A3916" s="17">
        <v>322</v>
      </c>
      <c r="B3916" s="31">
        <v>48441</v>
      </c>
      <c r="C3916" s="32">
        <f>INDEX('Input Data'!$B:$B,A3916)/2+IF(A3916&lt;&gt;A3917,100,0)</f>
        <v>1.5</v>
      </c>
      <c r="D3916" s="33">
        <f>INDEX('ZCB Curve - Payment Dates'!$D$2:$D$246,MATCH(B3916,'ZCB Curve - Payment Dates'!$A$2:$A$246,0))</f>
        <v>0.76298123459017864</v>
      </c>
      <c r="E3916" s="32">
        <f t="shared" si="61"/>
        <v>1.1444718518852679</v>
      </c>
    </row>
    <row r="3917" spans="1:5" x14ac:dyDescent="0.25">
      <c r="A3917" s="17">
        <v>322</v>
      </c>
      <c r="B3917" s="31">
        <v>48625</v>
      </c>
      <c r="C3917" s="32">
        <f>INDEX('Input Data'!$B:$B,A3917)/2+IF(A3917&lt;&gt;A3918,100,0)</f>
        <v>1.5</v>
      </c>
      <c r="D3917" s="33">
        <f>INDEX('ZCB Curve - Payment Dates'!$D$2:$D$246,MATCH(B3917,'ZCB Curve - Payment Dates'!$A$2:$A$246,0))</f>
        <v>0.74476011611938586</v>
      </c>
      <c r="E3917" s="32">
        <f t="shared" si="61"/>
        <v>1.1171401741790787</v>
      </c>
    </row>
    <row r="3918" spans="1:5" x14ac:dyDescent="0.25">
      <c r="A3918" s="17">
        <v>322</v>
      </c>
      <c r="B3918" s="31">
        <v>48806</v>
      </c>
      <c r="C3918" s="32">
        <f>INDEX('Input Data'!$B:$B,A3918)/2+IF(A3918&lt;&gt;A3919,100,0)</f>
        <v>1.5</v>
      </c>
      <c r="D3918" s="33">
        <f>INDEX('ZCB Curve - Payment Dates'!$D$2:$D$246,MATCH(B3918,'ZCB Curve - Payment Dates'!$A$2:$A$246,0))</f>
        <v>0.72701302496114584</v>
      </c>
      <c r="E3918" s="32">
        <f t="shared" si="61"/>
        <v>1.0905195374417187</v>
      </c>
    </row>
    <row r="3919" spans="1:5" x14ac:dyDescent="0.25">
      <c r="A3919" s="17">
        <v>322</v>
      </c>
      <c r="B3919" s="31">
        <v>48990</v>
      </c>
      <c r="C3919" s="32">
        <f>INDEX('Input Data'!$B:$B,A3919)/2+IF(A3919&lt;&gt;A3920,100,0)</f>
        <v>1.5</v>
      </c>
      <c r="D3919" s="33">
        <f>INDEX('ZCB Curve - Payment Dates'!$D$2:$D$246,MATCH(B3919,'ZCB Curve - Payment Dates'!$A$2:$A$246,0))</f>
        <v>0.70912647031380449</v>
      </c>
      <c r="E3919" s="32">
        <f t="shared" si="61"/>
        <v>1.0636897054707068</v>
      </c>
    </row>
    <row r="3920" spans="1:5" x14ac:dyDescent="0.25">
      <c r="A3920" s="17">
        <v>322</v>
      </c>
      <c r="B3920" s="31">
        <v>49171</v>
      </c>
      <c r="C3920" s="32">
        <f>INDEX('Input Data'!$B:$B,A3920)/2+IF(A3920&lt;&gt;A3921,100,0)</f>
        <v>1.5</v>
      </c>
      <c r="D3920" s="33">
        <f>INDEX('ZCB Curve - Payment Dates'!$D$2:$D$246,MATCH(B3920,'ZCB Curve - Payment Dates'!$A$2:$A$246,0))</f>
        <v>0.6916661505723215</v>
      </c>
      <c r="E3920" s="32">
        <f t="shared" si="61"/>
        <v>1.0374992258584823</v>
      </c>
    </row>
    <row r="3921" spans="1:5" x14ac:dyDescent="0.25">
      <c r="A3921" s="17">
        <v>322</v>
      </c>
      <c r="B3921" s="31">
        <v>49355</v>
      </c>
      <c r="C3921" s="32">
        <f>INDEX('Input Data'!$B:$B,A3921)/2+IF(A3921&lt;&gt;A3922,100,0)</f>
        <v>1.5</v>
      </c>
      <c r="D3921" s="33">
        <f>INDEX('ZCB Curve - Payment Dates'!$D$2:$D$246,MATCH(B3921,'ZCB Curve - Payment Dates'!$A$2:$A$246,0))</f>
        <v>0.674047377898778</v>
      </c>
      <c r="E3921" s="32">
        <f t="shared" si="61"/>
        <v>1.0110710668481671</v>
      </c>
    </row>
    <row r="3922" spans="1:5" x14ac:dyDescent="0.25">
      <c r="A3922" s="17">
        <v>322</v>
      </c>
      <c r="B3922" s="31">
        <v>49536</v>
      </c>
      <c r="C3922" s="32">
        <f>INDEX('Input Data'!$B:$B,A3922)/2+IF(A3922&lt;&gt;A3923,100,0)</f>
        <v>1.5</v>
      </c>
      <c r="D3922" s="33">
        <f>INDEX('ZCB Curve - Payment Dates'!$D$2:$D$246,MATCH(B3922,'ZCB Curve - Payment Dates'!$A$2:$A$246,0))</f>
        <v>0.65684432300638129</v>
      </c>
      <c r="E3922" s="32">
        <f t="shared" si="61"/>
        <v>0.98526648450957199</v>
      </c>
    </row>
    <row r="3923" spans="1:5" x14ac:dyDescent="0.25">
      <c r="A3923" s="17">
        <v>322</v>
      </c>
      <c r="B3923" s="31">
        <v>49720</v>
      </c>
      <c r="C3923" s="32">
        <f>INDEX('Input Data'!$B:$B,A3923)/2+IF(A3923&lt;&gt;A3924,100,0)</f>
        <v>1.5</v>
      </c>
      <c r="D3923" s="33">
        <f>INDEX('ZCB Curve - Payment Dates'!$D$2:$D$246,MATCH(B3923,'ZCB Curve - Payment Dates'!$A$2:$A$246,0))</f>
        <v>0.63949604524993764</v>
      </c>
      <c r="E3923" s="32">
        <f t="shared" si="61"/>
        <v>0.95924406787490646</v>
      </c>
    </row>
    <row r="3924" spans="1:5" x14ac:dyDescent="0.25">
      <c r="A3924" s="17">
        <v>322</v>
      </c>
      <c r="B3924" s="31">
        <v>49902</v>
      </c>
      <c r="C3924" s="32">
        <f>INDEX('Input Data'!$B:$B,A3924)/2+IF(A3924&lt;&gt;A3925,100,0)</f>
        <v>1.5</v>
      </c>
      <c r="D3924" s="33">
        <f>INDEX('ZCB Curve - Payment Dates'!$D$2:$D$246,MATCH(B3924,'ZCB Curve - Payment Dates'!$A$2:$A$246,0))</f>
        <v>0.62248862376822711</v>
      </c>
      <c r="E3924" s="32">
        <f t="shared" si="61"/>
        <v>0.93373293565234072</v>
      </c>
    </row>
    <row r="3925" spans="1:5" x14ac:dyDescent="0.25">
      <c r="A3925" s="17">
        <v>322</v>
      </c>
      <c r="B3925" s="31">
        <v>50086</v>
      </c>
      <c r="C3925" s="32">
        <f>INDEX('Input Data'!$B:$B,A3925)/2+IF(A3925&lt;&gt;A3926,100,0)</f>
        <v>1.5</v>
      </c>
      <c r="D3925" s="33">
        <f>INDEX('ZCB Curve - Payment Dates'!$D$2:$D$246,MATCH(B3925,'ZCB Curve - Payment Dates'!$A$2:$A$246,0))</f>
        <v>0.60546490876014969</v>
      </c>
      <c r="E3925" s="32">
        <f t="shared" si="61"/>
        <v>0.90819736314022448</v>
      </c>
    </row>
    <row r="3926" spans="1:5" x14ac:dyDescent="0.25">
      <c r="A3926" s="17">
        <v>322</v>
      </c>
      <c r="B3926" s="31">
        <v>50267</v>
      </c>
      <c r="C3926" s="32">
        <f>INDEX('Input Data'!$B:$B,A3926)/2+IF(A3926&lt;&gt;A3927,100,0)</f>
        <v>1.5</v>
      </c>
      <c r="D3926" s="33">
        <f>INDEX('ZCB Curve - Payment Dates'!$D$2:$D$246,MATCH(B3926,'ZCB Curve - Payment Dates'!$A$2:$A$246,0))</f>
        <v>0.58890683803346977</v>
      </c>
      <c r="E3926" s="32">
        <f t="shared" si="61"/>
        <v>0.8833602570502046</v>
      </c>
    </row>
    <row r="3927" spans="1:5" x14ac:dyDescent="0.25">
      <c r="A3927" s="17">
        <v>322</v>
      </c>
      <c r="B3927" s="31">
        <v>50451</v>
      </c>
      <c r="C3927" s="32">
        <f>INDEX('Input Data'!$B:$B,A3927)/2+IF(A3927&lt;&gt;A3928,100,0)</f>
        <v>1.5</v>
      </c>
      <c r="D3927" s="33">
        <f>INDEX('ZCB Curve - Payment Dates'!$D$2:$D$246,MATCH(B3927,'ZCB Curve - Payment Dates'!$A$2:$A$246,0))</f>
        <v>0.57228983695479263</v>
      </c>
      <c r="E3927" s="32">
        <f t="shared" si="61"/>
        <v>0.85843475543218895</v>
      </c>
    </row>
    <row r="3928" spans="1:5" x14ac:dyDescent="0.25">
      <c r="A3928" s="17">
        <v>322</v>
      </c>
      <c r="B3928" s="31">
        <v>50632</v>
      </c>
      <c r="C3928" s="32">
        <f>INDEX('Input Data'!$B:$B,A3928)/2+IF(A3928&lt;&gt;A3929,100,0)</f>
        <v>1.5</v>
      </c>
      <c r="D3928" s="33">
        <f>INDEX('ZCB Curve - Payment Dates'!$D$2:$D$246,MATCH(B3928,'ZCB Curve - Payment Dates'!$A$2:$A$246,0))</f>
        <v>0.55617795699202288</v>
      </c>
      <c r="E3928" s="32">
        <f t="shared" si="61"/>
        <v>0.83426693548803432</v>
      </c>
    </row>
    <row r="3929" spans="1:5" x14ac:dyDescent="0.25">
      <c r="A3929" s="17">
        <v>322</v>
      </c>
      <c r="B3929" s="31">
        <v>50816</v>
      </c>
      <c r="C3929" s="32">
        <f>INDEX('Input Data'!$B:$B,A3929)/2+IF(A3929&lt;&gt;A3930,100,0)</f>
        <v>1.5</v>
      </c>
      <c r="D3929" s="33">
        <f>INDEX('ZCB Curve - Payment Dates'!$D$2:$D$246,MATCH(B3929,'ZCB Curve - Payment Dates'!$A$2:$A$246,0))</f>
        <v>0.54006240951211237</v>
      </c>
      <c r="E3929" s="32">
        <f t="shared" si="61"/>
        <v>0.8100936142681685</v>
      </c>
    </row>
    <row r="3930" spans="1:5" x14ac:dyDescent="0.25">
      <c r="A3930" s="17">
        <v>322</v>
      </c>
      <c r="B3930" s="31">
        <v>50997</v>
      </c>
      <c r="C3930" s="32">
        <f>INDEX('Input Data'!$B:$B,A3930)/2+IF(A3930&lt;&gt;A3931,100,0)</f>
        <v>1.5</v>
      </c>
      <c r="D3930" s="33">
        <f>INDEX('ZCB Curve - Payment Dates'!$D$2:$D$246,MATCH(B3930,'ZCB Curve - Payment Dates'!$A$2:$A$246,0))</f>
        <v>0.52449040173194583</v>
      </c>
      <c r="E3930" s="32">
        <f t="shared" si="61"/>
        <v>0.78673560259791875</v>
      </c>
    </row>
    <row r="3931" spans="1:5" x14ac:dyDescent="0.25">
      <c r="A3931" s="17">
        <v>322</v>
      </c>
      <c r="B3931" s="31">
        <v>51181</v>
      </c>
      <c r="C3931" s="32">
        <f>INDEX('Input Data'!$B:$B,A3931)/2+IF(A3931&lt;&gt;A3932,100,0)</f>
        <v>1.5</v>
      </c>
      <c r="D3931" s="33">
        <f>INDEX('ZCB Curve - Payment Dates'!$D$2:$D$246,MATCH(B3931,'ZCB Curve - Payment Dates'!$A$2:$A$246,0))</f>
        <v>0.5089691698468306</v>
      </c>
      <c r="E3931" s="32">
        <f t="shared" si="61"/>
        <v>0.76345375477024591</v>
      </c>
    </row>
    <row r="3932" spans="1:5" x14ac:dyDescent="0.25">
      <c r="A3932" s="17">
        <v>322</v>
      </c>
      <c r="B3932" s="31">
        <v>51363</v>
      </c>
      <c r="C3932" s="32">
        <f>INDEX('Input Data'!$B:$B,A3932)/2+IF(A3932&lt;&gt;A3933,100,0)</f>
        <v>1.5</v>
      </c>
      <c r="D3932" s="33">
        <f>INDEX('ZCB Curve - Payment Dates'!$D$2:$D$246,MATCH(B3932,'ZCB Curve - Payment Dates'!$A$2:$A$246,0))</f>
        <v>0.49394036022330806</v>
      </c>
      <c r="E3932" s="32">
        <f t="shared" si="61"/>
        <v>0.74091054033496206</v>
      </c>
    </row>
    <row r="3933" spans="1:5" x14ac:dyDescent="0.25">
      <c r="A3933" s="17">
        <v>322</v>
      </c>
      <c r="B3933" s="31">
        <v>51547</v>
      </c>
      <c r="C3933" s="32">
        <f>INDEX('Input Data'!$B:$B,A3933)/2+IF(A3933&lt;&gt;A3934,100,0)</f>
        <v>1.5</v>
      </c>
      <c r="D3933" s="33">
        <f>INDEX('ZCB Curve - Payment Dates'!$D$2:$D$246,MATCH(B3933,'ZCB Curve - Payment Dates'!$A$2:$A$246,0))</f>
        <v>0.47909718957588998</v>
      </c>
      <c r="E3933" s="32">
        <f t="shared" si="61"/>
        <v>0.71864578436383497</v>
      </c>
    </row>
    <row r="3934" spans="1:5" x14ac:dyDescent="0.25">
      <c r="A3934" s="17">
        <v>322</v>
      </c>
      <c r="B3934" s="31">
        <v>51728</v>
      </c>
      <c r="C3934" s="32">
        <f>INDEX('Input Data'!$B:$B,A3934)/2+IF(A3934&lt;&gt;A3935,100,0)</f>
        <v>1.5</v>
      </c>
      <c r="D3934" s="33">
        <f>INDEX('ZCB Curve - Payment Dates'!$D$2:$D$246,MATCH(B3934,'ZCB Curve - Payment Dates'!$A$2:$A$246,0))</f>
        <v>0.46485329459616059</v>
      </c>
      <c r="E3934" s="32">
        <f t="shared" si="61"/>
        <v>0.69727994189424092</v>
      </c>
    </row>
    <row r="3935" spans="1:5" x14ac:dyDescent="0.25">
      <c r="A3935" s="17">
        <v>322</v>
      </c>
      <c r="B3935" s="31">
        <v>51912</v>
      </c>
      <c r="C3935" s="32">
        <f>INDEX('Input Data'!$B:$B,A3935)/2+IF(A3935&lt;&gt;A3936,100,0)</f>
        <v>1.5</v>
      </c>
      <c r="D3935" s="33">
        <f>INDEX('ZCB Curve - Payment Dates'!$D$2:$D$246,MATCH(B3935,'ZCB Curve - Payment Dates'!$A$2:$A$246,0))</f>
        <v>0.45075168915212815</v>
      </c>
      <c r="E3935" s="32">
        <f t="shared" si="61"/>
        <v>0.67612753372819223</v>
      </c>
    </row>
    <row r="3936" spans="1:5" x14ac:dyDescent="0.25">
      <c r="A3936" s="17">
        <v>322</v>
      </c>
      <c r="B3936" s="31">
        <v>52093</v>
      </c>
      <c r="C3936" s="32">
        <f>INDEX('Input Data'!$B:$B,A3936)/2+IF(A3936&lt;&gt;A3937,100,0)</f>
        <v>1.5</v>
      </c>
      <c r="D3936" s="33">
        <f>INDEX('ZCB Curve - Payment Dates'!$D$2:$D$246,MATCH(B3936,'ZCB Curve - Payment Dates'!$A$2:$A$246,0))</f>
        <v>0.43726259018094221</v>
      </c>
      <c r="E3936" s="32">
        <f t="shared" si="61"/>
        <v>0.65589388527141335</v>
      </c>
    </row>
    <row r="3937" spans="1:5" x14ac:dyDescent="0.25">
      <c r="A3937" s="17">
        <v>322</v>
      </c>
      <c r="B3937" s="31">
        <v>52277</v>
      </c>
      <c r="C3937" s="32">
        <f>INDEX('Input Data'!$B:$B,A3937)/2+IF(A3937&lt;&gt;A3938,100,0)</f>
        <v>1.5</v>
      </c>
      <c r="D3937" s="33">
        <f>INDEX('ZCB Curve - Payment Dates'!$D$2:$D$246,MATCH(B3937,'ZCB Curve - Payment Dates'!$A$2:$A$246,0))</f>
        <v>0.4239492285351204</v>
      </c>
      <c r="E3937" s="32">
        <f t="shared" si="61"/>
        <v>0.63592384280268055</v>
      </c>
    </row>
    <row r="3938" spans="1:5" x14ac:dyDescent="0.25">
      <c r="A3938" s="17">
        <v>322</v>
      </c>
      <c r="B3938" s="31">
        <v>52458</v>
      </c>
      <c r="C3938" s="32">
        <f>INDEX('Input Data'!$B:$B,A3938)/2+IF(A3938&lt;&gt;A3939,100,0)</f>
        <v>1.5</v>
      </c>
      <c r="D3938" s="33">
        <f>INDEX('ZCB Curve - Payment Dates'!$D$2:$D$246,MATCH(B3938,'ZCB Curve - Payment Dates'!$A$2:$A$246,0))</f>
        <v>0.4112516019468152</v>
      </c>
      <c r="E3938" s="32">
        <f t="shared" si="61"/>
        <v>0.61687740292022286</v>
      </c>
    </row>
    <row r="3939" spans="1:5" x14ac:dyDescent="0.25">
      <c r="A3939" s="17">
        <v>322</v>
      </c>
      <c r="B3939" s="31">
        <v>52642</v>
      </c>
      <c r="C3939" s="32">
        <f>INDEX('Input Data'!$B:$B,A3939)/2+IF(A3939&lt;&gt;A3940,100,0)</f>
        <v>1.5</v>
      </c>
      <c r="D3939" s="33">
        <f>INDEX('ZCB Curve - Payment Dates'!$D$2:$D$246,MATCH(B3939,'ZCB Curve - Payment Dates'!$A$2:$A$246,0))</f>
        <v>0.39875459879352759</v>
      </c>
      <c r="E3939" s="32">
        <f t="shared" si="61"/>
        <v>0.59813189819029144</v>
      </c>
    </row>
    <row r="3940" spans="1:5" x14ac:dyDescent="0.25">
      <c r="A3940" s="17">
        <v>322</v>
      </c>
      <c r="B3940" s="31">
        <v>52824</v>
      </c>
      <c r="C3940" s="32">
        <f>INDEX('Input Data'!$B:$B,A3940)/2+IF(A3940&lt;&gt;A3941,100,0)</f>
        <v>1.5</v>
      </c>
      <c r="D3940" s="33">
        <f>INDEX('ZCB Curve - Payment Dates'!$D$2:$D$246,MATCH(B3940,'ZCB Curve - Payment Dates'!$A$2:$A$246,0))</f>
        <v>0.38680384560622083</v>
      </c>
      <c r="E3940" s="32">
        <f t="shared" si="61"/>
        <v>0.58020576840933125</v>
      </c>
    </row>
    <row r="3941" spans="1:5" x14ac:dyDescent="0.25">
      <c r="A3941" s="17">
        <v>322</v>
      </c>
      <c r="B3941" s="31">
        <v>53008</v>
      </c>
      <c r="C3941" s="32">
        <f>INDEX('Input Data'!$B:$B,A3941)/2+IF(A3941&lt;&gt;A3942,100,0)</f>
        <v>1.5</v>
      </c>
      <c r="D3941" s="33">
        <f>INDEX('ZCB Curve - Payment Dates'!$D$2:$D$246,MATCH(B3941,'ZCB Curve - Payment Dates'!$A$2:$A$246,0))</f>
        <v>0.37513648791915083</v>
      </c>
      <c r="E3941" s="32">
        <f t="shared" si="61"/>
        <v>0.56270473187872627</v>
      </c>
    </row>
    <row r="3942" spans="1:5" x14ac:dyDescent="0.25">
      <c r="A3942" s="17">
        <v>322</v>
      </c>
      <c r="B3942" s="31">
        <v>53189</v>
      </c>
      <c r="C3942" s="32">
        <f>INDEX('Input Data'!$B:$B,A3942)/2+IF(A3942&lt;&gt;A3943,100,0)</f>
        <v>1.5</v>
      </c>
      <c r="D3942" s="33">
        <f>INDEX('ZCB Curve - Payment Dates'!$D$2:$D$246,MATCH(B3942,'ZCB Curve - Payment Dates'!$A$2:$A$246,0))</f>
        <v>0.36406533257851953</v>
      </c>
      <c r="E3942" s="32">
        <f t="shared" si="61"/>
        <v>0.54609799886777932</v>
      </c>
    </row>
    <row r="3943" spans="1:5" x14ac:dyDescent="0.25">
      <c r="A3943" s="17">
        <v>322</v>
      </c>
      <c r="B3943" s="31">
        <v>53373</v>
      </c>
      <c r="C3943" s="32">
        <f>INDEX('Input Data'!$B:$B,A3943)/2+IF(A3943&lt;&gt;A3944,100,0)</f>
        <v>1.5</v>
      </c>
      <c r="D3943" s="33">
        <f>INDEX('ZCB Curve - Payment Dates'!$D$2:$D$246,MATCH(B3943,'ZCB Curve - Payment Dates'!$A$2:$A$246,0))</f>
        <v>0.35322166892031259</v>
      </c>
      <c r="E3943" s="32">
        <f t="shared" si="61"/>
        <v>0.52983250338046894</v>
      </c>
    </row>
    <row r="3944" spans="1:5" x14ac:dyDescent="0.25">
      <c r="A3944" s="17">
        <v>322</v>
      </c>
      <c r="B3944" s="31">
        <v>53554</v>
      </c>
      <c r="C3944" s="32">
        <f>INDEX('Input Data'!$B:$B,A3944)/2+IF(A3944&lt;&gt;A3945,100,0)</f>
        <v>1.5</v>
      </c>
      <c r="D3944" s="33">
        <f>INDEX('ZCB Curve - Payment Dates'!$D$2:$D$246,MATCH(B3944,'ZCB Curve - Payment Dates'!$A$2:$A$246,0))</f>
        <v>0.34295436226619208</v>
      </c>
      <c r="E3944" s="32">
        <f t="shared" si="61"/>
        <v>0.51443154339928809</v>
      </c>
    </row>
    <row r="3945" spans="1:5" x14ac:dyDescent="0.25">
      <c r="A3945" s="17">
        <v>322</v>
      </c>
      <c r="B3945" s="31">
        <v>53738</v>
      </c>
      <c r="C3945" s="32">
        <f>INDEX('Input Data'!$B:$B,A3945)/2+IF(A3945&lt;&gt;A3946,100,0)</f>
        <v>1.5</v>
      </c>
      <c r="D3945" s="33">
        <f>INDEX('ZCB Curve - Payment Dates'!$D$2:$D$246,MATCH(B3945,'ZCB Curve - Payment Dates'!$A$2:$A$246,0))</f>
        <v>0.33291860450360972</v>
      </c>
      <c r="E3945" s="32">
        <f t="shared" si="61"/>
        <v>0.4993779067554146</v>
      </c>
    </row>
    <row r="3946" spans="1:5" x14ac:dyDescent="0.25">
      <c r="A3946" s="17">
        <v>322</v>
      </c>
      <c r="B3946" s="31">
        <v>53919</v>
      </c>
      <c r="C3946" s="32">
        <f>INDEX('Input Data'!$B:$B,A3946)/2+IF(A3946&lt;&gt;A3947,100,0)</f>
        <v>1.5</v>
      </c>
      <c r="D3946" s="33">
        <f>INDEX('ZCB Curve - Payment Dates'!$D$2:$D$246,MATCH(B3946,'ZCB Curve - Payment Dates'!$A$2:$A$246,0))</f>
        <v>0.32343468195091313</v>
      </c>
      <c r="E3946" s="32">
        <f t="shared" si="61"/>
        <v>0.48515202292636972</v>
      </c>
    </row>
    <row r="3947" spans="1:5" x14ac:dyDescent="0.25">
      <c r="A3947" s="17">
        <v>322</v>
      </c>
      <c r="B3947" s="31">
        <v>54103</v>
      </c>
      <c r="C3947" s="32">
        <f>INDEX('Input Data'!$B:$B,A3947)/2+IF(A3947&lt;&gt;A3948,100,0)</f>
        <v>1.5</v>
      </c>
      <c r="D3947" s="33">
        <f>INDEX('ZCB Curve - Payment Dates'!$D$2:$D$246,MATCH(B3947,'ZCB Curve - Payment Dates'!$A$2:$A$246,0))</f>
        <v>0.31418167147949361</v>
      </c>
      <c r="E3947" s="32">
        <f t="shared" si="61"/>
        <v>0.47127250721924041</v>
      </c>
    </row>
    <row r="3948" spans="1:5" x14ac:dyDescent="0.25">
      <c r="A3948" s="17">
        <v>322</v>
      </c>
      <c r="B3948" s="31">
        <v>54285</v>
      </c>
      <c r="C3948" s="32">
        <f>INDEX('Input Data'!$B:$B,A3948)/2+IF(A3948&lt;&gt;A3949,100,0)</f>
        <v>101.5</v>
      </c>
      <c r="D3948" s="33">
        <f>INDEX('ZCB Curve - Payment Dates'!$D$2:$D$246,MATCH(B3948,'ZCB Curve - Payment Dates'!$A$2:$A$246,0))</f>
        <v>0.30540618878290843</v>
      </c>
      <c r="E3948" s="32">
        <f t="shared" si="61"/>
        <v>30.998728161465205</v>
      </c>
    </row>
    <row r="3949" spans="1:5" x14ac:dyDescent="0.25">
      <c r="A3949" s="17">
        <v>323</v>
      </c>
      <c r="B3949" s="31">
        <v>46341</v>
      </c>
      <c r="C3949" s="32">
        <f>INDEX('Input Data'!$B:$B,A3949)/2+IF(A3949&lt;&gt;A3950,100,0)</f>
        <v>1.6875</v>
      </c>
      <c r="D3949" s="33">
        <f>INDEX('ZCB Curve - Payment Dates'!$D$2:$D$246,MATCH(B3949,'ZCB Curve - Payment Dates'!$A$2:$A$246,0))</f>
        <v>0.99245367292309439</v>
      </c>
      <c r="E3949" s="32">
        <f t="shared" si="61"/>
        <v>1.6747655730577218</v>
      </c>
    </row>
    <row r="3950" spans="1:5" x14ac:dyDescent="0.25">
      <c r="A3950" s="17">
        <v>323</v>
      </c>
      <c r="B3950" s="31">
        <v>46522</v>
      </c>
      <c r="C3950" s="32">
        <f>INDEX('Input Data'!$B:$B,A3950)/2+IF(A3950&lt;&gt;A3951,100,0)</f>
        <v>1.6875</v>
      </c>
      <c r="D3950" s="33">
        <f>INDEX('ZCB Curve - Payment Dates'!$D$2:$D$246,MATCH(B3950,'ZCB Curve - Payment Dates'!$A$2:$A$246,0))</f>
        <v>0.97242179559611874</v>
      </c>
      <c r="E3950" s="32">
        <f t="shared" si="61"/>
        <v>1.6409617800684504</v>
      </c>
    </row>
    <row r="3951" spans="1:5" x14ac:dyDescent="0.25">
      <c r="A3951" s="17">
        <v>323</v>
      </c>
      <c r="B3951" s="31">
        <v>46706</v>
      </c>
      <c r="C3951" s="32">
        <f>INDEX('Input Data'!$B:$B,A3951)/2+IF(A3951&lt;&gt;A3952,100,0)</f>
        <v>1.6875</v>
      </c>
      <c r="D3951" s="33">
        <f>INDEX('ZCB Curve - Payment Dates'!$D$2:$D$246,MATCH(B3951,'ZCB Curve - Payment Dates'!$A$2:$A$246,0))</f>
        <v>0.95121018311627348</v>
      </c>
      <c r="E3951" s="32">
        <f t="shared" si="61"/>
        <v>1.6051671840087114</v>
      </c>
    </row>
    <row r="3952" spans="1:5" x14ac:dyDescent="0.25">
      <c r="A3952" s="17">
        <v>323</v>
      </c>
      <c r="B3952" s="31">
        <v>46888</v>
      </c>
      <c r="C3952" s="32">
        <f>INDEX('Input Data'!$B:$B,A3952)/2+IF(A3952&lt;&gt;A3953,100,0)</f>
        <v>1.6875</v>
      </c>
      <c r="D3952" s="33">
        <f>INDEX('ZCB Curve - Payment Dates'!$D$2:$D$246,MATCH(B3952,'ZCB Curve - Payment Dates'!$A$2:$A$246,0))</f>
        <v>0.93000025435083566</v>
      </c>
      <c r="E3952" s="32">
        <f t="shared" si="61"/>
        <v>1.5693754292170352</v>
      </c>
    </row>
    <row r="3953" spans="1:5" x14ac:dyDescent="0.25">
      <c r="A3953" s="17">
        <v>323</v>
      </c>
      <c r="B3953" s="31">
        <v>47072</v>
      </c>
      <c r="C3953" s="32">
        <f>INDEX('Input Data'!$B:$B,A3953)/2+IF(A3953&lt;&gt;A3954,100,0)</f>
        <v>1.6875</v>
      </c>
      <c r="D3953" s="33">
        <f>INDEX('ZCB Curve - Payment Dates'!$D$2:$D$246,MATCH(B3953,'ZCB Curve - Payment Dates'!$A$2:$A$246,0))</f>
        <v>0.90870125167038918</v>
      </c>
      <c r="E3953" s="32">
        <f t="shared" si="61"/>
        <v>1.5334333621937817</v>
      </c>
    </row>
    <row r="3954" spans="1:5" x14ac:dyDescent="0.25">
      <c r="A3954" s="17">
        <v>323</v>
      </c>
      <c r="B3954" s="31">
        <v>47253</v>
      </c>
      <c r="C3954" s="32">
        <f>INDEX('Input Data'!$B:$B,A3954)/2+IF(A3954&lt;&gt;A3955,100,0)</f>
        <v>1.6875</v>
      </c>
      <c r="D3954" s="33">
        <f>INDEX('ZCB Curve - Payment Dates'!$D$2:$D$246,MATCH(B3954,'ZCB Curve - Payment Dates'!$A$2:$A$246,0))</f>
        <v>0.88809325063638844</v>
      </c>
      <c r="E3954" s="32">
        <f t="shared" si="61"/>
        <v>1.4986573604489055</v>
      </c>
    </row>
    <row r="3955" spans="1:5" x14ac:dyDescent="0.25">
      <c r="A3955" s="17">
        <v>323</v>
      </c>
      <c r="B3955" s="31">
        <v>47437</v>
      </c>
      <c r="C3955" s="32">
        <f>INDEX('Input Data'!$B:$B,A3955)/2+IF(A3955&lt;&gt;A3956,100,0)</f>
        <v>1.6875</v>
      </c>
      <c r="D3955" s="33">
        <f>INDEX('ZCB Curve - Payment Dates'!$D$2:$D$246,MATCH(B3955,'ZCB Curve - Payment Dates'!$A$2:$A$246,0))</f>
        <v>0.86758824089536279</v>
      </c>
      <c r="E3955" s="32">
        <f t="shared" si="61"/>
        <v>1.4640551565109248</v>
      </c>
    </row>
    <row r="3956" spans="1:5" x14ac:dyDescent="0.25">
      <c r="A3956" s="17">
        <v>323</v>
      </c>
      <c r="B3956" s="31">
        <v>47618</v>
      </c>
      <c r="C3956" s="32">
        <f>INDEX('Input Data'!$B:$B,A3956)/2+IF(A3956&lt;&gt;A3957,100,0)</f>
        <v>1.6875</v>
      </c>
      <c r="D3956" s="33">
        <f>INDEX('ZCB Curve - Payment Dates'!$D$2:$D$246,MATCH(B3956,'ZCB Curve - Payment Dates'!$A$2:$A$246,0))</f>
        <v>0.84787416911783064</v>
      </c>
      <c r="E3956" s="32">
        <f t="shared" si="61"/>
        <v>1.4307876603863392</v>
      </c>
    </row>
    <row r="3957" spans="1:5" x14ac:dyDescent="0.25">
      <c r="A3957" s="17">
        <v>323</v>
      </c>
      <c r="B3957" s="31">
        <v>47802</v>
      </c>
      <c r="C3957" s="32">
        <f>INDEX('Input Data'!$B:$B,A3957)/2+IF(A3957&lt;&gt;A3958,100,0)</f>
        <v>1.6875</v>
      </c>
      <c r="D3957" s="33">
        <f>INDEX('ZCB Curve - Payment Dates'!$D$2:$D$246,MATCH(B3957,'ZCB Curve - Payment Dates'!$A$2:$A$246,0))</f>
        <v>0.82827715028796722</v>
      </c>
      <c r="E3957" s="32">
        <f t="shared" si="61"/>
        <v>1.3977176911109448</v>
      </c>
    </row>
    <row r="3958" spans="1:5" x14ac:dyDescent="0.25">
      <c r="A3958" s="17">
        <v>323</v>
      </c>
      <c r="B3958" s="31">
        <v>47983</v>
      </c>
      <c r="C3958" s="32">
        <f>INDEX('Input Data'!$B:$B,A3958)/2+IF(A3958&lt;&gt;A3959,100,0)</f>
        <v>1.6875</v>
      </c>
      <c r="D3958" s="33">
        <f>INDEX('ZCB Curve - Payment Dates'!$D$2:$D$246,MATCH(B3958,'ZCB Curve - Payment Dates'!$A$2:$A$246,0))</f>
        <v>0.80939067484273564</v>
      </c>
      <c r="E3958" s="32">
        <f t="shared" si="61"/>
        <v>1.3658467637971163</v>
      </c>
    </row>
    <row r="3959" spans="1:5" x14ac:dyDescent="0.25">
      <c r="A3959" s="17">
        <v>323</v>
      </c>
      <c r="B3959" s="31">
        <v>48167</v>
      </c>
      <c r="C3959" s="32">
        <f>INDEX('Input Data'!$B:$B,A3959)/2+IF(A3959&lt;&gt;A3960,100,0)</f>
        <v>1.6875</v>
      </c>
      <c r="D3959" s="33">
        <f>INDEX('ZCB Curve - Payment Dates'!$D$2:$D$246,MATCH(B3959,'ZCB Curve - Payment Dates'!$A$2:$A$246,0))</f>
        <v>0.79053567842581962</v>
      </c>
      <c r="E3959" s="32">
        <f t="shared" si="61"/>
        <v>1.3340289573435706</v>
      </c>
    </row>
    <row r="3960" spans="1:5" x14ac:dyDescent="0.25">
      <c r="A3960" s="17">
        <v>323</v>
      </c>
      <c r="B3960" s="31">
        <v>48349</v>
      </c>
      <c r="C3960" s="32">
        <f>INDEX('Input Data'!$B:$B,A3960)/2+IF(A3960&lt;&gt;A3961,100,0)</f>
        <v>1.6875</v>
      </c>
      <c r="D3960" s="33">
        <f>INDEX('ZCB Curve - Payment Dates'!$D$2:$D$246,MATCH(B3960,'ZCB Curve - Payment Dates'!$A$2:$A$246,0))</f>
        <v>0.77217305702007488</v>
      </c>
      <c r="E3960" s="32">
        <f t="shared" si="61"/>
        <v>1.3030420337213764</v>
      </c>
    </row>
    <row r="3961" spans="1:5" x14ac:dyDescent="0.25">
      <c r="A3961" s="17">
        <v>323</v>
      </c>
      <c r="B3961" s="31">
        <v>48533</v>
      </c>
      <c r="C3961" s="32">
        <f>INDEX('Input Data'!$B:$B,A3961)/2+IF(A3961&lt;&gt;A3962,100,0)</f>
        <v>1.6875</v>
      </c>
      <c r="D3961" s="33">
        <f>INDEX('ZCB Curve - Payment Dates'!$D$2:$D$246,MATCH(B3961,'ZCB Curve - Payment Dates'!$A$2:$A$246,0))</f>
        <v>0.75384766072076514</v>
      </c>
      <c r="E3961" s="32">
        <f t="shared" si="61"/>
        <v>1.2721179274662913</v>
      </c>
    </row>
    <row r="3962" spans="1:5" x14ac:dyDescent="0.25">
      <c r="A3962" s="17">
        <v>323</v>
      </c>
      <c r="B3962" s="31">
        <v>48714</v>
      </c>
      <c r="C3962" s="32">
        <f>INDEX('Input Data'!$B:$B,A3962)/2+IF(A3962&lt;&gt;A3963,100,0)</f>
        <v>1.6875</v>
      </c>
      <c r="D3962" s="33">
        <f>INDEX('ZCB Curve - Payment Dates'!$D$2:$D$246,MATCH(B3962,'ZCB Curve - Payment Dates'!$A$2:$A$246,0))</f>
        <v>0.73601491848746747</v>
      </c>
      <c r="E3962" s="32">
        <f t="shared" si="61"/>
        <v>1.2420251749476015</v>
      </c>
    </row>
    <row r="3963" spans="1:5" x14ac:dyDescent="0.25">
      <c r="A3963" s="17">
        <v>323</v>
      </c>
      <c r="B3963" s="31">
        <v>48898</v>
      </c>
      <c r="C3963" s="32">
        <f>INDEX('Input Data'!$B:$B,A3963)/2+IF(A3963&lt;&gt;A3964,100,0)</f>
        <v>1.6875</v>
      </c>
      <c r="D3963" s="33">
        <f>INDEX('ZCB Curve - Payment Dates'!$D$2:$D$246,MATCH(B3963,'ZCB Curve - Payment Dates'!$A$2:$A$246,0))</f>
        <v>0.71805338140354003</v>
      </c>
      <c r="E3963" s="32">
        <f t="shared" si="61"/>
        <v>1.2117150811184738</v>
      </c>
    </row>
    <row r="3964" spans="1:5" x14ac:dyDescent="0.25">
      <c r="A3964" s="17">
        <v>323</v>
      </c>
      <c r="B3964" s="31">
        <v>49079</v>
      </c>
      <c r="C3964" s="32">
        <f>INDEX('Input Data'!$B:$B,A3964)/2+IF(A3964&lt;&gt;A3965,100,0)</f>
        <v>1.6875</v>
      </c>
      <c r="D3964" s="33">
        <f>INDEX('ZCB Curve - Payment Dates'!$D$2:$D$246,MATCH(B3964,'ZCB Curve - Payment Dates'!$A$2:$A$246,0))</f>
        <v>0.70052630492471468</v>
      </c>
      <c r="E3964" s="32">
        <f t="shared" si="61"/>
        <v>1.182138139560456</v>
      </c>
    </row>
    <row r="3965" spans="1:5" x14ac:dyDescent="0.25">
      <c r="A3965" s="17">
        <v>323</v>
      </c>
      <c r="B3965" s="31">
        <v>49263</v>
      </c>
      <c r="C3965" s="32">
        <f>INDEX('Input Data'!$B:$B,A3965)/2+IF(A3965&lt;&gt;A3966,100,0)</f>
        <v>1.6875</v>
      </c>
      <c r="D3965" s="33">
        <f>INDEX('ZCB Curve - Payment Dates'!$D$2:$D$246,MATCH(B3965,'ZCB Curve - Payment Dates'!$A$2:$A$246,0))</f>
        <v>0.68284221202539863</v>
      </c>
      <c r="E3965" s="32">
        <f t="shared" si="61"/>
        <v>1.1522962327928601</v>
      </c>
    </row>
    <row r="3966" spans="1:5" x14ac:dyDescent="0.25">
      <c r="A3966" s="17">
        <v>323</v>
      </c>
      <c r="B3966" s="31">
        <v>49444</v>
      </c>
      <c r="C3966" s="32">
        <f>INDEX('Input Data'!$B:$B,A3966)/2+IF(A3966&lt;&gt;A3967,100,0)</f>
        <v>1.6875</v>
      </c>
      <c r="D3966" s="33">
        <f>INDEX('ZCB Curve - Payment Dates'!$D$2:$D$246,MATCH(B3966,'ZCB Curve - Payment Dates'!$A$2:$A$246,0))</f>
        <v>0.66557347415228496</v>
      </c>
      <c r="E3966" s="32">
        <f t="shared" si="61"/>
        <v>1.1231552376319809</v>
      </c>
    </row>
    <row r="3967" spans="1:5" x14ac:dyDescent="0.25">
      <c r="A3967" s="17">
        <v>323</v>
      </c>
      <c r="B3967" s="31">
        <v>49628</v>
      </c>
      <c r="C3967" s="32">
        <f>INDEX('Input Data'!$B:$B,A3967)/2+IF(A3967&lt;&gt;A3968,100,0)</f>
        <v>1.6875</v>
      </c>
      <c r="D3967" s="33">
        <f>INDEX('ZCB Curve - Payment Dates'!$D$2:$D$246,MATCH(B3967,'ZCB Curve - Payment Dates'!$A$2:$A$246,0))</f>
        <v>0.64815361918127823</v>
      </c>
      <c r="E3967" s="32">
        <f t="shared" si="61"/>
        <v>1.0937592323684071</v>
      </c>
    </row>
    <row r="3968" spans="1:5" x14ac:dyDescent="0.25">
      <c r="A3968" s="17">
        <v>323</v>
      </c>
      <c r="B3968" s="31">
        <v>49810</v>
      </c>
      <c r="C3968" s="32">
        <f>INDEX('Input Data'!$B:$B,A3968)/2+IF(A3968&lt;&gt;A3969,100,0)</f>
        <v>1.6875</v>
      </c>
      <c r="D3968" s="33">
        <f>INDEX('ZCB Curve - Payment Dates'!$D$2:$D$246,MATCH(B3968,'ZCB Curve - Payment Dates'!$A$2:$A$246,0))</f>
        <v>0.63106457078577471</v>
      </c>
      <c r="E3968" s="32">
        <f t="shared" si="61"/>
        <v>1.0649214632009949</v>
      </c>
    </row>
    <row r="3969" spans="1:5" x14ac:dyDescent="0.25">
      <c r="A3969" s="17">
        <v>323</v>
      </c>
      <c r="B3969" s="31">
        <v>49994</v>
      </c>
      <c r="C3969" s="32">
        <f>INDEX('Input Data'!$B:$B,A3969)/2+IF(A3969&lt;&gt;A3970,100,0)</f>
        <v>1.6875</v>
      </c>
      <c r="D3969" s="33">
        <f>INDEX('ZCB Curve - Payment Dates'!$D$2:$D$246,MATCH(B3969,'ZCB Curve - Payment Dates'!$A$2:$A$246,0))</f>
        <v>0.61395227923184648</v>
      </c>
      <c r="E3969" s="32">
        <f t="shared" si="61"/>
        <v>1.0360444712037409</v>
      </c>
    </row>
    <row r="3970" spans="1:5" x14ac:dyDescent="0.25">
      <c r="A3970" s="17">
        <v>323</v>
      </c>
      <c r="B3970" s="31">
        <v>50175</v>
      </c>
      <c r="C3970" s="32">
        <f>INDEX('Input Data'!$B:$B,A3970)/2+IF(A3970&lt;&gt;A3971,100,0)</f>
        <v>1.6875</v>
      </c>
      <c r="D3970" s="33">
        <f>INDEX('ZCB Curve - Payment Dates'!$D$2:$D$246,MATCH(B3970,'ZCB Curve - Payment Dates'!$A$2:$A$246,0))</f>
        <v>0.5972963482314616</v>
      </c>
      <c r="E3970" s="32">
        <f t="shared" ref="E3970:E4033" si="62">C3970*D3970</f>
        <v>1.0079375876405914</v>
      </c>
    </row>
    <row r="3971" spans="1:5" x14ac:dyDescent="0.25">
      <c r="A3971" s="17">
        <v>323</v>
      </c>
      <c r="B3971" s="31">
        <v>50359</v>
      </c>
      <c r="C3971" s="32">
        <f>INDEX('Input Data'!$B:$B,A3971)/2+IF(A3971&lt;&gt;A3972,100,0)</f>
        <v>1.6875</v>
      </c>
      <c r="D3971" s="33">
        <f>INDEX('ZCB Curve - Payment Dates'!$D$2:$D$246,MATCH(B3971,'ZCB Curve - Payment Dates'!$A$2:$A$246,0))</f>
        <v>0.58056812006155756</v>
      </c>
      <c r="E3971" s="32">
        <f t="shared" si="62"/>
        <v>0.97970870260387843</v>
      </c>
    </row>
    <row r="3972" spans="1:5" x14ac:dyDescent="0.25">
      <c r="A3972" s="17">
        <v>323</v>
      </c>
      <c r="B3972" s="31">
        <v>50540</v>
      </c>
      <c r="C3972" s="32">
        <f>INDEX('Input Data'!$B:$B,A3972)/2+IF(A3972&lt;&gt;A3973,100,0)</f>
        <v>1.6875</v>
      </c>
      <c r="D3972" s="33">
        <f>INDEX('ZCB Curve - Payment Dates'!$D$2:$D$246,MATCH(B3972,'ZCB Curve - Payment Dates'!$A$2:$A$246,0))</f>
        <v>0.56433491315969797</v>
      </c>
      <c r="E3972" s="32">
        <f t="shared" si="62"/>
        <v>0.95231516595699028</v>
      </c>
    </row>
    <row r="3973" spans="1:5" x14ac:dyDescent="0.25">
      <c r="A3973" s="17">
        <v>323</v>
      </c>
      <c r="B3973" s="31">
        <v>50724</v>
      </c>
      <c r="C3973" s="32">
        <f>INDEX('Input Data'!$B:$B,A3973)/2+IF(A3973&lt;&gt;A3974,100,0)</f>
        <v>1.6875</v>
      </c>
      <c r="D3973" s="33">
        <f>INDEX('ZCB Curve - Payment Dates'!$D$2:$D$246,MATCH(B3973,'ZCB Curve - Payment Dates'!$A$2:$A$246,0))</f>
        <v>0.54808398139057424</v>
      </c>
      <c r="E3973" s="32">
        <f t="shared" si="62"/>
        <v>0.92489171859659403</v>
      </c>
    </row>
    <row r="3974" spans="1:5" x14ac:dyDescent="0.25">
      <c r="A3974" s="17">
        <v>323</v>
      </c>
      <c r="B3974" s="31">
        <v>50905</v>
      </c>
      <c r="C3974" s="32">
        <f>INDEX('Input Data'!$B:$B,A3974)/2+IF(A3974&lt;&gt;A3975,100,0)</f>
        <v>1.6875</v>
      </c>
      <c r="D3974" s="33">
        <f>INDEX('ZCB Curve - Payment Dates'!$D$2:$D$246,MATCH(B3974,'ZCB Curve - Payment Dates'!$A$2:$A$246,0))</f>
        <v>0.5323673246083096</v>
      </c>
      <c r="E3974" s="32">
        <f t="shared" si="62"/>
        <v>0.89836986027652244</v>
      </c>
    </row>
    <row r="3975" spans="1:5" x14ac:dyDescent="0.25">
      <c r="A3975" s="17">
        <v>323</v>
      </c>
      <c r="B3975" s="31">
        <v>51089</v>
      </c>
      <c r="C3975" s="32">
        <f>INDEX('Input Data'!$B:$B,A3975)/2+IF(A3975&lt;&gt;A3976,100,0)</f>
        <v>1.6875</v>
      </c>
      <c r="D3975" s="33">
        <f>INDEX('ZCB Curve - Payment Dates'!$D$2:$D$246,MATCH(B3975,'ZCB Curve - Payment Dates'!$A$2:$A$246,0))</f>
        <v>0.51668806431098135</v>
      </c>
      <c r="E3975" s="32">
        <f t="shared" si="62"/>
        <v>0.87191110852478104</v>
      </c>
    </row>
    <row r="3976" spans="1:5" x14ac:dyDescent="0.25">
      <c r="A3976" s="17">
        <v>323</v>
      </c>
      <c r="B3976" s="31">
        <v>51271</v>
      </c>
      <c r="C3976" s="32">
        <f>INDEX('Input Data'!$B:$B,A3976)/2+IF(A3976&lt;&gt;A3977,100,0)</f>
        <v>1.6875</v>
      </c>
      <c r="D3976" s="33">
        <f>INDEX('ZCB Curve - Payment Dates'!$D$2:$D$246,MATCH(B3976,'ZCB Curve - Payment Dates'!$A$2:$A$246,0))</f>
        <v>0.50149590020417278</v>
      </c>
      <c r="E3976" s="32">
        <f t="shared" si="62"/>
        <v>0.84627433159454157</v>
      </c>
    </row>
    <row r="3977" spans="1:5" x14ac:dyDescent="0.25">
      <c r="A3977" s="17">
        <v>323</v>
      </c>
      <c r="B3977" s="31">
        <v>51455</v>
      </c>
      <c r="C3977" s="32">
        <f>INDEX('Input Data'!$B:$B,A3977)/2+IF(A3977&lt;&gt;A3978,100,0)</f>
        <v>1.6875</v>
      </c>
      <c r="D3977" s="33">
        <f>INDEX('ZCB Curve - Payment Dates'!$D$2:$D$246,MATCH(B3977,'ZCB Curve - Payment Dates'!$A$2:$A$246,0))</f>
        <v>0.48647538074270091</v>
      </c>
      <c r="E3977" s="32">
        <f t="shared" si="62"/>
        <v>0.82092720500330785</v>
      </c>
    </row>
    <row r="3978" spans="1:5" x14ac:dyDescent="0.25">
      <c r="A3978" s="17">
        <v>323</v>
      </c>
      <c r="B3978" s="31">
        <v>51636</v>
      </c>
      <c r="C3978" s="32">
        <f>INDEX('Input Data'!$B:$B,A3978)/2+IF(A3978&lt;&gt;A3979,100,0)</f>
        <v>1.6875</v>
      </c>
      <c r="D3978" s="33">
        <f>INDEX('ZCB Curve - Payment Dates'!$D$2:$D$246,MATCH(B3978,'ZCB Curve - Payment Dates'!$A$2:$A$246,0))</f>
        <v>0.47204918703719451</v>
      </c>
      <c r="E3978" s="32">
        <f t="shared" si="62"/>
        <v>0.79658300312526575</v>
      </c>
    </row>
    <row r="3979" spans="1:5" x14ac:dyDescent="0.25">
      <c r="A3979" s="17">
        <v>323</v>
      </c>
      <c r="B3979" s="31">
        <v>51820</v>
      </c>
      <c r="C3979" s="32">
        <f>INDEX('Input Data'!$B:$B,A3979)/2+IF(A3979&lt;&gt;A3980,100,0)</f>
        <v>1.6875</v>
      </c>
      <c r="D3979" s="33">
        <f>INDEX('ZCB Curve - Payment Dates'!$D$2:$D$246,MATCH(B3979,'ZCB Curve - Payment Dates'!$A$2:$A$246,0))</f>
        <v>0.45775548669345245</v>
      </c>
      <c r="E3979" s="32">
        <f t="shared" si="62"/>
        <v>0.77246238379520105</v>
      </c>
    </row>
    <row r="3980" spans="1:5" x14ac:dyDescent="0.25">
      <c r="A3980" s="17">
        <v>323</v>
      </c>
      <c r="B3980" s="31">
        <v>52001</v>
      </c>
      <c r="C3980" s="32">
        <f>INDEX('Input Data'!$B:$B,A3980)/2+IF(A3980&lt;&gt;A3981,100,0)</f>
        <v>1.6875</v>
      </c>
      <c r="D3980" s="33">
        <f>INDEX('ZCB Curve - Payment Dates'!$D$2:$D$246,MATCH(B3980,'ZCB Curve - Payment Dates'!$A$2:$A$246,0))</f>
        <v>0.44407192118484318</v>
      </c>
      <c r="E3980" s="32">
        <f t="shared" si="62"/>
        <v>0.74937136699942286</v>
      </c>
    </row>
    <row r="3981" spans="1:5" x14ac:dyDescent="0.25">
      <c r="A3981" s="17">
        <v>323</v>
      </c>
      <c r="B3981" s="31">
        <v>52185</v>
      </c>
      <c r="C3981" s="32">
        <f>INDEX('Input Data'!$B:$B,A3981)/2+IF(A3981&lt;&gt;A3982,100,0)</f>
        <v>1.6875</v>
      </c>
      <c r="D3981" s="33">
        <f>INDEX('ZCB Curve - Payment Dates'!$D$2:$D$246,MATCH(B3981,'ZCB Curve - Payment Dates'!$A$2:$A$246,0))</f>
        <v>0.43055647946672393</v>
      </c>
      <c r="E3981" s="32">
        <f t="shared" si="62"/>
        <v>0.72656405910009658</v>
      </c>
    </row>
    <row r="3982" spans="1:5" x14ac:dyDescent="0.25">
      <c r="A3982" s="17">
        <v>323</v>
      </c>
      <c r="B3982" s="31">
        <v>52366</v>
      </c>
      <c r="C3982" s="32">
        <f>INDEX('Input Data'!$B:$B,A3982)/2+IF(A3982&lt;&gt;A3983,100,0)</f>
        <v>1.6875</v>
      </c>
      <c r="D3982" s="33">
        <f>INDEX('ZCB Curve - Payment Dates'!$D$2:$D$246,MATCH(B3982,'ZCB Curve - Payment Dates'!$A$2:$A$246,0))</f>
        <v>0.41765686229470528</v>
      </c>
      <c r="E3982" s="32">
        <f t="shared" si="62"/>
        <v>0.70479595512231519</v>
      </c>
    </row>
    <row r="3983" spans="1:5" x14ac:dyDescent="0.25">
      <c r="A3983" s="17">
        <v>323</v>
      </c>
      <c r="B3983" s="31">
        <v>52550</v>
      </c>
      <c r="C3983" s="32">
        <f>INDEX('Input Data'!$B:$B,A3983)/2+IF(A3983&lt;&gt;A3984,100,0)</f>
        <v>1.6875</v>
      </c>
      <c r="D3983" s="33">
        <f>INDEX('ZCB Curve - Payment Dates'!$D$2:$D$246,MATCH(B3983,'ZCB Curve - Payment Dates'!$A$2:$A$246,0))</f>
        <v>0.40495237741553414</v>
      </c>
      <c r="E3983" s="32">
        <f t="shared" si="62"/>
        <v>0.68335713688871391</v>
      </c>
    </row>
    <row r="3984" spans="1:5" x14ac:dyDescent="0.25">
      <c r="A3984" s="17">
        <v>323</v>
      </c>
      <c r="B3984" s="31">
        <v>52732</v>
      </c>
      <c r="C3984" s="32">
        <f>INDEX('Input Data'!$B:$B,A3984)/2+IF(A3984&lt;&gt;A3985,100,0)</f>
        <v>1.6875</v>
      </c>
      <c r="D3984" s="33">
        <f>INDEX('ZCB Curve - Payment Dates'!$D$2:$D$246,MATCH(B3984,'ZCB Curve - Payment Dates'!$A$2:$A$246,0))</f>
        <v>0.3927952920896523</v>
      </c>
      <c r="E3984" s="32">
        <f t="shared" si="62"/>
        <v>0.66284205540128827</v>
      </c>
    </row>
    <row r="3985" spans="1:5" x14ac:dyDescent="0.25">
      <c r="A3985" s="17">
        <v>323</v>
      </c>
      <c r="B3985" s="31">
        <v>52916</v>
      </c>
      <c r="C3985" s="32">
        <f>INDEX('Input Data'!$B:$B,A3985)/2+IF(A3985&lt;&gt;A3986,100,0)</f>
        <v>1.6875</v>
      </c>
      <c r="D3985" s="33">
        <f>INDEX('ZCB Curve - Payment Dates'!$D$2:$D$246,MATCH(B3985,'ZCB Curve - Payment Dates'!$A$2:$A$246,0))</f>
        <v>0.38091684361752687</v>
      </c>
      <c r="E3985" s="32">
        <f t="shared" si="62"/>
        <v>0.64279717360457655</v>
      </c>
    </row>
    <row r="3986" spans="1:5" x14ac:dyDescent="0.25">
      <c r="A3986" s="17">
        <v>323</v>
      </c>
      <c r="B3986" s="31">
        <v>53097</v>
      </c>
      <c r="C3986" s="32">
        <f>INDEX('Input Data'!$B:$B,A3986)/2+IF(A3986&lt;&gt;A3987,100,0)</f>
        <v>1.6875</v>
      </c>
      <c r="D3986" s="33">
        <f>INDEX('ZCB Curve - Payment Dates'!$D$2:$D$246,MATCH(B3986,'ZCB Curve - Payment Dates'!$A$2:$A$246,0))</f>
        <v>0.36964331092783359</v>
      </c>
      <c r="E3986" s="32">
        <f t="shared" si="62"/>
        <v>0.62377308719071922</v>
      </c>
    </row>
    <row r="3987" spans="1:5" x14ac:dyDescent="0.25">
      <c r="A3987" s="17">
        <v>323</v>
      </c>
      <c r="B3987" s="31">
        <v>53281</v>
      </c>
      <c r="C3987" s="32">
        <f>INDEX('Input Data'!$B:$B,A3987)/2+IF(A3987&lt;&gt;A3988,100,0)</f>
        <v>1.6875</v>
      </c>
      <c r="D3987" s="33">
        <f>INDEX('ZCB Curve - Payment Dates'!$D$2:$D$246,MATCH(B3987,'ZCB Curve - Payment Dates'!$A$2:$A$246,0))</f>
        <v>0.35859090372935404</v>
      </c>
      <c r="E3987" s="32">
        <f t="shared" si="62"/>
        <v>0.60512215004328496</v>
      </c>
    </row>
    <row r="3988" spans="1:5" x14ac:dyDescent="0.25">
      <c r="A3988" s="17">
        <v>323</v>
      </c>
      <c r="B3988" s="31">
        <v>53462</v>
      </c>
      <c r="C3988" s="32">
        <f>INDEX('Input Data'!$B:$B,A3988)/2+IF(A3988&lt;&gt;A3989,100,0)</f>
        <v>1.6875</v>
      </c>
      <c r="D3988" s="33">
        <f>INDEX('ZCB Curve - Payment Dates'!$D$2:$D$246,MATCH(B3988,'ZCB Curve - Payment Dates'!$A$2:$A$246,0))</f>
        <v>0.34812465854380154</v>
      </c>
      <c r="E3988" s="32">
        <f t="shared" si="62"/>
        <v>0.5874603612926651</v>
      </c>
    </row>
    <row r="3989" spans="1:5" x14ac:dyDescent="0.25">
      <c r="A3989" s="17">
        <v>323</v>
      </c>
      <c r="B3989" s="31">
        <v>53646</v>
      </c>
      <c r="C3989" s="32">
        <f>INDEX('Input Data'!$B:$B,A3989)/2+IF(A3989&lt;&gt;A3990,100,0)</f>
        <v>1.6875</v>
      </c>
      <c r="D3989" s="33">
        <f>INDEX('ZCB Curve - Payment Dates'!$D$2:$D$246,MATCH(B3989,'ZCB Curve - Payment Dates'!$A$2:$A$246,0))</f>
        <v>0.33788528510382887</v>
      </c>
      <c r="E3989" s="32">
        <f t="shared" si="62"/>
        <v>0.57018141861271121</v>
      </c>
    </row>
    <row r="3990" spans="1:5" x14ac:dyDescent="0.25">
      <c r="A3990" s="17">
        <v>323</v>
      </c>
      <c r="B3990" s="31">
        <v>53827</v>
      </c>
      <c r="C3990" s="32">
        <f>INDEX('Input Data'!$B:$B,A3990)/2+IF(A3990&lt;&gt;A3991,100,0)</f>
        <v>1.6875</v>
      </c>
      <c r="D3990" s="33">
        <f>INDEX('ZCB Curve - Payment Dates'!$D$2:$D$246,MATCH(B3990,'ZCB Curve - Payment Dates'!$A$2:$A$246,0))</f>
        <v>0.32820827061914198</v>
      </c>
      <c r="E3990" s="32">
        <f t="shared" si="62"/>
        <v>0.55385145666980207</v>
      </c>
    </row>
    <row r="3991" spans="1:5" x14ac:dyDescent="0.25">
      <c r="A3991" s="17">
        <v>323</v>
      </c>
      <c r="B3991" s="31">
        <v>54011</v>
      </c>
      <c r="C3991" s="32">
        <f>INDEX('Input Data'!$B:$B,A3991)/2+IF(A3991&lt;&gt;A3992,100,0)</f>
        <v>1.6875</v>
      </c>
      <c r="D3991" s="33">
        <f>INDEX('ZCB Curve - Payment Dates'!$D$2:$D$246,MATCH(B3991,'ZCB Curve - Payment Dates'!$A$2:$A$246,0))</f>
        <v>0.31875888330253388</v>
      </c>
      <c r="E3991" s="32">
        <f t="shared" si="62"/>
        <v>0.53790561557302596</v>
      </c>
    </row>
    <row r="3992" spans="1:5" x14ac:dyDescent="0.25">
      <c r="A3992" s="17">
        <v>323</v>
      </c>
      <c r="B3992" s="31">
        <v>54193</v>
      </c>
      <c r="C3992" s="32">
        <f>INDEX('Input Data'!$B:$B,A3992)/2+IF(A3992&lt;&gt;A3993,100,0)</f>
        <v>1.6875</v>
      </c>
      <c r="D3992" s="33">
        <f>INDEX('ZCB Curve - Payment Dates'!$D$2:$D$246,MATCH(B3992,'ZCB Curve - Payment Dates'!$A$2:$A$246,0))</f>
        <v>0.30979516521120642</v>
      </c>
      <c r="E3992" s="32">
        <f t="shared" si="62"/>
        <v>0.52277934129391079</v>
      </c>
    </row>
    <row r="3993" spans="1:5" x14ac:dyDescent="0.25">
      <c r="A3993" s="17">
        <v>323</v>
      </c>
      <c r="B3993" s="31">
        <v>54377</v>
      </c>
      <c r="C3993" s="32">
        <f>INDEX('Input Data'!$B:$B,A3993)/2+IF(A3993&lt;&gt;A3994,100,0)</f>
        <v>101.6875</v>
      </c>
      <c r="D3993" s="33">
        <f>INDEX('ZCB Curve - Payment Dates'!$D$2:$D$246,MATCH(B3993,'ZCB Curve - Payment Dates'!$A$2:$A$246,0))</f>
        <v>0.30110901062008694</v>
      </c>
      <c r="E3993" s="32">
        <f t="shared" si="62"/>
        <v>30.619022517430089</v>
      </c>
    </row>
    <row r="3994" spans="1:5" x14ac:dyDescent="0.25">
      <c r="A3994" s="17">
        <v>324</v>
      </c>
      <c r="B3994" s="31">
        <v>46433</v>
      </c>
      <c r="C3994" s="32">
        <f>INDEX('Input Data'!$B:$B,A3994)/2+IF(A3994&lt;&gt;A3995,100,0)</f>
        <v>1.5</v>
      </c>
      <c r="D3994" s="33">
        <f>INDEX('ZCB Curve - Payment Dates'!$D$2:$D$246,MATCH(B3994,'ZCB Curve - Payment Dates'!$A$2:$A$246,0))</f>
        <v>0.98242671792446301</v>
      </c>
      <c r="E3994" s="32">
        <f t="shared" si="62"/>
        <v>1.4736400768866944</v>
      </c>
    </row>
    <row r="3995" spans="1:5" x14ac:dyDescent="0.25">
      <c r="A3995" s="17">
        <v>324</v>
      </c>
      <c r="B3995" s="31">
        <v>46614</v>
      </c>
      <c r="C3995" s="32">
        <f>INDEX('Input Data'!$B:$B,A3995)/2+IF(A3995&lt;&gt;A3996,100,0)</f>
        <v>1.5</v>
      </c>
      <c r="D3995" s="33">
        <f>INDEX('ZCB Curve - Payment Dates'!$D$2:$D$246,MATCH(B3995,'ZCB Curve - Payment Dates'!$A$2:$A$246,0))</f>
        <v>0.96187948164765535</v>
      </c>
      <c r="E3995" s="32">
        <f t="shared" si="62"/>
        <v>1.4428192224714831</v>
      </c>
    </row>
    <row r="3996" spans="1:5" x14ac:dyDescent="0.25">
      <c r="A3996" s="17">
        <v>324</v>
      </c>
      <c r="B3996" s="31">
        <v>46798</v>
      </c>
      <c r="C3996" s="32">
        <f>INDEX('Input Data'!$B:$B,A3996)/2+IF(A3996&lt;&gt;A3997,100,0)</f>
        <v>1.5</v>
      </c>
      <c r="D3996" s="33">
        <f>INDEX('ZCB Curve - Payment Dates'!$D$2:$D$246,MATCH(B3996,'ZCB Curve - Payment Dates'!$A$2:$A$246,0))</f>
        <v>0.94049096132648802</v>
      </c>
      <c r="E3996" s="32">
        <f t="shared" si="62"/>
        <v>1.4107364419897319</v>
      </c>
    </row>
    <row r="3997" spans="1:5" x14ac:dyDescent="0.25">
      <c r="A3997" s="17">
        <v>324</v>
      </c>
      <c r="B3997" s="31">
        <v>46980</v>
      </c>
      <c r="C3997" s="32">
        <f>INDEX('Input Data'!$B:$B,A3997)/2+IF(A3997&lt;&gt;A3998,100,0)</f>
        <v>1.5</v>
      </c>
      <c r="D3997" s="33">
        <f>INDEX('ZCB Curve - Payment Dates'!$D$2:$D$246,MATCH(B3997,'ZCB Curve - Payment Dates'!$A$2:$A$246,0))</f>
        <v>0.91931844130238327</v>
      </c>
      <c r="E3997" s="32">
        <f t="shared" si="62"/>
        <v>1.378977661953575</v>
      </c>
    </row>
    <row r="3998" spans="1:5" x14ac:dyDescent="0.25">
      <c r="A3998" s="17">
        <v>324</v>
      </c>
      <c r="B3998" s="31">
        <v>47164</v>
      </c>
      <c r="C3998" s="32">
        <f>INDEX('Input Data'!$B:$B,A3998)/2+IF(A3998&lt;&gt;A3999,100,0)</f>
        <v>1.5</v>
      </c>
      <c r="D3998" s="33">
        <f>INDEX('ZCB Curve - Payment Dates'!$D$2:$D$246,MATCH(B3998,'ZCB Curve - Payment Dates'!$A$2:$A$246,0))</f>
        <v>0.89817430058086534</v>
      </c>
      <c r="E3998" s="32">
        <f t="shared" si="62"/>
        <v>1.3472614508712981</v>
      </c>
    </row>
    <row r="3999" spans="1:5" x14ac:dyDescent="0.25">
      <c r="A3999" s="17">
        <v>324</v>
      </c>
      <c r="B3999" s="31">
        <v>47345</v>
      </c>
      <c r="C3999" s="32">
        <f>INDEX('Input Data'!$B:$B,A3999)/2+IF(A3999&lt;&gt;A4000,100,0)</f>
        <v>1.5</v>
      </c>
      <c r="D3999" s="33">
        <f>INDEX('ZCB Curve - Payment Dates'!$D$2:$D$246,MATCH(B3999,'ZCB Curve - Payment Dates'!$A$2:$A$246,0))</f>
        <v>0.87778421628860481</v>
      </c>
      <c r="E3999" s="32">
        <f t="shared" si="62"/>
        <v>1.3166763244329072</v>
      </c>
    </row>
    <row r="4000" spans="1:5" x14ac:dyDescent="0.25">
      <c r="A4000" s="17">
        <v>324</v>
      </c>
      <c r="B4000" s="31">
        <v>47529</v>
      </c>
      <c r="C4000" s="32">
        <f>INDEX('Input Data'!$B:$B,A4000)/2+IF(A4000&lt;&gt;A4001,100,0)</f>
        <v>1.5</v>
      </c>
      <c r="D4000" s="33">
        <f>INDEX('ZCB Curve - Payment Dates'!$D$2:$D$246,MATCH(B4000,'ZCB Curve - Payment Dates'!$A$2:$A$246,0))</f>
        <v>0.85751015570959666</v>
      </c>
      <c r="E4000" s="32">
        <f t="shared" si="62"/>
        <v>1.2862652335643949</v>
      </c>
    </row>
    <row r="4001" spans="1:5" x14ac:dyDescent="0.25">
      <c r="A4001" s="17">
        <v>324</v>
      </c>
      <c r="B4001" s="31">
        <v>47710</v>
      </c>
      <c r="C4001" s="32">
        <f>INDEX('Input Data'!$B:$B,A4001)/2+IF(A4001&lt;&gt;A4002,100,0)</f>
        <v>1.5</v>
      </c>
      <c r="D4001" s="33">
        <f>INDEX('ZCB Curve - Payment Dates'!$D$2:$D$246,MATCH(B4001,'ZCB Curve - Payment Dates'!$A$2:$A$246,0))</f>
        <v>0.83802423748211174</v>
      </c>
      <c r="E4001" s="32">
        <f t="shared" si="62"/>
        <v>1.2570363562231677</v>
      </c>
    </row>
    <row r="4002" spans="1:5" x14ac:dyDescent="0.25">
      <c r="A4002" s="17">
        <v>324</v>
      </c>
      <c r="B4002" s="31">
        <v>47894</v>
      </c>
      <c r="C4002" s="32">
        <f>INDEX('Input Data'!$B:$B,A4002)/2+IF(A4002&lt;&gt;A4003,100,0)</f>
        <v>1.5</v>
      </c>
      <c r="D4002" s="33">
        <f>INDEX('ZCB Curve - Payment Dates'!$D$2:$D$246,MATCH(B4002,'ZCB Curve - Payment Dates'!$A$2:$A$246,0))</f>
        <v>0.8186305474741673</v>
      </c>
      <c r="E4002" s="32">
        <f t="shared" si="62"/>
        <v>1.2279458212112511</v>
      </c>
    </row>
    <row r="4003" spans="1:5" x14ac:dyDescent="0.25">
      <c r="A4003" s="17">
        <v>324</v>
      </c>
      <c r="B4003" s="31">
        <v>48075</v>
      </c>
      <c r="C4003" s="32">
        <f>INDEX('Input Data'!$B:$B,A4003)/2+IF(A4003&lt;&gt;A4004,100,0)</f>
        <v>1.5</v>
      </c>
      <c r="D4003" s="33">
        <f>INDEX('ZCB Curve - Payment Dates'!$D$2:$D$246,MATCH(B4003,'ZCB Curve - Payment Dates'!$A$2:$A$246,0))</f>
        <v>0.7999252334775927</v>
      </c>
      <c r="E4003" s="32">
        <f t="shared" si="62"/>
        <v>1.199887850216389</v>
      </c>
    </row>
    <row r="4004" spans="1:5" x14ac:dyDescent="0.25">
      <c r="A4004" s="17">
        <v>324</v>
      </c>
      <c r="B4004" s="31">
        <v>48259</v>
      </c>
      <c r="C4004" s="32">
        <f>INDEX('Input Data'!$B:$B,A4004)/2+IF(A4004&lt;&gt;A4005,100,0)</f>
        <v>1.5</v>
      </c>
      <c r="D4004" s="33">
        <f>INDEX('ZCB Curve - Payment Dates'!$D$2:$D$246,MATCH(B4004,'ZCB Curve - Payment Dates'!$A$2:$A$246,0))</f>
        <v>0.78121887027612602</v>
      </c>
      <c r="E4004" s="32">
        <f t="shared" si="62"/>
        <v>1.1718283054141891</v>
      </c>
    </row>
    <row r="4005" spans="1:5" x14ac:dyDescent="0.25">
      <c r="A4005" s="17">
        <v>324</v>
      </c>
      <c r="B4005" s="31">
        <v>48441</v>
      </c>
      <c r="C4005" s="32">
        <f>INDEX('Input Data'!$B:$B,A4005)/2+IF(A4005&lt;&gt;A4006,100,0)</f>
        <v>1.5</v>
      </c>
      <c r="D4005" s="33">
        <f>INDEX('ZCB Curve - Payment Dates'!$D$2:$D$246,MATCH(B4005,'ZCB Curve - Payment Dates'!$A$2:$A$246,0))</f>
        <v>0.76298123459017864</v>
      </c>
      <c r="E4005" s="32">
        <f t="shared" si="62"/>
        <v>1.1444718518852679</v>
      </c>
    </row>
    <row r="4006" spans="1:5" x14ac:dyDescent="0.25">
      <c r="A4006" s="17">
        <v>324</v>
      </c>
      <c r="B4006" s="31">
        <v>48625</v>
      </c>
      <c r="C4006" s="32">
        <f>INDEX('Input Data'!$B:$B,A4006)/2+IF(A4006&lt;&gt;A4007,100,0)</f>
        <v>1.5</v>
      </c>
      <c r="D4006" s="33">
        <f>INDEX('ZCB Curve - Payment Dates'!$D$2:$D$246,MATCH(B4006,'ZCB Curve - Payment Dates'!$A$2:$A$246,0))</f>
        <v>0.74476011611938586</v>
      </c>
      <c r="E4006" s="32">
        <f t="shared" si="62"/>
        <v>1.1171401741790787</v>
      </c>
    </row>
    <row r="4007" spans="1:5" x14ac:dyDescent="0.25">
      <c r="A4007" s="17">
        <v>324</v>
      </c>
      <c r="B4007" s="31">
        <v>48806</v>
      </c>
      <c r="C4007" s="32">
        <f>INDEX('Input Data'!$B:$B,A4007)/2+IF(A4007&lt;&gt;A4008,100,0)</f>
        <v>1.5</v>
      </c>
      <c r="D4007" s="33">
        <f>INDEX('ZCB Curve - Payment Dates'!$D$2:$D$246,MATCH(B4007,'ZCB Curve - Payment Dates'!$A$2:$A$246,0))</f>
        <v>0.72701302496114584</v>
      </c>
      <c r="E4007" s="32">
        <f t="shared" si="62"/>
        <v>1.0905195374417187</v>
      </c>
    </row>
    <row r="4008" spans="1:5" x14ac:dyDescent="0.25">
      <c r="A4008" s="17">
        <v>324</v>
      </c>
      <c r="B4008" s="31">
        <v>48990</v>
      </c>
      <c r="C4008" s="32">
        <f>INDEX('Input Data'!$B:$B,A4008)/2+IF(A4008&lt;&gt;A4009,100,0)</f>
        <v>1.5</v>
      </c>
      <c r="D4008" s="33">
        <f>INDEX('ZCB Curve - Payment Dates'!$D$2:$D$246,MATCH(B4008,'ZCB Curve - Payment Dates'!$A$2:$A$246,0))</f>
        <v>0.70912647031380449</v>
      </c>
      <c r="E4008" s="32">
        <f t="shared" si="62"/>
        <v>1.0636897054707068</v>
      </c>
    </row>
    <row r="4009" spans="1:5" x14ac:dyDescent="0.25">
      <c r="A4009" s="17">
        <v>324</v>
      </c>
      <c r="B4009" s="31">
        <v>49171</v>
      </c>
      <c r="C4009" s="32">
        <f>INDEX('Input Data'!$B:$B,A4009)/2+IF(A4009&lt;&gt;A4010,100,0)</f>
        <v>1.5</v>
      </c>
      <c r="D4009" s="33">
        <f>INDEX('ZCB Curve - Payment Dates'!$D$2:$D$246,MATCH(B4009,'ZCB Curve - Payment Dates'!$A$2:$A$246,0))</f>
        <v>0.6916661505723215</v>
      </c>
      <c r="E4009" s="32">
        <f t="shared" si="62"/>
        <v>1.0374992258584823</v>
      </c>
    </row>
    <row r="4010" spans="1:5" x14ac:dyDescent="0.25">
      <c r="A4010" s="17">
        <v>324</v>
      </c>
      <c r="B4010" s="31">
        <v>49355</v>
      </c>
      <c r="C4010" s="32">
        <f>INDEX('Input Data'!$B:$B,A4010)/2+IF(A4010&lt;&gt;A4011,100,0)</f>
        <v>1.5</v>
      </c>
      <c r="D4010" s="33">
        <f>INDEX('ZCB Curve - Payment Dates'!$D$2:$D$246,MATCH(B4010,'ZCB Curve - Payment Dates'!$A$2:$A$246,0))</f>
        <v>0.674047377898778</v>
      </c>
      <c r="E4010" s="32">
        <f t="shared" si="62"/>
        <v>1.0110710668481671</v>
      </c>
    </row>
    <row r="4011" spans="1:5" x14ac:dyDescent="0.25">
      <c r="A4011" s="17">
        <v>324</v>
      </c>
      <c r="B4011" s="31">
        <v>49536</v>
      </c>
      <c r="C4011" s="32">
        <f>INDEX('Input Data'!$B:$B,A4011)/2+IF(A4011&lt;&gt;A4012,100,0)</f>
        <v>1.5</v>
      </c>
      <c r="D4011" s="33">
        <f>INDEX('ZCB Curve - Payment Dates'!$D$2:$D$246,MATCH(B4011,'ZCB Curve - Payment Dates'!$A$2:$A$246,0))</f>
        <v>0.65684432300638129</v>
      </c>
      <c r="E4011" s="32">
        <f t="shared" si="62"/>
        <v>0.98526648450957199</v>
      </c>
    </row>
    <row r="4012" spans="1:5" x14ac:dyDescent="0.25">
      <c r="A4012" s="17">
        <v>324</v>
      </c>
      <c r="B4012" s="31">
        <v>49720</v>
      </c>
      <c r="C4012" s="32">
        <f>INDEX('Input Data'!$B:$B,A4012)/2+IF(A4012&lt;&gt;A4013,100,0)</f>
        <v>1.5</v>
      </c>
      <c r="D4012" s="33">
        <f>INDEX('ZCB Curve - Payment Dates'!$D$2:$D$246,MATCH(B4012,'ZCB Curve - Payment Dates'!$A$2:$A$246,0))</f>
        <v>0.63949604524993764</v>
      </c>
      <c r="E4012" s="32">
        <f t="shared" si="62"/>
        <v>0.95924406787490646</v>
      </c>
    </row>
    <row r="4013" spans="1:5" x14ac:dyDescent="0.25">
      <c r="A4013" s="17">
        <v>324</v>
      </c>
      <c r="B4013" s="31">
        <v>49902</v>
      </c>
      <c r="C4013" s="32">
        <f>INDEX('Input Data'!$B:$B,A4013)/2+IF(A4013&lt;&gt;A4014,100,0)</f>
        <v>1.5</v>
      </c>
      <c r="D4013" s="33">
        <f>INDEX('ZCB Curve - Payment Dates'!$D$2:$D$246,MATCH(B4013,'ZCB Curve - Payment Dates'!$A$2:$A$246,0))</f>
        <v>0.62248862376822711</v>
      </c>
      <c r="E4013" s="32">
        <f t="shared" si="62"/>
        <v>0.93373293565234072</v>
      </c>
    </row>
    <row r="4014" spans="1:5" x14ac:dyDescent="0.25">
      <c r="A4014" s="17">
        <v>324</v>
      </c>
      <c r="B4014" s="31">
        <v>50086</v>
      </c>
      <c r="C4014" s="32">
        <f>INDEX('Input Data'!$B:$B,A4014)/2+IF(A4014&lt;&gt;A4015,100,0)</f>
        <v>1.5</v>
      </c>
      <c r="D4014" s="33">
        <f>INDEX('ZCB Curve - Payment Dates'!$D$2:$D$246,MATCH(B4014,'ZCB Curve - Payment Dates'!$A$2:$A$246,0))</f>
        <v>0.60546490876014969</v>
      </c>
      <c r="E4014" s="32">
        <f t="shared" si="62"/>
        <v>0.90819736314022448</v>
      </c>
    </row>
    <row r="4015" spans="1:5" x14ac:dyDescent="0.25">
      <c r="A4015" s="17">
        <v>324</v>
      </c>
      <c r="B4015" s="31">
        <v>50267</v>
      </c>
      <c r="C4015" s="32">
        <f>INDEX('Input Data'!$B:$B,A4015)/2+IF(A4015&lt;&gt;A4016,100,0)</f>
        <v>1.5</v>
      </c>
      <c r="D4015" s="33">
        <f>INDEX('ZCB Curve - Payment Dates'!$D$2:$D$246,MATCH(B4015,'ZCB Curve - Payment Dates'!$A$2:$A$246,0))</f>
        <v>0.58890683803346977</v>
      </c>
      <c r="E4015" s="32">
        <f t="shared" si="62"/>
        <v>0.8833602570502046</v>
      </c>
    </row>
    <row r="4016" spans="1:5" x14ac:dyDescent="0.25">
      <c r="A4016" s="17">
        <v>324</v>
      </c>
      <c r="B4016" s="31">
        <v>50451</v>
      </c>
      <c r="C4016" s="32">
        <f>INDEX('Input Data'!$B:$B,A4016)/2+IF(A4016&lt;&gt;A4017,100,0)</f>
        <v>1.5</v>
      </c>
      <c r="D4016" s="33">
        <f>INDEX('ZCB Curve - Payment Dates'!$D$2:$D$246,MATCH(B4016,'ZCB Curve - Payment Dates'!$A$2:$A$246,0))</f>
        <v>0.57228983695479263</v>
      </c>
      <c r="E4016" s="32">
        <f t="shared" si="62"/>
        <v>0.85843475543218895</v>
      </c>
    </row>
    <row r="4017" spans="1:5" x14ac:dyDescent="0.25">
      <c r="A4017" s="17">
        <v>324</v>
      </c>
      <c r="B4017" s="31">
        <v>50632</v>
      </c>
      <c r="C4017" s="32">
        <f>INDEX('Input Data'!$B:$B,A4017)/2+IF(A4017&lt;&gt;A4018,100,0)</f>
        <v>1.5</v>
      </c>
      <c r="D4017" s="33">
        <f>INDEX('ZCB Curve - Payment Dates'!$D$2:$D$246,MATCH(B4017,'ZCB Curve - Payment Dates'!$A$2:$A$246,0))</f>
        <v>0.55617795699202288</v>
      </c>
      <c r="E4017" s="32">
        <f t="shared" si="62"/>
        <v>0.83426693548803432</v>
      </c>
    </row>
    <row r="4018" spans="1:5" x14ac:dyDescent="0.25">
      <c r="A4018" s="17">
        <v>324</v>
      </c>
      <c r="B4018" s="31">
        <v>50816</v>
      </c>
      <c r="C4018" s="32">
        <f>INDEX('Input Data'!$B:$B,A4018)/2+IF(A4018&lt;&gt;A4019,100,0)</f>
        <v>1.5</v>
      </c>
      <c r="D4018" s="33">
        <f>INDEX('ZCB Curve - Payment Dates'!$D$2:$D$246,MATCH(B4018,'ZCB Curve - Payment Dates'!$A$2:$A$246,0))</f>
        <v>0.54006240951211237</v>
      </c>
      <c r="E4018" s="32">
        <f t="shared" si="62"/>
        <v>0.8100936142681685</v>
      </c>
    </row>
    <row r="4019" spans="1:5" x14ac:dyDescent="0.25">
      <c r="A4019" s="17">
        <v>324</v>
      </c>
      <c r="B4019" s="31">
        <v>50997</v>
      </c>
      <c r="C4019" s="32">
        <f>INDEX('Input Data'!$B:$B,A4019)/2+IF(A4019&lt;&gt;A4020,100,0)</f>
        <v>1.5</v>
      </c>
      <c r="D4019" s="33">
        <f>INDEX('ZCB Curve - Payment Dates'!$D$2:$D$246,MATCH(B4019,'ZCB Curve - Payment Dates'!$A$2:$A$246,0))</f>
        <v>0.52449040173194583</v>
      </c>
      <c r="E4019" s="32">
        <f t="shared" si="62"/>
        <v>0.78673560259791875</v>
      </c>
    </row>
    <row r="4020" spans="1:5" x14ac:dyDescent="0.25">
      <c r="A4020" s="17">
        <v>324</v>
      </c>
      <c r="B4020" s="31">
        <v>51181</v>
      </c>
      <c r="C4020" s="32">
        <f>INDEX('Input Data'!$B:$B,A4020)/2+IF(A4020&lt;&gt;A4021,100,0)</f>
        <v>1.5</v>
      </c>
      <c r="D4020" s="33">
        <f>INDEX('ZCB Curve - Payment Dates'!$D$2:$D$246,MATCH(B4020,'ZCB Curve - Payment Dates'!$A$2:$A$246,0))</f>
        <v>0.5089691698468306</v>
      </c>
      <c r="E4020" s="32">
        <f t="shared" si="62"/>
        <v>0.76345375477024591</v>
      </c>
    </row>
    <row r="4021" spans="1:5" x14ac:dyDescent="0.25">
      <c r="A4021" s="17">
        <v>324</v>
      </c>
      <c r="B4021" s="31">
        <v>51363</v>
      </c>
      <c r="C4021" s="32">
        <f>INDEX('Input Data'!$B:$B,A4021)/2+IF(A4021&lt;&gt;A4022,100,0)</f>
        <v>1.5</v>
      </c>
      <c r="D4021" s="33">
        <f>INDEX('ZCB Curve - Payment Dates'!$D$2:$D$246,MATCH(B4021,'ZCB Curve - Payment Dates'!$A$2:$A$246,0))</f>
        <v>0.49394036022330806</v>
      </c>
      <c r="E4021" s="32">
        <f t="shared" si="62"/>
        <v>0.74091054033496206</v>
      </c>
    </row>
    <row r="4022" spans="1:5" x14ac:dyDescent="0.25">
      <c r="A4022" s="17">
        <v>324</v>
      </c>
      <c r="B4022" s="31">
        <v>51547</v>
      </c>
      <c r="C4022" s="32">
        <f>INDEX('Input Data'!$B:$B,A4022)/2+IF(A4022&lt;&gt;A4023,100,0)</f>
        <v>1.5</v>
      </c>
      <c r="D4022" s="33">
        <f>INDEX('ZCB Curve - Payment Dates'!$D$2:$D$246,MATCH(B4022,'ZCB Curve - Payment Dates'!$A$2:$A$246,0))</f>
        <v>0.47909718957588998</v>
      </c>
      <c r="E4022" s="32">
        <f t="shared" si="62"/>
        <v>0.71864578436383497</v>
      </c>
    </row>
    <row r="4023" spans="1:5" x14ac:dyDescent="0.25">
      <c r="A4023" s="17">
        <v>324</v>
      </c>
      <c r="B4023" s="31">
        <v>51728</v>
      </c>
      <c r="C4023" s="32">
        <f>INDEX('Input Data'!$B:$B,A4023)/2+IF(A4023&lt;&gt;A4024,100,0)</f>
        <v>1.5</v>
      </c>
      <c r="D4023" s="33">
        <f>INDEX('ZCB Curve - Payment Dates'!$D$2:$D$246,MATCH(B4023,'ZCB Curve - Payment Dates'!$A$2:$A$246,0))</f>
        <v>0.46485329459616059</v>
      </c>
      <c r="E4023" s="32">
        <f t="shared" si="62"/>
        <v>0.69727994189424092</v>
      </c>
    </row>
    <row r="4024" spans="1:5" x14ac:dyDescent="0.25">
      <c r="A4024" s="17">
        <v>324</v>
      </c>
      <c r="B4024" s="31">
        <v>51912</v>
      </c>
      <c r="C4024" s="32">
        <f>INDEX('Input Data'!$B:$B,A4024)/2+IF(A4024&lt;&gt;A4025,100,0)</f>
        <v>1.5</v>
      </c>
      <c r="D4024" s="33">
        <f>INDEX('ZCB Curve - Payment Dates'!$D$2:$D$246,MATCH(B4024,'ZCB Curve - Payment Dates'!$A$2:$A$246,0))</f>
        <v>0.45075168915212815</v>
      </c>
      <c r="E4024" s="32">
        <f t="shared" si="62"/>
        <v>0.67612753372819223</v>
      </c>
    </row>
    <row r="4025" spans="1:5" x14ac:dyDescent="0.25">
      <c r="A4025" s="17">
        <v>324</v>
      </c>
      <c r="B4025" s="31">
        <v>52093</v>
      </c>
      <c r="C4025" s="32">
        <f>INDEX('Input Data'!$B:$B,A4025)/2+IF(A4025&lt;&gt;A4026,100,0)</f>
        <v>1.5</v>
      </c>
      <c r="D4025" s="33">
        <f>INDEX('ZCB Curve - Payment Dates'!$D$2:$D$246,MATCH(B4025,'ZCB Curve - Payment Dates'!$A$2:$A$246,0))</f>
        <v>0.43726259018094221</v>
      </c>
      <c r="E4025" s="32">
        <f t="shared" si="62"/>
        <v>0.65589388527141335</v>
      </c>
    </row>
    <row r="4026" spans="1:5" x14ac:dyDescent="0.25">
      <c r="A4026" s="17">
        <v>324</v>
      </c>
      <c r="B4026" s="31">
        <v>52277</v>
      </c>
      <c r="C4026" s="32">
        <f>INDEX('Input Data'!$B:$B,A4026)/2+IF(A4026&lt;&gt;A4027,100,0)</f>
        <v>1.5</v>
      </c>
      <c r="D4026" s="33">
        <f>INDEX('ZCB Curve - Payment Dates'!$D$2:$D$246,MATCH(B4026,'ZCB Curve - Payment Dates'!$A$2:$A$246,0))</f>
        <v>0.4239492285351204</v>
      </c>
      <c r="E4026" s="32">
        <f t="shared" si="62"/>
        <v>0.63592384280268055</v>
      </c>
    </row>
    <row r="4027" spans="1:5" x14ac:dyDescent="0.25">
      <c r="A4027" s="17">
        <v>324</v>
      </c>
      <c r="B4027" s="31">
        <v>52458</v>
      </c>
      <c r="C4027" s="32">
        <f>INDEX('Input Data'!$B:$B,A4027)/2+IF(A4027&lt;&gt;A4028,100,0)</f>
        <v>1.5</v>
      </c>
      <c r="D4027" s="33">
        <f>INDEX('ZCB Curve - Payment Dates'!$D$2:$D$246,MATCH(B4027,'ZCB Curve - Payment Dates'!$A$2:$A$246,0))</f>
        <v>0.4112516019468152</v>
      </c>
      <c r="E4027" s="32">
        <f t="shared" si="62"/>
        <v>0.61687740292022286</v>
      </c>
    </row>
    <row r="4028" spans="1:5" x14ac:dyDescent="0.25">
      <c r="A4028" s="17">
        <v>324</v>
      </c>
      <c r="B4028" s="31">
        <v>52642</v>
      </c>
      <c r="C4028" s="32">
        <f>INDEX('Input Data'!$B:$B,A4028)/2+IF(A4028&lt;&gt;A4029,100,0)</f>
        <v>1.5</v>
      </c>
      <c r="D4028" s="33">
        <f>INDEX('ZCB Curve - Payment Dates'!$D$2:$D$246,MATCH(B4028,'ZCB Curve - Payment Dates'!$A$2:$A$246,0))</f>
        <v>0.39875459879352759</v>
      </c>
      <c r="E4028" s="32">
        <f t="shared" si="62"/>
        <v>0.59813189819029144</v>
      </c>
    </row>
    <row r="4029" spans="1:5" x14ac:dyDescent="0.25">
      <c r="A4029" s="17">
        <v>324</v>
      </c>
      <c r="B4029" s="31">
        <v>52824</v>
      </c>
      <c r="C4029" s="32">
        <f>INDEX('Input Data'!$B:$B,A4029)/2+IF(A4029&lt;&gt;A4030,100,0)</f>
        <v>1.5</v>
      </c>
      <c r="D4029" s="33">
        <f>INDEX('ZCB Curve - Payment Dates'!$D$2:$D$246,MATCH(B4029,'ZCB Curve - Payment Dates'!$A$2:$A$246,0))</f>
        <v>0.38680384560622083</v>
      </c>
      <c r="E4029" s="32">
        <f t="shared" si="62"/>
        <v>0.58020576840933125</v>
      </c>
    </row>
    <row r="4030" spans="1:5" x14ac:dyDescent="0.25">
      <c r="A4030" s="17">
        <v>324</v>
      </c>
      <c r="B4030" s="31">
        <v>53008</v>
      </c>
      <c r="C4030" s="32">
        <f>INDEX('Input Data'!$B:$B,A4030)/2+IF(A4030&lt;&gt;A4031,100,0)</f>
        <v>1.5</v>
      </c>
      <c r="D4030" s="33">
        <f>INDEX('ZCB Curve - Payment Dates'!$D$2:$D$246,MATCH(B4030,'ZCB Curve - Payment Dates'!$A$2:$A$246,0))</f>
        <v>0.37513648791915083</v>
      </c>
      <c r="E4030" s="32">
        <f t="shared" si="62"/>
        <v>0.56270473187872627</v>
      </c>
    </row>
    <row r="4031" spans="1:5" x14ac:dyDescent="0.25">
      <c r="A4031" s="17">
        <v>324</v>
      </c>
      <c r="B4031" s="31">
        <v>53189</v>
      </c>
      <c r="C4031" s="32">
        <f>INDEX('Input Data'!$B:$B,A4031)/2+IF(A4031&lt;&gt;A4032,100,0)</f>
        <v>1.5</v>
      </c>
      <c r="D4031" s="33">
        <f>INDEX('ZCB Curve - Payment Dates'!$D$2:$D$246,MATCH(B4031,'ZCB Curve - Payment Dates'!$A$2:$A$246,0))</f>
        <v>0.36406533257851953</v>
      </c>
      <c r="E4031" s="32">
        <f t="shared" si="62"/>
        <v>0.54609799886777932</v>
      </c>
    </row>
    <row r="4032" spans="1:5" x14ac:dyDescent="0.25">
      <c r="A4032" s="17">
        <v>324</v>
      </c>
      <c r="B4032" s="31">
        <v>53373</v>
      </c>
      <c r="C4032" s="32">
        <f>INDEX('Input Data'!$B:$B,A4032)/2+IF(A4032&lt;&gt;A4033,100,0)</f>
        <v>1.5</v>
      </c>
      <c r="D4032" s="33">
        <f>INDEX('ZCB Curve - Payment Dates'!$D$2:$D$246,MATCH(B4032,'ZCB Curve - Payment Dates'!$A$2:$A$246,0))</f>
        <v>0.35322166892031259</v>
      </c>
      <c r="E4032" s="32">
        <f t="shared" si="62"/>
        <v>0.52983250338046894</v>
      </c>
    </row>
    <row r="4033" spans="1:5" x14ac:dyDescent="0.25">
      <c r="A4033" s="17">
        <v>324</v>
      </c>
      <c r="B4033" s="31">
        <v>53554</v>
      </c>
      <c r="C4033" s="32">
        <f>INDEX('Input Data'!$B:$B,A4033)/2+IF(A4033&lt;&gt;A4034,100,0)</f>
        <v>1.5</v>
      </c>
      <c r="D4033" s="33">
        <f>INDEX('ZCB Curve - Payment Dates'!$D$2:$D$246,MATCH(B4033,'ZCB Curve - Payment Dates'!$A$2:$A$246,0))</f>
        <v>0.34295436226619208</v>
      </c>
      <c r="E4033" s="32">
        <f t="shared" si="62"/>
        <v>0.51443154339928809</v>
      </c>
    </row>
    <row r="4034" spans="1:5" x14ac:dyDescent="0.25">
      <c r="A4034" s="17">
        <v>324</v>
      </c>
      <c r="B4034" s="31">
        <v>53738</v>
      </c>
      <c r="C4034" s="32">
        <f>INDEX('Input Data'!$B:$B,A4034)/2+IF(A4034&lt;&gt;A4035,100,0)</f>
        <v>1.5</v>
      </c>
      <c r="D4034" s="33">
        <f>INDEX('ZCB Curve - Payment Dates'!$D$2:$D$246,MATCH(B4034,'ZCB Curve - Payment Dates'!$A$2:$A$246,0))</f>
        <v>0.33291860450360972</v>
      </c>
      <c r="E4034" s="32">
        <f t="shared" ref="E4034:E4097" si="63">C4034*D4034</f>
        <v>0.4993779067554146</v>
      </c>
    </row>
    <row r="4035" spans="1:5" x14ac:dyDescent="0.25">
      <c r="A4035" s="17">
        <v>324</v>
      </c>
      <c r="B4035" s="31">
        <v>53919</v>
      </c>
      <c r="C4035" s="32">
        <f>INDEX('Input Data'!$B:$B,A4035)/2+IF(A4035&lt;&gt;A4036,100,0)</f>
        <v>1.5</v>
      </c>
      <c r="D4035" s="33">
        <f>INDEX('ZCB Curve - Payment Dates'!$D$2:$D$246,MATCH(B4035,'ZCB Curve - Payment Dates'!$A$2:$A$246,0))</f>
        <v>0.32343468195091313</v>
      </c>
      <c r="E4035" s="32">
        <f t="shared" si="63"/>
        <v>0.48515202292636972</v>
      </c>
    </row>
    <row r="4036" spans="1:5" x14ac:dyDescent="0.25">
      <c r="A4036" s="17">
        <v>324</v>
      </c>
      <c r="B4036" s="31">
        <v>54103</v>
      </c>
      <c r="C4036" s="32">
        <f>INDEX('Input Data'!$B:$B,A4036)/2+IF(A4036&lt;&gt;A4037,100,0)</f>
        <v>1.5</v>
      </c>
      <c r="D4036" s="33">
        <f>INDEX('ZCB Curve - Payment Dates'!$D$2:$D$246,MATCH(B4036,'ZCB Curve - Payment Dates'!$A$2:$A$246,0))</f>
        <v>0.31418167147949361</v>
      </c>
      <c r="E4036" s="32">
        <f t="shared" si="63"/>
        <v>0.47127250721924041</v>
      </c>
    </row>
    <row r="4037" spans="1:5" x14ac:dyDescent="0.25">
      <c r="A4037" s="17">
        <v>324</v>
      </c>
      <c r="B4037" s="31">
        <v>54285</v>
      </c>
      <c r="C4037" s="32">
        <f>INDEX('Input Data'!$B:$B,A4037)/2+IF(A4037&lt;&gt;A4038,100,0)</f>
        <v>1.5</v>
      </c>
      <c r="D4037" s="33">
        <f>INDEX('ZCB Curve - Payment Dates'!$D$2:$D$246,MATCH(B4037,'ZCB Curve - Payment Dates'!$A$2:$A$246,0))</f>
        <v>0.30540618878290843</v>
      </c>
      <c r="E4037" s="32">
        <f t="shared" si="63"/>
        <v>0.45810928317436261</v>
      </c>
    </row>
    <row r="4038" spans="1:5" x14ac:dyDescent="0.25">
      <c r="A4038" s="17">
        <v>324</v>
      </c>
      <c r="B4038" s="31">
        <v>54469</v>
      </c>
      <c r="C4038" s="32">
        <f>INDEX('Input Data'!$B:$B,A4038)/2+IF(A4038&lt;&gt;A4039,100,0)</f>
        <v>101.5</v>
      </c>
      <c r="D4038" s="33">
        <f>INDEX('ZCB Curve - Payment Dates'!$D$2:$D$246,MATCH(B4038,'ZCB Curve - Payment Dates'!$A$2:$A$246,0))</f>
        <v>0.29690423521941833</v>
      </c>
      <c r="E4038" s="32">
        <f t="shared" si="63"/>
        <v>30.135779874770961</v>
      </c>
    </row>
    <row r="4039" spans="1:5" x14ac:dyDescent="0.25">
      <c r="A4039" s="17">
        <v>325</v>
      </c>
      <c r="B4039" s="31">
        <v>46341</v>
      </c>
      <c r="C4039" s="32">
        <f>INDEX('Input Data'!$B:$B,A4039)/2+IF(A4039&lt;&gt;A4040,100,0)</f>
        <v>1.4375</v>
      </c>
      <c r="D4039" s="33">
        <f>INDEX('ZCB Curve - Payment Dates'!$D$2:$D$246,MATCH(B4039,'ZCB Curve - Payment Dates'!$A$2:$A$246,0))</f>
        <v>0.99245367292309439</v>
      </c>
      <c r="E4039" s="32">
        <f t="shared" si="63"/>
        <v>1.4266521548269482</v>
      </c>
    </row>
    <row r="4040" spans="1:5" x14ac:dyDescent="0.25">
      <c r="A4040" s="17">
        <v>325</v>
      </c>
      <c r="B4040" s="31">
        <v>46522</v>
      </c>
      <c r="C4040" s="32">
        <f>INDEX('Input Data'!$B:$B,A4040)/2+IF(A4040&lt;&gt;A4041,100,0)</f>
        <v>1.4375</v>
      </c>
      <c r="D4040" s="33">
        <f>INDEX('ZCB Curve - Payment Dates'!$D$2:$D$246,MATCH(B4040,'ZCB Curve - Payment Dates'!$A$2:$A$246,0))</f>
        <v>0.97242179559611874</v>
      </c>
      <c r="E4040" s="32">
        <f t="shared" si="63"/>
        <v>1.3978563311694208</v>
      </c>
    </row>
    <row r="4041" spans="1:5" x14ac:dyDescent="0.25">
      <c r="A4041" s="17">
        <v>325</v>
      </c>
      <c r="B4041" s="31">
        <v>46706</v>
      </c>
      <c r="C4041" s="32">
        <f>INDEX('Input Data'!$B:$B,A4041)/2+IF(A4041&lt;&gt;A4042,100,0)</f>
        <v>1.4375</v>
      </c>
      <c r="D4041" s="33">
        <f>INDEX('ZCB Curve - Payment Dates'!$D$2:$D$246,MATCH(B4041,'ZCB Curve - Payment Dates'!$A$2:$A$246,0))</f>
        <v>0.95121018311627348</v>
      </c>
      <c r="E4041" s="32">
        <f t="shared" si="63"/>
        <v>1.3673646382296432</v>
      </c>
    </row>
    <row r="4042" spans="1:5" x14ac:dyDescent="0.25">
      <c r="A4042" s="17">
        <v>325</v>
      </c>
      <c r="B4042" s="31">
        <v>46888</v>
      </c>
      <c r="C4042" s="32">
        <f>INDEX('Input Data'!$B:$B,A4042)/2+IF(A4042&lt;&gt;A4043,100,0)</f>
        <v>1.4375</v>
      </c>
      <c r="D4042" s="33">
        <f>INDEX('ZCB Curve - Payment Dates'!$D$2:$D$246,MATCH(B4042,'ZCB Curve - Payment Dates'!$A$2:$A$246,0))</f>
        <v>0.93000025435083566</v>
      </c>
      <c r="E4042" s="32">
        <f t="shared" si="63"/>
        <v>1.3368753656293262</v>
      </c>
    </row>
    <row r="4043" spans="1:5" x14ac:dyDescent="0.25">
      <c r="A4043" s="17">
        <v>325</v>
      </c>
      <c r="B4043" s="31">
        <v>47072</v>
      </c>
      <c r="C4043" s="32">
        <f>INDEX('Input Data'!$B:$B,A4043)/2+IF(A4043&lt;&gt;A4044,100,0)</f>
        <v>1.4375</v>
      </c>
      <c r="D4043" s="33">
        <f>INDEX('ZCB Curve - Payment Dates'!$D$2:$D$246,MATCH(B4043,'ZCB Curve - Payment Dates'!$A$2:$A$246,0))</f>
        <v>0.90870125167038918</v>
      </c>
      <c r="E4043" s="32">
        <f t="shared" si="63"/>
        <v>1.3062580492761844</v>
      </c>
    </row>
    <row r="4044" spans="1:5" x14ac:dyDescent="0.25">
      <c r="A4044" s="17">
        <v>325</v>
      </c>
      <c r="B4044" s="31">
        <v>47253</v>
      </c>
      <c r="C4044" s="32">
        <f>INDEX('Input Data'!$B:$B,A4044)/2+IF(A4044&lt;&gt;A4045,100,0)</f>
        <v>1.4375</v>
      </c>
      <c r="D4044" s="33">
        <f>INDEX('ZCB Curve - Payment Dates'!$D$2:$D$246,MATCH(B4044,'ZCB Curve - Payment Dates'!$A$2:$A$246,0))</f>
        <v>0.88809325063638844</v>
      </c>
      <c r="E4044" s="32">
        <f t="shared" si="63"/>
        <v>1.2766340477898084</v>
      </c>
    </row>
    <row r="4045" spans="1:5" x14ac:dyDescent="0.25">
      <c r="A4045" s="17">
        <v>325</v>
      </c>
      <c r="B4045" s="31">
        <v>47437</v>
      </c>
      <c r="C4045" s="32">
        <f>INDEX('Input Data'!$B:$B,A4045)/2+IF(A4045&lt;&gt;A4046,100,0)</f>
        <v>1.4375</v>
      </c>
      <c r="D4045" s="33">
        <f>INDEX('ZCB Curve - Payment Dates'!$D$2:$D$246,MATCH(B4045,'ZCB Curve - Payment Dates'!$A$2:$A$246,0))</f>
        <v>0.86758824089536279</v>
      </c>
      <c r="E4045" s="32">
        <f t="shared" si="63"/>
        <v>1.2471580962870841</v>
      </c>
    </row>
    <row r="4046" spans="1:5" x14ac:dyDescent="0.25">
      <c r="A4046" s="17">
        <v>325</v>
      </c>
      <c r="B4046" s="31">
        <v>47618</v>
      </c>
      <c r="C4046" s="32">
        <f>INDEX('Input Data'!$B:$B,A4046)/2+IF(A4046&lt;&gt;A4047,100,0)</f>
        <v>1.4375</v>
      </c>
      <c r="D4046" s="33">
        <f>INDEX('ZCB Curve - Payment Dates'!$D$2:$D$246,MATCH(B4046,'ZCB Curve - Payment Dates'!$A$2:$A$246,0))</f>
        <v>0.84787416911783064</v>
      </c>
      <c r="E4046" s="32">
        <f t="shared" si="63"/>
        <v>1.2188191181068815</v>
      </c>
    </row>
    <row r="4047" spans="1:5" x14ac:dyDescent="0.25">
      <c r="A4047" s="17">
        <v>325</v>
      </c>
      <c r="B4047" s="31">
        <v>47802</v>
      </c>
      <c r="C4047" s="32">
        <f>INDEX('Input Data'!$B:$B,A4047)/2+IF(A4047&lt;&gt;A4048,100,0)</f>
        <v>1.4375</v>
      </c>
      <c r="D4047" s="33">
        <f>INDEX('ZCB Curve - Payment Dates'!$D$2:$D$246,MATCH(B4047,'ZCB Curve - Payment Dates'!$A$2:$A$246,0))</f>
        <v>0.82827715028796722</v>
      </c>
      <c r="E4047" s="32">
        <f t="shared" si="63"/>
        <v>1.1906484035389528</v>
      </c>
    </row>
    <row r="4048" spans="1:5" x14ac:dyDescent="0.25">
      <c r="A4048" s="17">
        <v>325</v>
      </c>
      <c r="B4048" s="31">
        <v>47983</v>
      </c>
      <c r="C4048" s="32">
        <f>INDEX('Input Data'!$B:$B,A4048)/2+IF(A4048&lt;&gt;A4049,100,0)</f>
        <v>1.4375</v>
      </c>
      <c r="D4048" s="33">
        <f>INDEX('ZCB Curve - Payment Dates'!$D$2:$D$246,MATCH(B4048,'ZCB Curve - Payment Dates'!$A$2:$A$246,0))</f>
        <v>0.80939067484273564</v>
      </c>
      <c r="E4048" s="32">
        <f t="shared" si="63"/>
        <v>1.1634990950864326</v>
      </c>
    </row>
    <row r="4049" spans="1:5" x14ac:dyDescent="0.25">
      <c r="A4049" s="17">
        <v>325</v>
      </c>
      <c r="B4049" s="31">
        <v>48167</v>
      </c>
      <c r="C4049" s="32">
        <f>INDEX('Input Data'!$B:$B,A4049)/2+IF(A4049&lt;&gt;A4050,100,0)</f>
        <v>1.4375</v>
      </c>
      <c r="D4049" s="33">
        <f>INDEX('ZCB Curve - Payment Dates'!$D$2:$D$246,MATCH(B4049,'ZCB Curve - Payment Dates'!$A$2:$A$246,0))</f>
        <v>0.79053567842581962</v>
      </c>
      <c r="E4049" s="32">
        <f t="shared" si="63"/>
        <v>1.1363950377371157</v>
      </c>
    </row>
    <row r="4050" spans="1:5" x14ac:dyDescent="0.25">
      <c r="A4050" s="17">
        <v>325</v>
      </c>
      <c r="B4050" s="31">
        <v>48349</v>
      </c>
      <c r="C4050" s="32">
        <f>INDEX('Input Data'!$B:$B,A4050)/2+IF(A4050&lt;&gt;A4051,100,0)</f>
        <v>1.4375</v>
      </c>
      <c r="D4050" s="33">
        <f>INDEX('ZCB Curve - Payment Dates'!$D$2:$D$246,MATCH(B4050,'ZCB Curve - Payment Dates'!$A$2:$A$246,0))</f>
        <v>0.77217305702007488</v>
      </c>
      <c r="E4050" s="32">
        <f t="shared" si="63"/>
        <v>1.1099987694663576</v>
      </c>
    </row>
    <row r="4051" spans="1:5" x14ac:dyDescent="0.25">
      <c r="A4051" s="17">
        <v>325</v>
      </c>
      <c r="B4051" s="31">
        <v>48533</v>
      </c>
      <c r="C4051" s="32">
        <f>INDEX('Input Data'!$B:$B,A4051)/2+IF(A4051&lt;&gt;A4052,100,0)</f>
        <v>1.4375</v>
      </c>
      <c r="D4051" s="33">
        <f>INDEX('ZCB Curve - Payment Dates'!$D$2:$D$246,MATCH(B4051,'ZCB Curve - Payment Dates'!$A$2:$A$246,0))</f>
        <v>0.75384766072076514</v>
      </c>
      <c r="E4051" s="32">
        <f t="shared" si="63"/>
        <v>1.0836560122860999</v>
      </c>
    </row>
    <row r="4052" spans="1:5" x14ac:dyDescent="0.25">
      <c r="A4052" s="17">
        <v>325</v>
      </c>
      <c r="B4052" s="31">
        <v>48714</v>
      </c>
      <c r="C4052" s="32">
        <f>INDEX('Input Data'!$B:$B,A4052)/2+IF(A4052&lt;&gt;A4053,100,0)</f>
        <v>1.4375</v>
      </c>
      <c r="D4052" s="33">
        <f>INDEX('ZCB Curve - Payment Dates'!$D$2:$D$246,MATCH(B4052,'ZCB Curve - Payment Dates'!$A$2:$A$246,0))</f>
        <v>0.73601491848746747</v>
      </c>
      <c r="E4052" s="32">
        <f t="shared" si="63"/>
        <v>1.0580214453257344</v>
      </c>
    </row>
    <row r="4053" spans="1:5" x14ac:dyDescent="0.25">
      <c r="A4053" s="17">
        <v>325</v>
      </c>
      <c r="B4053" s="31">
        <v>48898</v>
      </c>
      <c r="C4053" s="32">
        <f>INDEX('Input Data'!$B:$B,A4053)/2+IF(A4053&lt;&gt;A4054,100,0)</f>
        <v>1.4375</v>
      </c>
      <c r="D4053" s="33">
        <f>INDEX('ZCB Curve - Payment Dates'!$D$2:$D$246,MATCH(B4053,'ZCB Curve - Payment Dates'!$A$2:$A$246,0))</f>
        <v>0.71805338140354003</v>
      </c>
      <c r="E4053" s="32">
        <f t="shared" si="63"/>
        <v>1.0322017357675888</v>
      </c>
    </row>
    <row r="4054" spans="1:5" x14ac:dyDescent="0.25">
      <c r="A4054" s="17">
        <v>325</v>
      </c>
      <c r="B4054" s="31">
        <v>49079</v>
      </c>
      <c r="C4054" s="32">
        <f>INDEX('Input Data'!$B:$B,A4054)/2+IF(A4054&lt;&gt;A4055,100,0)</f>
        <v>1.4375</v>
      </c>
      <c r="D4054" s="33">
        <f>INDEX('ZCB Curve - Payment Dates'!$D$2:$D$246,MATCH(B4054,'ZCB Curve - Payment Dates'!$A$2:$A$246,0))</f>
        <v>0.70052630492471468</v>
      </c>
      <c r="E4054" s="32">
        <f t="shared" si="63"/>
        <v>1.0070065633292773</v>
      </c>
    </row>
    <row r="4055" spans="1:5" x14ac:dyDescent="0.25">
      <c r="A4055" s="17">
        <v>325</v>
      </c>
      <c r="B4055" s="31">
        <v>49263</v>
      </c>
      <c r="C4055" s="32">
        <f>INDEX('Input Data'!$B:$B,A4055)/2+IF(A4055&lt;&gt;A4056,100,0)</f>
        <v>1.4375</v>
      </c>
      <c r="D4055" s="33">
        <f>INDEX('ZCB Curve - Payment Dates'!$D$2:$D$246,MATCH(B4055,'ZCB Curve - Payment Dates'!$A$2:$A$246,0))</f>
        <v>0.68284221202539863</v>
      </c>
      <c r="E4055" s="32">
        <f t="shared" si="63"/>
        <v>0.98158567978651057</v>
      </c>
    </row>
    <row r="4056" spans="1:5" x14ac:dyDescent="0.25">
      <c r="A4056" s="17">
        <v>325</v>
      </c>
      <c r="B4056" s="31">
        <v>49444</v>
      </c>
      <c r="C4056" s="32">
        <f>INDEX('Input Data'!$B:$B,A4056)/2+IF(A4056&lt;&gt;A4057,100,0)</f>
        <v>1.4375</v>
      </c>
      <c r="D4056" s="33">
        <f>INDEX('ZCB Curve - Payment Dates'!$D$2:$D$246,MATCH(B4056,'ZCB Curve - Payment Dates'!$A$2:$A$246,0))</f>
        <v>0.66557347415228496</v>
      </c>
      <c r="E4056" s="32">
        <f t="shared" si="63"/>
        <v>0.95676186909390959</v>
      </c>
    </row>
    <row r="4057" spans="1:5" x14ac:dyDescent="0.25">
      <c r="A4057" s="17">
        <v>325</v>
      </c>
      <c r="B4057" s="31">
        <v>49628</v>
      </c>
      <c r="C4057" s="32">
        <f>INDEX('Input Data'!$B:$B,A4057)/2+IF(A4057&lt;&gt;A4058,100,0)</f>
        <v>1.4375</v>
      </c>
      <c r="D4057" s="33">
        <f>INDEX('ZCB Curve - Payment Dates'!$D$2:$D$246,MATCH(B4057,'ZCB Curve - Payment Dates'!$A$2:$A$246,0))</f>
        <v>0.64815361918127823</v>
      </c>
      <c r="E4057" s="32">
        <f t="shared" si="63"/>
        <v>0.9317208275730875</v>
      </c>
    </row>
    <row r="4058" spans="1:5" x14ac:dyDescent="0.25">
      <c r="A4058" s="17">
        <v>325</v>
      </c>
      <c r="B4058" s="31">
        <v>49810</v>
      </c>
      <c r="C4058" s="32">
        <f>INDEX('Input Data'!$B:$B,A4058)/2+IF(A4058&lt;&gt;A4059,100,0)</f>
        <v>1.4375</v>
      </c>
      <c r="D4058" s="33">
        <f>INDEX('ZCB Curve - Payment Dates'!$D$2:$D$246,MATCH(B4058,'ZCB Curve - Payment Dates'!$A$2:$A$246,0))</f>
        <v>0.63106457078577471</v>
      </c>
      <c r="E4058" s="32">
        <f t="shared" si="63"/>
        <v>0.90715532050455117</v>
      </c>
    </row>
    <row r="4059" spans="1:5" x14ac:dyDescent="0.25">
      <c r="A4059" s="17">
        <v>325</v>
      </c>
      <c r="B4059" s="31">
        <v>49994</v>
      </c>
      <c r="C4059" s="32">
        <f>INDEX('Input Data'!$B:$B,A4059)/2+IF(A4059&lt;&gt;A4060,100,0)</f>
        <v>1.4375</v>
      </c>
      <c r="D4059" s="33">
        <f>INDEX('ZCB Curve - Payment Dates'!$D$2:$D$246,MATCH(B4059,'ZCB Curve - Payment Dates'!$A$2:$A$246,0))</f>
        <v>0.61395227923184648</v>
      </c>
      <c r="E4059" s="32">
        <f t="shared" si="63"/>
        <v>0.88255640139577929</v>
      </c>
    </row>
    <row r="4060" spans="1:5" x14ac:dyDescent="0.25">
      <c r="A4060" s="17">
        <v>325</v>
      </c>
      <c r="B4060" s="31">
        <v>50175</v>
      </c>
      <c r="C4060" s="32">
        <f>INDEX('Input Data'!$B:$B,A4060)/2+IF(A4060&lt;&gt;A4061,100,0)</f>
        <v>1.4375</v>
      </c>
      <c r="D4060" s="33">
        <f>INDEX('ZCB Curve - Payment Dates'!$D$2:$D$246,MATCH(B4060,'ZCB Curve - Payment Dates'!$A$2:$A$246,0))</f>
        <v>0.5972963482314616</v>
      </c>
      <c r="E4060" s="32">
        <f t="shared" si="63"/>
        <v>0.85861350058272601</v>
      </c>
    </row>
    <row r="4061" spans="1:5" x14ac:dyDescent="0.25">
      <c r="A4061" s="17">
        <v>325</v>
      </c>
      <c r="B4061" s="31">
        <v>50359</v>
      </c>
      <c r="C4061" s="32">
        <f>INDEX('Input Data'!$B:$B,A4061)/2+IF(A4061&lt;&gt;A4062,100,0)</f>
        <v>1.4375</v>
      </c>
      <c r="D4061" s="33">
        <f>INDEX('ZCB Curve - Payment Dates'!$D$2:$D$246,MATCH(B4061,'ZCB Curve - Payment Dates'!$A$2:$A$246,0))</f>
        <v>0.58056812006155756</v>
      </c>
      <c r="E4061" s="32">
        <f t="shared" si="63"/>
        <v>0.83456667258848904</v>
      </c>
    </row>
    <row r="4062" spans="1:5" x14ac:dyDescent="0.25">
      <c r="A4062" s="17">
        <v>325</v>
      </c>
      <c r="B4062" s="31">
        <v>50540</v>
      </c>
      <c r="C4062" s="32">
        <f>INDEX('Input Data'!$B:$B,A4062)/2+IF(A4062&lt;&gt;A4063,100,0)</f>
        <v>1.4375</v>
      </c>
      <c r="D4062" s="33">
        <f>INDEX('ZCB Curve - Payment Dates'!$D$2:$D$246,MATCH(B4062,'ZCB Curve - Payment Dates'!$A$2:$A$246,0))</f>
        <v>0.56433491315969797</v>
      </c>
      <c r="E4062" s="32">
        <f t="shared" si="63"/>
        <v>0.81123143766706585</v>
      </c>
    </row>
    <row r="4063" spans="1:5" x14ac:dyDescent="0.25">
      <c r="A4063" s="17">
        <v>325</v>
      </c>
      <c r="B4063" s="31">
        <v>50724</v>
      </c>
      <c r="C4063" s="32">
        <f>INDEX('Input Data'!$B:$B,A4063)/2+IF(A4063&lt;&gt;A4064,100,0)</f>
        <v>1.4375</v>
      </c>
      <c r="D4063" s="33">
        <f>INDEX('ZCB Curve - Payment Dates'!$D$2:$D$246,MATCH(B4063,'ZCB Curve - Payment Dates'!$A$2:$A$246,0))</f>
        <v>0.54808398139057424</v>
      </c>
      <c r="E4063" s="32">
        <f t="shared" si="63"/>
        <v>0.78787072324895047</v>
      </c>
    </row>
    <row r="4064" spans="1:5" x14ac:dyDescent="0.25">
      <c r="A4064" s="17">
        <v>325</v>
      </c>
      <c r="B4064" s="31">
        <v>50905</v>
      </c>
      <c r="C4064" s="32">
        <f>INDEX('Input Data'!$B:$B,A4064)/2+IF(A4064&lt;&gt;A4065,100,0)</f>
        <v>1.4375</v>
      </c>
      <c r="D4064" s="33">
        <f>INDEX('ZCB Curve - Payment Dates'!$D$2:$D$246,MATCH(B4064,'ZCB Curve - Payment Dates'!$A$2:$A$246,0))</f>
        <v>0.5323673246083096</v>
      </c>
      <c r="E4064" s="32">
        <f t="shared" si="63"/>
        <v>0.76527802912444509</v>
      </c>
    </row>
    <row r="4065" spans="1:5" x14ac:dyDescent="0.25">
      <c r="A4065" s="17">
        <v>325</v>
      </c>
      <c r="B4065" s="31">
        <v>51089</v>
      </c>
      <c r="C4065" s="32">
        <f>INDEX('Input Data'!$B:$B,A4065)/2+IF(A4065&lt;&gt;A4066,100,0)</f>
        <v>1.4375</v>
      </c>
      <c r="D4065" s="33">
        <f>INDEX('ZCB Curve - Payment Dates'!$D$2:$D$246,MATCH(B4065,'ZCB Curve - Payment Dates'!$A$2:$A$246,0))</f>
        <v>0.51668806431098135</v>
      </c>
      <c r="E4065" s="32">
        <f t="shared" si="63"/>
        <v>0.74273909244703573</v>
      </c>
    </row>
    <row r="4066" spans="1:5" x14ac:dyDescent="0.25">
      <c r="A4066" s="17">
        <v>325</v>
      </c>
      <c r="B4066" s="31">
        <v>51271</v>
      </c>
      <c r="C4066" s="32">
        <f>INDEX('Input Data'!$B:$B,A4066)/2+IF(A4066&lt;&gt;A4067,100,0)</f>
        <v>1.4375</v>
      </c>
      <c r="D4066" s="33">
        <f>INDEX('ZCB Curve - Payment Dates'!$D$2:$D$246,MATCH(B4066,'ZCB Curve - Payment Dates'!$A$2:$A$246,0))</f>
        <v>0.50149590020417278</v>
      </c>
      <c r="E4066" s="32">
        <f t="shared" si="63"/>
        <v>0.72090035654349838</v>
      </c>
    </row>
    <row r="4067" spans="1:5" x14ac:dyDescent="0.25">
      <c r="A4067" s="17">
        <v>325</v>
      </c>
      <c r="B4067" s="31">
        <v>51455</v>
      </c>
      <c r="C4067" s="32">
        <f>INDEX('Input Data'!$B:$B,A4067)/2+IF(A4067&lt;&gt;A4068,100,0)</f>
        <v>1.4375</v>
      </c>
      <c r="D4067" s="33">
        <f>INDEX('ZCB Curve - Payment Dates'!$D$2:$D$246,MATCH(B4067,'ZCB Curve - Payment Dates'!$A$2:$A$246,0))</f>
        <v>0.48647538074270091</v>
      </c>
      <c r="E4067" s="32">
        <f t="shared" si="63"/>
        <v>0.69930835981763262</v>
      </c>
    </row>
    <row r="4068" spans="1:5" x14ac:dyDescent="0.25">
      <c r="A4068" s="17">
        <v>325</v>
      </c>
      <c r="B4068" s="31">
        <v>51636</v>
      </c>
      <c r="C4068" s="32">
        <f>INDEX('Input Data'!$B:$B,A4068)/2+IF(A4068&lt;&gt;A4069,100,0)</f>
        <v>1.4375</v>
      </c>
      <c r="D4068" s="33">
        <f>INDEX('ZCB Curve - Payment Dates'!$D$2:$D$246,MATCH(B4068,'ZCB Curve - Payment Dates'!$A$2:$A$246,0))</f>
        <v>0.47204918703719451</v>
      </c>
      <c r="E4068" s="32">
        <f t="shared" si="63"/>
        <v>0.67857070636596706</v>
      </c>
    </row>
    <row r="4069" spans="1:5" x14ac:dyDescent="0.25">
      <c r="A4069" s="17">
        <v>325</v>
      </c>
      <c r="B4069" s="31">
        <v>51820</v>
      </c>
      <c r="C4069" s="32">
        <f>INDEX('Input Data'!$B:$B,A4069)/2+IF(A4069&lt;&gt;A4070,100,0)</f>
        <v>1.4375</v>
      </c>
      <c r="D4069" s="33">
        <f>INDEX('ZCB Curve - Payment Dates'!$D$2:$D$246,MATCH(B4069,'ZCB Curve - Payment Dates'!$A$2:$A$246,0))</f>
        <v>0.45775548669345245</v>
      </c>
      <c r="E4069" s="32">
        <f t="shared" si="63"/>
        <v>0.65802351212183785</v>
      </c>
    </row>
    <row r="4070" spans="1:5" x14ac:dyDescent="0.25">
      <c r="A4070" s="17">
        <v>325</v>
      </c>
      <c r="B4070" s="31">
        <v>52001</v>
      </c>
      <c r="C4070" s="32">
        <f>INDEX('Input Data'!$B:$B,A4070)/2+IF(A4070&lt;&gt;A4071,100,0)</f>
        <v>1.4375</v>
      </c>
      <c r="D4070" s="33">
        <f>INDEX('ZCB Curve - Payment Dates'!$D$2:$D$246,MATCH(B4070,'ZCB Curve - Payment Dates'!$A$2:$A$246,0))</f>
        <v>0.44407192118484318</v>
      </c>
      <c r="E4070" s="32">
        <f t="shared" si="63"/>
        <v>0.63835338670321207</v>
      </c>
    </row>
    <row r="4071" spans="1:5" x14ac:dyDescent="0.25">
      <c r="A4071" s="17">
        <v>325</v>
      </c>
      <c r="B4071" s="31">
        <v>52185</v>
      </c>
      <c r="C4071" s="32">
        <f>INDEX('Input Data'!$B:$B,A4071)/2+IF(A4071&lt;&gt;A4072,100,0)</f>
        <v>1.4375</v>
      </c>
      <c r="D4071" s="33">
        <f>INDEX('ZCB Curve - Payment Dates'!$D$2:$D$246,MATCH(B4071,'ZCB Curve - Payment Dates'!$A$2:$A$246,0))</f>
        <v>0.43055647946672393</v>
      </c>
      <c r="E4071" s="32">
        <f t="shared" si="63"/>
        <v>0.61892493923341563</v>
      </c>
    </row>
    <row r="4072" spans="1:5" x14ac:dyDescent="0.25">
      <c r="A4072" s="17">
        <v>325</v>
      </c>
      <c r="B4072" s="31">
        <v>52366</v>
      </c>
      <c r="C4072" s="32">
        <f>INDEX('Input Data'!$B:$B,A4072)/2+IF(A4072&lt;&gt;A4073,100,0)</f>
        <v>1.4375</v>
      </c>
      <c r="D4072" s="33">
        <f>INDEX('ZCB Curve - Payment Dates'!$D$2:$D$246,MATCH(B4072,'ZCB Curve - Payment Dates'!$A$2:$A$246,0))</f>
        <v>0.41765686229470528</v>
      </c>
      <c r="E4072" s="32">
        <f t="shared" si="63"/>
        <v>0.60038173954863883</v>
      </c>
    </row>
    <row r="4073" spans="1:5" x14ac:dyDescent="0.25">
      <c r="A4073" s="17">
        <v>325</v>
      </c>
      <c r="B4073" s="31">
        <v>52550</v>
      </c>
      <c r="C4073" s="32">
        <f>INDEX('Input Data'!$B:$B,A4073)/2+IF(A4073&lt;&gt;A4074,100,0)</f>
        <v>1.4375</v>
      </c>
      <c r="D4073" s="33">
        <f>INDEX('ZCB Curve - Payment Dates'!$D$2:$D$246,MATCH(B4073,'ZCB Curve - Payment Dates'!$A$2:$A$246,0))</f>
        <v>0.40495237741553414</v>
      </c>
      <c r="E4073" s="32">
        <f t="shared" si="63"/>
        <v>0.58211904253483038</v>
      </c>
    </row>
    <row r="4074" spans="1:5" x14ac:dyDescent="0.25">
      <c r="A4074" s="17">
        <v>325</v>
      </c>
      <c r="B4074" s="31">
        <v>52732</v>
      </c>
      <c r="C4074" s="32">
        <f>INDEX('Input Data'!$B:$B,A4074)/2+IF(A4074&lt;&gt;A4075,100,0)</f>
        <v>1.4375</v>
      </c>
      <c r="D4074" s="33">
        <f>INDEX('ZCB Curve - Payment Dates'!$D$2:$D$246,MATCH(B4074,'ZCB Curve - Payment Dates'!$A$2:$A$246,0))</f>
        <v>0.3927952920896523</v>
      </c>
      <c r="E4074" s="32">
        <f t="shared" si="63"/>
        <v>0.56464323237887515</v>
      </c>
    </row>
    <row r="4075" spans="1:5" x14ac:dyDescent="0.25">
      <c r="A4075" s="17">
        <v>325</v>
      </c>
      <c r="B4075" s="31">
        <v>52916</v>
      </c>
      <c r="C4075" s="32">
        <f>INDEX('Input Data'!$B:$B,A4075)/2+IF(A4075&lt;&gt;A4076,100,0)</f>
        <v>1.4375</v>
      </c>
      <c r="D4075" s="33">
        <f>INDEX('ZCB Curve - Payment Dates'!$D$2:$D$246,MATCH(B4075,'ZCB Curve - Payment Dates'!$A$2:$A$246,0))</f>
        <v>0.38091684361752687</v>
      </c>
      <c r="E4075" s="32">
        <f t="shared" si="63"/>
        <v>0.54756796270019492</v>
      </c>
    </row>
    <row r="4076" spans="1:5" x14ac:dyDescent="0.25">
      <c r="A4076" s="17">
        <v>325</v>
      </c>
      <c r="B4076" s="31">
        <v>53097</v>
      </c>
      <c r="C4076" s="32">
        <f>INDEX('Input Data'!$B:$B,A4076)/2+IF(A4076&lt;&gt;A4077,100,0)</f>
        <v>1.4375</v>
      </c>
      <c r="D4076" s="33">
        <f>INDEX('ZCB Curve - Payment Dates'!$D$2:$D$246,MATCH(B4076,'ZCB Curve - Payment Dates'!$A$2:$A$246,0))</f>
        <v>0.36964331092783359</v>
      </c>
      <c r="E4076" s="32">
        <f t="shared" si="63"/>
        <v>0.53136225945876081</v>
      </c>
    </row>
    <row r="4077" spans="1:5" x14ac:dyDescent="0.25">
      <c r="A4077" s="17">
        <v>325</v>
      </c>
      <c r="B4077" s="31">
        <v>53281</v>
      </c>
      <c r="C4077" s="32">
        <f>INDEX('Input Data'!$B:$B,A4077)/2+IF(A4077&lt;&gt;A4078,100,0)</f>
        <v>1.4375</v>
      </c>
      <c r="D4077" s="33">
        <f>INDEX('ZCB Curve - Payment Dates'!$D$2:$D$246,MATCH(B4077,'ZCB Curve - Payment Dates'!$A$2:$A$246,0))</f>
        <v>0.35859090372935404</v>
      </c>
      <c r="E4077" s="32">
        <f t="shared" si="63"/>
        <v>0.51547442411094646</v>
      </c>
    </row>
    <row r="4078" spans="1:5" x14ac:dyDescent="0.25">
      <c r="A4078" s="17">
        <v>325</v>
      </c>
      <c r="B4078" s="31">
        <v>53462</v>
      </c>
      <c r="C4078" s="32">
        <f>INDEX('Input Data'!$B:$B,A4078)/2+IF(A4078&lt;&gt;A4079,100,0)</f>
        <v>1.4375</v>
      </c>
      <c r="D4078" s="33">
        <f>INDEX('ZCB Curve - Payment Dates'!$D$2:$D$246,MATCH(B4078,'ZCB Curve - Payment Dates'!$A$2:$A$246,0))</f>
        <v>0.34812465854380154</v>
      </c>
      <c r="E4078" s="32">
        <f t="shared" si="63"/>
        <v>0.5004291966567147</v>
      </c>
    </row>
    <row r="4079" spans="1:5" x14ac:dyDescent="0.25">
      <c r="A4079" s="17">
        <v>325</v>
      </c>
      <c r="B4079" s="31">
        <v>53646</v>
      </c>
      <c r="C4079" s="32">
        <f>INDEX('Input Data'!$B:$B,A4079)/2+IF(A4079&lt;&gt;A4080,100,0)</f>
        <v>1.4375</v>
      </c>
      <c r="D4079" s="33">
        <f>INDEX('ZCB Curve - Payment Dates'!$D$2:$D$246,MATCH(B4079,'ZCB Curve - Payment Dates'!$A$2:$A$246,0))</f>
        <v>0.33788528510382887</v>
      </c>
      <c r="E4079" s="32">
        <f t="shared" si="63"/>
        <v>0.48571009733675402</v>
      </c>
    </row>
    <row r="4080" spans="1:5" x14ac:dyDescent="0.25">
      <c r="A4080" s="17">
        <v>325</v>
      </c>
      <c r="B4080" s="31">
        <v>53827</v>
      </c>
      <c r="C4080" s="32">
        <f>INDEX('Input Data'!$B:$B,A4080)/2+IF(A4080&lt;&gt;A4081,100,0)</f>
        <v>1.4375</v>
      </c>
      <c r="D4080" s="33">
        <f>INDEX('ZCB Curve - Payment Dates'!$D$2:$D$246,MATCH(B4080,'ZCB Curve - Payment Dates'!$A$2:$A$246,0))</f>
        <v>0.32820827061914198</v>
      </c>
      <c r="E4080" s="32">
        <f t="shared" si="63"/>
        <v>0.47179938901501661</v>
      </c>
    </row>
    <row r="4081" spans="1:5" x14ac:dyDescent="0.25">
      <c r="A4081" s="17">
        <v>325</v>
      </c>
      <c r="B4081" s="31">
        <v>54011</v>
      </c>
      <c r="C4081" s="32">
        <f>INDEX('Input Data'!$B:$B,A4081)/2+IF(A4081&lt;&gt;A4082,100,0)</f>
        <v>1.4375</v>
      </c>
      <c r="D4081" s="33">
        <f>INDEX('ZCB Curve - Payment Dates'!$D$2:$D$246,MATCH(B4081,'ZCB Curve - Payment Dates'!$A$2:$A$246,0))</f>
        <v>0.31875888330253388</v>
      </c>
      <c r="E4081" s="32">
        <f t="shared" si="63"/>
        <v>0.45821589474739244</v>
      </c>
    </row>
    <row r="4082" spans="1:5" x14ac:dyDescent="0.25">
      <c r="A4082" s="17">
        <v>325</v>
      </c>
      <c r="B4082" s="31">
        <v>54193</v>
      </c>
      <c r="C4082" s="32">
        <f>INDEX('Input Data'!$B:$B,A4082)/2+IF(A4082&lt;&gt;A4083,100,0)</f>
        <v>1.4375</v>
      </c>
      <c r="D4082" s="33">
        <f>INDEX('ZCB Curve - Payment Dates'!$D$2:$D$246,MATCH(B4082,'ZCB Curve - Payment Dates'!$A$2:$A$246,0))</f>
        <v>0.30979516521120642</v>
      </c>
      <c r="E4082" s="32">
        <f t="shared" si="63"/>
        <v>0.44533054999110921</v>
      </c>
    </row>
    <row r="4083" spans="1:5" x14ac:dyDescent="0.25">
      <c r="A4083" s="17">
        <v>325</v>
      </c>
      <c r="B4083" s="31">
        <v>54377</v>
      </c>
      <c r="C4083" s="32">
        <f>INDEX('Input Data'!$B:$B,A4083)/2+IF(A4083&lt;&gt;A4084,100,0)</f>
        <v>1.4375</v>
      </c>
      <c r="D4083" s="33">
        <f>INDEX('ZCB Curve - Payment Dates'!$D$2:$D$246,MATCH(B4083,'ZCB Curve - Payment Dates'!$A$2:$A$246,0))</f>
        <v>0.30110901062008694</v>
      </c>
      <c r="E4083" s="32">
        <f t="shared" si="63"/>
        <v>0.43284420276637497</v>
      </c>
    </row>
    <row r="4084" spans="1:5" x14ac:dyDescent="0.25">
      <c r="A4084" s="17">
        <v>325</v>
      </c>
      <c r="B4084" s="31">
        <v>54558</v>
      </c>
      <c r="C4084" s="32">
        <f>INDEX('Input Data'!$B:$B,A4084)/2+IF(A4084&lt;&gt;A4085,100,0)</f>
        <v>101.4375</v>
      </c>
      <c r="D4084" s="33">
        <f>INDEX('ZCB Curve - Payment Dates'!$D$2:$D$246,MATCH(B4084,'ZCB Curve - Payment Dates'!$A$2:$A$246,0))</f>
        <v>0.29292467059800714</v>
      </c>
      <c r="E4084" s="32">
        <f t="shared" si="63"/>
        <v>29.713546273785351</v>
      </c>
    </row>
    <row r="4085" spans="1:5" x14ac:dyDescent="0.25">
      <c r="A4085" s="17">
        <v>326</v>
      </c>
      <c r="B4085" s="31">
        <v>46433</v>
      </c>
      <c r="C4085" s="32">
        <f>INDEX('Input Data'!$B:$B,A4085)/2+IF(A4085&lt;&gt;A4086,100,0)</f>
        <v>1.125</v>
      </c>
      <c r="D4085" s="33">
        <f>INDEX('ZCB Curve - Payment Dates'!$D$2:$D$246,MATCH(B4085,'ZCB Curve - Payment Dates'!$A$2:$A$246,0))</f>
        <v>0.98242671792446301</v>
      </c>
      <c r="E4085" s="32">
        <f t="shared" si="63"/>
        <v>1.1052300576650209</v>
      </c>
    </row>
    <row r="4086" spans="1:5" x14ac:dyDescent="0.25">
      <c r="A4086" s="17">
        <v>326</v>
      </c>
      <c r="B4086" s="31">
        <v>46614</v>
      </c>
      <c r="C4086" s="32">
        <f>INDEX('Input Data'!$B:$B,A4086)/2+IF(A4086&lt;&gt;A4087,100,0)</f>
        <v>1.125</v>
      </c>
      <c r="D4086" s="33">
        <f>INDEX('ZCB Curve - Payment Dates'!$D$2:$D$246,MATCH(B4086,'ZCB Curve - Payment Dates'!$A$2:$A$246,0))</f>
        <v>0.96187948164765535</v>
      </c>
      <c r="E4086" s="32">
        <f t="shared" si="63"/>
        <v>1.0821144168536123</v>
      </c>
    </row>
    <row r="4087" spans="1:5" x14ac:dyDescent="0.25">
      <c r="A4087" s="17">
        <v>326</v>
      </c>
      <c r="B4087" s="31">
        <v>46798</v>
      </c>
      <c r="C4087" s="32">
        <f>INDEX('Input Data'!$B:$B,A4087)/2+IF(A4087&lt;&gt;A4088,100,0)</f>
        <v>1.125</v>
      </c>
      <c r="D4087" s="33">
        <f>INDEX('ZCB Curve - Payment Dates'!$D$2:$D$246,MATCH(B4087,'ZCB Curve - Payment Dates'!$A$2:$A$246,0))</f>
        <v>0.94049096132648802</v>
      </c>
      <c r="E4087" s="32">
        <f t="shared" si="63"/>
        <v>1.0580523314922989</v>
      </c>
    </row>
    <row r="4088" spans="1:5" x14ac:dyDescent="0.25">
      <c r="A4088" s="17">
        <v>326</v>
      </c>
      <c r="B4088" s="31">
        <v>46980</v>
      </c>
      <c r="C4088" s="32">
        <f>INDEX('Input Data'!$B:$B,A4088)/2+IF(A4088&lt;&gt;A4089,100,0)</f>
        <v>1.125</v>
      </c>
      <c r="D4088" s="33">
        <f>INDEX('ZCB Curve - Payment Dates'!$D$2:$D$246,MATCH(B4088,'ZCB Curve - Payment Dates'!$A$2:$A$246,0))</f>
        <v>0.91931844130238327</v>
      </c>
      <c r="E4088" s="32">
        <f t="shared" si="63"/>
        <v>1.0342332464651811</v>
      </c>
    </row>
    <row r="4089" spans="1:5" x14ac:dyDescent="0.25">
      <c r="A4089" s="17">
        <v>326</v>
      </c>
      <c r="B4089" s="31">
        <v>47164</v>
      </c>
      <c r="C4089" s="32">
        <f>INDEX('Input Data'!$B:$B,A4089)/2+IF(A4089&lt;&gt;A4090,100,0)</f>
        <v>1.125</v>
      </c>
      <c r="D4089" s="33">
        <f>INDEX('ZCB Curve - Payment Dates'!$D$2:$D$246,MATCH(B4089,'ZCB Curve - Payment Dates'!$A$2:$A$246,0))</f>
        <v>0.89817430058086534</v>
      </c>
      <c r="E4089" s="32">
        <f t="shared" si="63"/>
        <v>1.0104460881534736</v>
      </c>
    </row>
    <row r="4090" spans="1:5" x14ac:dyDescent="0.25">
      <c r="A4090" s="17">
        <v>326</v>
      </c>
      <c r="B4090" s="31">
        <v>47345</v>
      </c>
      <c r="C4090" s="32">
        <f>INDEX('Input Data'!$B:$B,A4090)/2+IF(A4090&lt;&gt;A4091,100,0)</f>
        <v>1.125</v>
      </c>
      <c r="D4090" s="33">
        <f>INDEX('ZCB Curve - Payment Dates'!$D$2:$D$246,MATCH(B4090,'ZCB Curve - Payment Dates'!$A$2:$A$246,0))</f>
        <v>0.87778421628860481</v>
      </c>
      <c r="E4090" s="32">
        <f t="shared" si="63"/>
        <v>0.98750724332468043</v>
      </c>
    </row>
    <row r="4091" spans="1:5" x14ac:dyDescent="0.25">
      <c r="A4091" s="17">
        <v>326</v>
      </c>
      <c r="B4091" s="31">
        <v>47529</v>
      </c>
      <c r="C4091" s="32">
        <f>INDEX('Input Data'!$B:$B,A4091)/2+IF(A4091&lt;&gt;A4092,100,0)</f>
        <v>1.125</v>
      </c>
      <c r="D4091" s="33">
        <f>INDEX('ZCB Curve - Payment Dates'!$D$2:$D$246,MATCH(B4091,'ZCB Curve - Payment Dates'!$A$2:$A$246,0))</f>
        <v>0.85751015570959666</v>
      </c>
      <c r="E4091" s="32">
        <f t="shared" si="63"/>
        <v>0.96469892517329625</v>
      </c>
    </row>
    <row r="4092" spans="1:5" x14ac:dyDescent="0.25">
      <c r="A4092" s="17">
        <v>326</v>
      </c>
      <c r="B4092" s="31">
        <v>47710</v>
      </c>
      <c r="C4092" s="32">
        <f>INDEX('Input Data'!$B:$B,A4092)/2+IF(A4092&lt;&gt;A4093,100,0)</f>
        <v>1.125</v>
      </c>
      <c r="D4092" s="33">
        <f>INDEX('ZCB Curve - Payment Dates'!$D$2:$D$246,MATCH(B4092,'ZCB Curve - Payment Dates'!$A$2:$A$246,0))</f>
        <v>0.83802423748211174</v>
      </c>
      <c r="E4092" s="32">
        <f t="shared" si="63"/>
        <v>0.94277726716737575</v>
      </c>
    </row>
    <row r="4093" spans="1:5" x14ac:dyDescent="0.25">
      <c r="A4093" s="17">
        <v>326</v>
      </c>
      <c r="B4093" s="31">
        <v>47894</v>
      </c>
      <c r="C4093" s="32">
        <f>INDEX('Input Data'!$B:$B,A4093)/2+IF(A4093&lt;&gt;A4094,100,0)</f>
        <v>1.125</v>
      </c>
      <c r="D4093" s="33">
        <f>INDEX('ZCB Curve - Payment Dates'!$D$2:$D$246,MATCH(B4093,'ZCB Curve - Payment Dates'!$A$2:$A$246,0))</f>
        <v>0.8186305474741673</v>
      </c>
      <c r="E4093" s="32">
        <f t="shared" si="63"/>
        <v>0.92095936590843819</v>
      </c>
    </row>
    <row r="4094" spans="1:5" x14ac:dyDescent="0.25">
      <c r="A4094" s="17">
        <v>326</v>
      </c>
      <c r="B4094" s="31">
        <v>48075</v>
      </c>
      <c r="C4094" s="32">
        <f>INDEX('Input Data'!$B:$B,A4094)/2+IF(A4094&lt;&gt;A4095,100,0)</f>
        <v>1.125</v>
      </c>
      <c r="D4094" s="33">
        <f>INDEX('ZCB Curve - Payment Dates'!$D$2:$D$246,MATCH(B4094,'ZCB Curve - Payment Dates'!$A$2:$A$246,0))</f>
        <v>0.7999252334775927</v>
      </c>
      <c r="E4094" s="32">
        <f t="shared" si="63"/>
        <v>0.8999158876622918</v>
      </c>
    </row>
    <row r="4095" spans="1:5" x14ac:dyDescent="0.25">
      <c r="A4095" s="17">
        <v>326</v>
      </c>
      <c r="B4095" s="31">
        <v>48259</v>
      </c>
      <c r="C4095" s="32">
        <f>INDEX('Input Data'!$B:$B,A4095)/2+IF(A4095&lt;&gt;A4096,100,0)</f>
        <v>1.125</v>
      </c>
      <c r="D4095" s="33">
        <f>INDEX('ZCB Curve - Payment Dates'!$D$2:$D$246,MATCH(B4095,'ZCB Curve - Payment Dates'!$A$2:$A$246,0))</f>
        <v>0.78121887027612602</v>
      </c>
      <c r="E4095" s="32">
        <f t="shared" si="63"/>
        <v>0.87887122906064175</v>
      </c>
    </row>
    <row r="4096" spans="1:5" x14ac:dyDescent="0.25">
      <c r="A4096" s="17">
        <v>326</v>
      </c>
      <c r="B4096" s="31">
        <v>48441</v>
      </c>
      <c r="C4096" s="32">
        <f>INDEX('Input Data'!$B:$B,A4096)/2+IF(A4096&lt;&gt;A4097,100,0)</f>
        <v>1.125</v>
      </c>
      <c r="D4096" s="33">
        <f>INDEX('ZCB Curve - Payment Dates'!$D$2:$D$246,MATCH(B4096,'ZCB Curve - Payment Dates'!$A$2:$A$246,0))</f>
        <v>0.76298123459017864</v>
      </c>
      <c r="E4096" s="32">
        <f t="shared" si="63"/>
        <v>0.85835388891395092</v>
      </c>
    </row>
    <row r="4097" spans="1:5" x14ac:dyDescent="0.25">
      <c r="A4097" s="17">
        <v>326</v>
      </c>
      <c r="B4097" s="31">
        <v>48625</v>
      </c>
      <c r="C4097" s="32">
        <f>INDEX('Input Data'!$B:$B,A4097)/2+IF(A4097&lt;&gt;A4098,100,0)</f>
        <v>1.125</v>
      </c>
      <c r="D4097" s="33">
        <f>INDEX('ZCB Curve - Payment Dates'!$D$2:$D$246,MATCH(B4097,'ZCB Curve - Payment Dates'!$A$2:$A$246,0))</f>
        <v>0.74476011611938586</v>
      </c>
      <c r="E4097" s="32">
        <f t="shared" si="63"/>
        <v>0.83785513063430905</v>
      </c>
    </row>
    <row r="4098" spans="1:5" x14ac:dyDescent="0.25">
      <c r="A4098" s="17">
        <v>326</v>
      </c>
      <c r="B4098" s="31">
        <v>48806</v>
      </c>
      <c r="C4098" s="32">
        <f>INDEX('Input Data'!$B:$B,A4098)/2+IF(A4098&lt;&gt;A4099,100,0)</f>
        <v>1.125</v>
      </c>
      <c r="D4098" s="33">
        <f>INDEX('ZCB Curve - Payment Dates'!$D$2:$D$246,MATCH(B4098,'ZCB Curve - Payment Dates'!$A$2:$A$246,0))</f>
        <v>0.72701302496114584</v>
      </c>
      <c r="E4098" s="32">
        <f t="shared" ref="E4098:E4161" si="64">C4098*D4098</f>
        <v>0.81788965308128903</v>
      </c>
    </row>
    <row r="4099" spans="1:5" x14ac:dyDescent="0.25">
      <c r="A4099" s="17">
        <v>326</v>
      </c>
      <c r="B4099" s="31">
        <v>48990</v>
      </c>
      <c r="C4099" s="32">
        <f>INDEX('Input Data'!$B:$B,A4099)/2+IF(A4099&lt;&gt;A4100,100,0)</f>
        <v>1.125</v>
      </c>
      <c r="D4099" s="33">
        <f>INDEX('ZCB Curve - Payment Dates'!$D$2:$D$246,MATCH(B4099,'ZCB Curve - Payment Dates'!$A$2:$A$246,0))</f>
        <v>0.70912647031380449</v>
      </c>
      <c r="E4099" s="32">
        <f t="shared" si="64"/>
        <v>0.79776727910303002</v>
      </c>
    </row>
    <row r="4100" spans="1:5" x14ac:dyDescent="0.25">
      <c r="A4100" s="17">
        <v>326</v>
      </c>
      <c r="B4100" s="31">
        <v>49171</v>
      </c>
      <c r="C4100" s="32">
        <f>INDEX('Input Data'!$B:$B,A4100)/2+IF(A4100&lt;&gt;A4101,100,0)</f>
        <v>1.125</v>
      </c>
      <c r="D4100" s="33">
        <f>INDEX('ZCB Curve - Payment Dates'!$D$2:$D$246,MATCH(B4100,'ZCB Curve - Payment Dates'!$A$2:$A$246,0))</f>
        <v>0.6916661505723215</v>
      </c>
      <c r="E4100" s="32">
        <f t="shared" si="64"/>
        <v>0.77812441939386168</v>
      </c>
    </row>
    <row r="4101" spans="1:5" x14ac:dyDescent="0.25">
      <c r="A4101" s="17">
        <v>326</v>
      </c>
      <c r="B4101" s="31">
        <v>49355</v>
      </c>
      <c r="C4101" s="32">
        <f>INDEX('Input Data'!$B:$B,A4101)/2+IF(A4101&lt;&gt;A4102,100,0)</f>
        <v>1.125</v>
      </c>
      <c r="D4101" s="33">
        <f>INDEX('ZCB Curve - Payment Dates'!$D$2:$D$246,MATCH(B4101,'ZCB Curve - Payment Dates'!$A$2:$A$246,0))</f>
        <v>0.674047377898778</v>
      </c>
      <c r="E4101" s="32">
        <f t="shared" si="64"/>
        <v>0.75830330013612524</v>
      </c>
    </row>
    <row r="4102" spans="1:5" x14ac:dyDescent="0.25">
      <c r="A4102" s="17">
        <v>326</v>
      </c>
      <c r="B4102" s="31">
        <v>49536</v>
      </c>
      <c r="C4102" s="32">
        <f>INDEX('Input Data'!$B:$B,A4102)/2+IF(A4102&lt;&gt;A4103,100,0)</f>
        <v>1.125</v>
      </c>
      <c r="D4102" s="33">
        <f>INDEX('ZCB Curve - Payment Dates'!$D$2:$D$246,MATCH(B4102,'ZCB Curve - Payment Dates'!$A$2:$A$246,0))</f>
        <v>0.65684432300638129</v>
      </c>
      <c r="E4102" s="32">
        <f t="shared" si="64"/>
        <v>0.73894986338217894</v>
      </c>
    </row>
    <row r="4103" spans="1:5" x14ac:dyDescent="0.25">
      <c r="A4103" s="17">
        <v>326</v>
      </c>
      <c r="B4103" s="31">
        <v>49720</v>
      </c>
      <c r="C4103" s="32">
        <f>INDEX('Input Data'!$B:$B,A4103)/2+IF(A4103&lt;&gt;A4104,100,0)</f>
        <v>1.125</v>
      </c>
      <c r="D4103" s="33">
        <f>INDEX('ZCB Curve - Payment Dates'!$D$2:$D$246,MATCH(B4103,'ZCB Curve - Payment Dates'!$A$2:$A$246,0))</f>
        <v>0.63949604524993764</v>
      </c>
      <c r="E4103" s="32">
        <f t="shared" si="64"/>
        <v>0.71943305090617982</v>
      </c>
    </row>
    <row r="4104" spans="1:5" x14ac:dyDescent="0.25">
      <c r="A4104" s="17">
        <v>326</v>
      </c>
      <c r="B4104" s="31">
        <v>49902</v>
      </c>
      <c r="C4104" s="32">
        <f>INDEX('Input Data'!$B:$B,A4104)/2+IF(A4104&lt;&gt;A4105,100,0)</f>
        <v>1.125</v>
      </c>
      <c r="D4104" s="33">
        <f>INDEX('ZCB Curve - Payment Dates'!$D$2:$D$246,MATCH(B4104,'ZCB Curve - Payment Dates'!$A$2:$A$246,0))</f>
        <v>0.62248862376822711</v>
      </c>
      <c r="E4104" s="32">
        <f t="shared" si="64"/>
        <v>0.70029970173925549</v>
      </c>
    </row>
    <row r="4105" spans="1:5" x14ac:dyDescent="0.25">
      <c r="A4105" s="17">
        <v>326</v>
      </c>
      <c r="B4105" s="31">
        <v>50086</v>
      </c>
      <c r="C4105" s="32">
        <f>INDEX('Input Data'!$B:$B,A4105)/2+IF(A4105&lt;&gt;A4106,100,0)</f>
        <v>1.125</v>
      </c>
      <c r="D4105" s="33">
        <f>INDEX('ZCB Curve - Payment Dates'!$D$2:$D$246,MATCH(B4105,'ZCB Curve - Payment Dates'!$A$2:$A$246,0))</f>
        <v>0.60546490876014969</v>
      </c>
      <c r="E4105" s="32">
        <f t="shared" si="64"/>
        <v>0.68114802235516836</v>
      </c>
    </row>
    <row r="4106" spans="1:5" x14ac:dyDescent="0.25">
      <c r="A4106" s="17">
        <v>326</v>
      </c>
      <c r="B4106" s="31">
        <v>50267</v>
      </c>
      <c r="C4106" s="32">
        <f>INDEX('Input Data'!$B:$B,A4106)/2+IF(A4106&lt;&gt;A4107,100,0)</f>
        <v>1.125</v>
      </c>
      <c r="D4106" s="33">
        <f>INDEX('ZCB Curve - Payment Dates'!$D$2:$D$246,MATCH(B4106,'ZCB Curve - Payment Dates'!$A$2:$A$246,0))</f>
        <v>0.58890683803346977</v>
      </c>
      <c r="E4106" s="32">
        <f t="shared" si="64"/>
        <v>0.66252019278765351</v>
      </c>
    </row>
    <row r="4107" spans="1:5" x14ac:dyDescent="0.25">
      <c r="A4107" s="17">
        <v>326</v>
      </c>
      <c r="B4107" s="31">
        <v>50451</v>
      </c>
      <c r="C4107" s="32">
        <f>INDEX('Input Data'!$B:$B,A4107)/2+IF(A4107&lt;&gt;A4108,100,0)</f>
        <v>1.125</v>
      </c>
      <c r="D4107" s="33">
        <f>INDEX('ZCB Curve - Payment Dates'!$D$2:$D$246,MATCH(B4107,'ZCB Curve - Payment Dates'!$A$2:$A$246,0))</f>
        <v>0.57228983695479263</v>
      </c>
      <c r="E4107" s="32">
        <f t="shared" si="64"/>
        <v>0.64382606657414176</v>
      </c>
    </row>
    <row r="4108" spans="1:5" x14ac:dyDescent="0.25">
      <c r="A4108" s="17">
        <v>326</v>
      </c>
      <c r="B4108" s="31">
        <v>50632</v>
      </c>
      <c r="C4108" s="32">
        <f>INDEX('Input Data'!$B:$B,A4108)/2+IF(A4108&lt;&gt;A4109,100,0)</f>
        <v>1.125</v>
      </c>
      <c r="D4108" s="33">
        <f>INDEX('ZCB Curve - Payment Dates'!$D$2:$D$246,MATCH(B4108,'ZCB Curve - Payment Dates'!$A$2:$A$246,0))</f>
        <v>0.55617795699202288</v>
      </c>
      <c r="E4108" s="32">
        <f t="shared" si="64"/>
        <v>0.6257002016160258</v>
      </c>
    </row>
    <row r="4109" spans="1:5" x14ac:dyDescent="0.25">
      <c r="A4109" s="17">
        <v>326</v>
      </c>
      <c r="B4109" s="31">
        <v>50816</v>
      </c>
      <c r="C4109" s="32">
        <f>INDEX('Input Data'!$B:$B,A4109)/2+IF(A4109&lt;&gt;A4110,100,0)</f>
        <v>1.125</v>
      </c>
      <c r="D4109" s="33">
        <f>INDEX('ZCB Curve - Payment Dates'!$D$2:$D$246,MATCH(B4109,'ZCB Curve - Payment Dates'!$A$2:$A$246,0))</f>
        <v>0.54006240951211237</v>
      </c>
      <c r="E4109" s="32">
        <f t="shared" si="64"/>
        <v>0.60757021070112638</v>
      </c>
    </row>
    <row r="4110" spans="1:5" x14ac:dyDescent="0.25">
      <c r="A4110" s="17">
        <v>326</v>
      </c>
      <c r="B4110" s="31">
        <v>50997</v>
      </c>
      <c r="C4110" s="32">
        <f>INDEX('Input Data'!$B:$B,A4110)/2+IF(A4110&lt;&gt;A4111,100,0)</f>
        <v>1.125</v>
      </c>
      <c r="D4110" s="33">
        <f>INDEX('ZCB Curve - Payment Dates'!$D$2:$D$246,MATCH(B4110,'ZCB Curve - Payment Dates'!$A$2:$A$246,0))</f>
        <v>0.52449040173194583</v>
      </c>
      <c r="E4110" s="32">
        <f t="shared" si="64"/>
        <v>0.59005170194843903</v>
      </c>
    </row>
    <row r="4111" spans="1:5" x14ac:dyDescent="0.25">
      <c r="A4111" s="17">
        <v>326</v>
      </c>
      <c r="B4111" s="31">
        <v>51181</v>
      </c>
      <c r="C4111" s="32">
        <f>INDEX('Input Data'!$B:$B,A4111)/2+IF(A4111&lt;&gt;A4112,100,0)</f>
        <v>1.125</v>
      </c>
      <c r="D4111" s="33">
        <f>INDEX('ZCB Curve - Payment Dates'!$D$2:$D$246,MATCH(B4111,'ZCB Curve - Payment Dates'!$A$2:$A$246,0))</f>
        <v>0.5089691698468306</v>
      </c>
      <c r="E4111" s="32">
        <f t="shared" si="64"/>
        <v>0.5725903160776844</v>
      </c>
    </row>
    <row r="4112" spans="1:5" x14ac:dyDescent="0.25">
      <c r="A4112" s="17">
        <v>326</v>
      </c>
      <c r="B4112" s="31">
        <v>51363</v>
      </c>
      <c r="C4112" s="32">
        <f>INDEX('Input Data'!$B:$B,A4112)/2+IF(A4112&lt;&gt;A4113,100,0)</f>
        <v>1.125</v>
      </c>
      <c r="D4112" s="33">
        <f>INDEX('ZCB Curve - Payment Dates'!$D$2:$D$246,MATCH(B4112,'ZCB Curve - Payment Dates'!$A$2:$A$246,0))</f>
        <v>0.49394036022330806</v>
      </c>
      <c r="E4112" s="32">
        <f t="shared" si="64"/>
        <v>0.55568290525122155</v>
      </c>
    </row>
    <row r="4113" spans="1:5" x14ac:dyDescent="0.25">
      <c r="A4113" s="17">
        <v>326</v>
      </c>
      <c r="B4113" s="31">
        <v>51547</v>
      </c>
      <c r="C4113" s="32">
        <f>INDEX('Input Data'!$B:$B,A4113)/2+IF(A4113&lt;&gt;A4114,100,0)</f>
        <v>1.125</v>
      </c>
      <c r="D4113" s="33">
        <f>INDEX('ZCB Curve - Payment Dates'!$D$2:$D$246,MATCH(B4113,'ZCB Curve - Payment Dates'!$A$2:$A$246,0))</f>
        <v>0.47909718957588998</v>
      </c>
      <c r="E4113" s="32">
        <f t="shared" si="64"/>
        <v>0.53898433827287628</v>
      </c>
    </row>
    <row r="4114" spans="1:5" x14ac:dyDescent="0.25">
      <c r="A4114" s="17">
        <v>326</v>
      </c>
      <c r="B4114" s="31">
        <v>51728</v>
      </c>
      <c r="C4114" s="32">
        <f>INDEX('Input Data'!$B:$B,A4114)/2+IF(A4114&lt;&gt;A4115,100,0)</f>
        <v>1.125</v>
      </c>
      <c r="D4114" s="33">
        <f>INDEX('ZCB Curve - Payment Dates'!$D$2:$D$246,MATCH(B4114,'ZCB Curve - Payment Dates'!$A$2:$A$246,0))</f>
        <v>0.46485329459616059</v>
      </c>
      <c r="E4114" s="32">
        <f t="shared" si="64"/>
        <v>0.52295995642068072</v>
      </c>
    </row>
    <row r="4115" spans="1:5" x14ac:dyDescent="0.25">
      <c r="A4115" s="17">
        <v>326</v>
      </c>
      <c r="B4115" s="31">
        <v>51912</v>
      </c>
      <c r="C4115" s="32">
        <f>INDEX('Input Data'!$B:$B,A4115)/2+IF(A4115&lt;&gt;A4116,100,0)</f>
        <v>1.125</v>
      </c>
      <c r="D4115" s="33">
        <f>INDEX('ZCB Curve - Payment Dates'!$D$2:$D$246,MATCH(B4115,'ZCB Curve - Payment Dates'!$A$2:$A$246,0))</f>
        <v>0.45075168915212815</v>
      </c>
      <c r="E4115" s="32">
        <f t="shared" si="64"/>
        <v>0.50709565029614412</v>
      </c>
    </row>
    <row r="4116" spans="1:5" x14ac:dyDescent="0.25">
      <c r="A4116" s="17">
        <v>326</v>
      </c>
      <c r="B4116" s="31">
        <v>52093</v>
      </c>
      <c r="C4116" s="32">
        <f>INDEX('Input Data'!$B:$B,A4116)/2+IF(A4116&lt;&gt;A4117,100,0)</f>
        <v>1.125</v>
      </c>
      <c r="D4116" s="33">
        <f>INDEX('ZCB Curve - Payment Dates'!$D$2:$D$246,MATCH(B4116,'ZCB Curve - Payment Dates'!$A$2:$A$246,0))</f>
        <v>0.43726259018094221</v>
      </c>
      <c r="E4116" s="32">
        <f t="shared" si="64"/>
        <v>0.49192041395356001</v>
      </c>
    </row>
    <row r="4117" spans="1:5" x14ac:dyDescent="0.25">
      <c r="A4117" s="17">
        <v>326</v>
      </c>
      <c r="B4117" s="31">
        <v>52277</v>
      </c>
      <c r="C4117" s="32">
        <f>INDEX('Input Data'!$B:$B,A4117)/2+IF(A4117&lt;&gt;A4118,100,0)</f>
        <v>1.125</v>
      </c>
      <c r="D4117" s="33">
        <f>INDEX('ZCB Curve - Payment Dates'!$D$2:$D$246,MATCH(B4117,'ZCB Curve - Payment Dates'!$A$2:$A$246,0))</f>
        <v>0.4239492285351204</v>
      </c>
      <c r="E4117" s="32">
        <f t="shared" si="64"/>
        <v>0.47694288210201047</v>
      </c>
    </row>
    <row r="4118" spans="1:5" x14ac:dyDescent="0.25">
      <c r="A4118" s="17">
        <v>326</v>
      </c>
      <c r="B4118" s="31">
        <v>52458</v>
      </c>
      <c r="C4118" s="32">
        <f>INDEX('Input Data'!$B:$B,A4118)/2+IF(A4118&lt;&gt;A4119,100,0)</f>
        <v>1.125</v>
      </c>
      <c r="D4118" s="33">
        <f>INDEX('ZCB Curve - Payment Dates'!$D$2:$D$246,MATCH(B4118,'ZCB Curve - Payment Dates'!$A$2:$A$246,0))</f>
        <v>0.4112516019468152</v>
      </c>
      <c r="E4118" s="32">
        <f t="shared" si="64"/>
        <v>0.46265805219016709</v>
      </c>
    </row>
    <row r="4119" spans="1:5" x14ac:dyDescent="0.25">
      <c r="A4119" s="17">
        <v>326</v>
      </c>
      <c r="B4119" s="31">
        <v>52642</v>
      </c>
      <c r="C4119" s="32">
        <f>INDEX('Input Data'!$B:$B,A4119)/2+IF(A4119&lt;&gt;A4120,100,0)</f>
        <v>1.125</v>
      </c>
      <c r="D4119" s="33">
        <f>INDEX('ZCB Curve - Payment Dates'!$D$2:$D$246,MATCH(B4119,'ZCB Curve - Payment Dates'!$A$2:$A$246,0))</f>
        <v>0.39875459879352759</v>
      </c>
      <c r="E4119" s="32">
        <f t="shared" si="64"/>
        <v>0.44859892364271853</v>
      </c>
    </row>
    <row r="4120" spans="1:5" x14ac:dyDescent="0.25">
      <c r="A4120" s="17">
        <v>326</v>
      </c>
      <c r="B4120" s="31">
        <v>52824</v>
      </c>
      <c r="C4120" s="32">
        <f>INDEX('Input Data'!$B:$B,A4120)/2+IF(A4120&lt;&gt;A4121,100,0)</f>
        <v>1.125</v>
      </c>
      <c r="D4120" s="33">
        <f>INDEX('ZCB Curve - Payment Dates'!$D$2:$D$246,MATCH(B4120,'ZCB Curve - Payment Dates'!$A$2:$A$246,0))</f>
        <v>0.38680384560622083</v>
      </c>
      <c r="E4120" s="32">
        <f t="shared" si="64"/>
        <v>0.43515432630699846</v>
      </c>
    </row>
    <row r="4121" spans="1:5" x14ac:dyDescent="0.25">
      <c r="A4121" s="17">
        <v>326</v>
      </c>
      <c r="B4121" s="31">
        <v>53008</v>
      </c>
      <c r="C4121" s="32">
        <f>INDEX('Input Data'!$B:$B,A4121)/2+IF(A4121&lt;&gt;A4122,100,0)</f>
        <v>1.125</v>
      </c>
      <c r="D4121" s="33">
        <f>INDEX('ZCB Curve - Payment Dates'!$D$2:$D$246,MATCH(B4121,'ZCB Curve - Payment Dates'!$A$2:$A$246,0))</f>
        <v>0.37513648791915083</v>
      </c>
      <c r="E4121" s="32">
        <f t="shared" si="64"/>
        <v>0.42202854890904468</v>
      </c>
    </row>
    <row r="4122" spans="1:5" x14ac:dyDescent="0.25">
      <c r="A4122" s="17">
        <v>326</v>
      </c>
      <c r="B4122" s="31">
        <v>53189</v>
      </c>
      <c r="C4122" s="32">
        <f>INDEX('Input Data'!$B:$B,A4122)/2+IF(A4122&lt;&gt;A4123,100,0)</f>
        <v>1.125</v>
      </c>
      <c r="D4122" s="33">
        <f>INDEX('ZCB Curve - Payment Dates'!$D$2:$D$246,MATCH(B4122,'ZCB Curve - Payment Dates'!$A$2:$A$246,0))</f>
        <v>0.36406533257851953</v>
      </c>
      <c r="E4122" s="32">
        <f t="shared" si="64"/>
        <v>0.40957349915083446</v>
      </c>
    </row>
    <row r="4123" spans="1:5" x14ac:dyDescent="0.25">
      <c r="A4123" s="17">
        <v>326</v>
      </c>
      <c r="B4123" s="31">
        <v>53373</v>
      </c>
      <c r="C4123" s="32">
        <f>INDEX('Input Data'!$B:$B,A4123)/2+IF(A4123&lt;&gt;A4124,100,0)</f>
        <v>1.125</v>
      </c>
      <c r="D4123" s="33">
        <f>INDEX('ZCB Curve - Payment Dates'!$D$2:$D$246,MATCH(B4123,'ZCB Curve - Payment Dates'!$A$2:$A$246,0))</f>
        <v>0.35322166892031259</v>
      </c>
      <c r="E4123" s="32">
        <f t="shared" si="64"/>
        <v>0.39737437753535165</v>
      </c>
    </row>
    <row r="4124" spans="1:5" x14ac:dyDescent="0.25">
      <c r="A4124" s="17">
        <v>326</v>
      </c>
      <c r="B4124" s="31">
        <v>53554</v>
      </c>
      <c r="C4124" s="32">
        <f>INDEX('Input Data'!$B:$B,A4124)/2+IF(A4124&lt;&gt;A4125,100,0)</f>
        <v>1.125</v>
      </c>
      <c r="D4124" s="33">
        <f>INDEX('ZCB Curve - Payment Dates'!$D$2:$D$246,MATCH(B4124,'ZCB Curve - Payment Dates'!$A$2:$A$246,0))</f>
        <v>0.34295436226619208</v>
      </c>
      <c r="E4124" s="32">
        <f t="shared" si="64"/>
        <v>0.38582365754946607</v>
      </c>
    </row>
    <row r="4125" spans="1:5" x14ac:dyDescent="0.25">
      <c r="A4125" s="17">
        <v>326</v>
      </c>
      <c r="B4125" s="31">
        <v>53738</v>
      </c>
      <c r="C4125" s="32">
        <f>INDEX('Input Data'!$B:$B,A4125)/2+IF(A4125&lt;&gt;A4126,100,0)</f>
        <v>1.125</v>
      </c>
      <c r="D4125" s="33">
        <f>INDEX('ZCB Curve - Payment Dates'!$D$2:$D$246,MATCH(B4125,'ZCB Curve - Payment Dates'!$A$2:$A$246,0))</f>
        <v>0.33291860450360972</v>
      </c>
      <c r="E4125" s="32">
        <f t="shared" si="64"/>
        <v>0.37453343006656092</v>
      </c>
    </row>
    <row r="4126" spans="1:5" x14ac:dyDescent="0.25">
      <c r="A4126" s="17">
        <v>326</v>
      </c>
      <c r="B4126" s="31">
        <v>53919</v>
      </c>
      <c r="C4126" s="32">
        <f>INDEX('Input Data'!$B:$B,A4126)/2+IF(A4126&lt;&gt;A4127,100,0)</f>
        <v>1.125</v>
      </c>
      <c r="D4126" s="33">
        <f>INDEX('ZCB Curve - Payment Dates'!$D$2:$D$246,MATCH(B4126,'ZCB Curve - Payment Dates'!$A$2:$A$246,0))</f>
        <v>0.32343468195091313</v>
      </c>
      <c r="E4126" s="32">
        <f t="shared" si="64"/>
        <v>0.36386401719477729</v>
      </c>
    </row>
    <row r="4127" spans="1:5" x14ac:dyDescent="0.25">
      <c r="A4127" s="17">
        <v>326</v>
      </c>
      <c r="B4127" s="31">
        <v>54103</v>
      </c>
      <c r="C4127" s="32">
        <f>INDEX('Input Data'!$B:$B,A4127)/2+IF(A4127&lt;&gt;A4128,100,0)</f>
        <v>1.125</v>
      </c>
      <c r="D4127" s="33">
        <f>INDEX('ZCB Curve - Payment Dates'!$D$2:$D$246,MATCH(B4127,'ZCB Curve - Payment Dates'!$A$2:$A$246,0))</f>
        <v>0.31418167147949361</v>
      </c>
      <c r="E4127" s="32">
        <f t="shared" si="64"/>
        <v>0.35345438041443034</v>
      </c>
    </row>
    <row r="4128" spans="1:5" x14ac:dyDescent="0.25">
      <c r="A4128" s="17">
        <v>326</v>
      </c>
      <c r="B4128" s="31">
        <v>54285</v>
      </c>
      <c r="C4128" s="32">
        <f>INDEX('Input Data'!$B:$B,A4128)/2+IF(A4128&lt;&gt;A4129,100,0)</f>
        <v>1.125</v>
      </c>
      <c r="D4128" s="33">
        <f>INDEX('ZCB Curve - Payment Dates'!$D$2:$D$246,MATCH(B4128,'ZCB Curve - Payment Dates'!$A$2:$A$246,0))</f>
        <v>0.30540618878290843</v>
      </c>
      <c r="E4128" s="32">
        <f t="shared" si="64"/>
        <v>0.34358196238077199</v>
      </c>
    </row>
    <row r="4129" spans="1:5" x14ac:dyDescent="0.25">
      <c r="A4129" s="17">
        <v>326</v>
      </c>
      <c r="B4129" s="31">
        <v>54469</v>
      </c>
      <c r="C4129" s="32">
        <f>INDEX('Input Data'!$B:$B,A4129)/2+IF(A4129&lt;&gt;A4130,100,0)</f>
        <v>1.125</v>
      </c>
      <c r="D4129" s="33">
        <f>INDEX('ZCB Curve - Payment Dates'!$D$2:$D$246,MATCH(B4129,'ZCB Curve - Payment Dates'!$A$2:$A$246,0))</f>
        <v>0.29690423521941833</v>
      </c>
      <c r="E4129" s="32">
        <f t="shared" si="64"/>
        <v>0.33401726462184561</v>
      </c>
    </row>
    <row r="4130" spans="1:5" x14ac:dyDescent="0.25">
      <c r="A4130" s="17">
        <v>326</v>
      </c>
      <c r="B4130" s="31">
        <v>54650</v>
      </c>
      <c r="C4130" s="32">
        <f>INDEX('Input Data'!$B:$B,A4130)/2+IF(A4130&lt;&gt;A4131,100,0)</f>
        <v>101.125</v>
      </c>
      <c r="D4130" s="33">
        <f>INDEX('ZCB Curve - Payment Dates'!$D$2:$D$246,MATCH(B4130,'ZCB Curve - Payment Dates'!$A$2:$A$246,0))</f>
        <v>0.2888997564491238</v>
      </c>
      <c r="E4130" s="32">
        <f t="shared" si="64"/>
        <v>29.214987870917643</v>
      </c>
    </row>
    <row r="4131" spans="1:5" x14ac:dyDescent="0.25">
      <c r="A4131" s="17">
        <v>327</v>
      </c>
      <c r="B4131" s="31">
        <v>46341</v>
      </c>
      <c r="C4131" s="32">
        <f>INDEX('Input Data'!$B:$B,A4131)/2+IF(A4131&lt;&gt;A4132,100,0)</f>
        <v>1.1875</v>
      </c>
      <c r="D4131" s="33">
        <f>INDEX('ZCB Curve - Payment Dates'!$D$2:$D$246,MATCH(B4131,'ZCB Curve - Payment Dates'!$A$2:$A$246,0))</f>
        <v>0.99245367292309439</v>
      </c>
      <c r="E4131" s="32">
        <f t="shared" si="64"/>
        <v>1.1785387365961746</v>
      </c>
    </row>
    <row r="4132" spans="1:5" x14ac:dyDescent="0.25">
      <c r="A4132" s="17">
        <v>327</v>
      </c>
      <c r="B4132" s="31">
        <v>46522</v>
      </c>
      <c r="C4132" s="32">
        <f>INDEX('Input Data'!$B:$B,A4132)/2+IF(A4132&lt;&gt;A4133,100,0)</f>
        <v>1.1875</v>
      </c>
      <c r="D4132" s="33">
        <f>INDEX('ZCB Curve - Payment Dates'!$D$2:$D$246,MATCH(B4132,'ZCB Curve - Payment Dates'!$A$2:$A$246,0))</f>
        <v>0.97242179559611874</v>
      </c>
      <c r="E4132" s="32">
        <f t="shared" si="64"/>
        <v>1.1547508822703909</v>
      </c>
    </row>
    <row r="4133" spans="1:5" x14ac:dyDescent="0.25">
      <c r="A4133" s="17">
        <v>327</v>
      </c>
      <c r="B4133" s="31">
        <v>46706</v>
      </c>
      <c r="C4133" s="32">
        <f>INDEX('Input Data'!$B:$B,A4133)/2+IF(A4133&lt;&gt;A4134,100,0)</f>
        <v>1.1875</v>
      </c>
      <c r="D4133" s="33">
        <f>INDEX('ZCB Curve - Payment Dates'!$D$2:$D$246,MATCH(B4133,'ZCB Curve - Payment Dates'!$A$2:$A$246,0))</f>
        <v>0.95121018311627348</v>
      </c>
      <c r="E4133" s="32">
        <f t="shared" si="64"/>
        <v>1.1295620924505747</v>
      </c>
    </row>
    <row r="4134" spans="1:5" x14ac:dyDescent="0.25">
      <c r="A4134" s="17">
        <v>327</v>
      </c>
      <c r="B4134" s="31">
        <v>46888</v>
      </c>
      <c r="C4134" s="32">
        <f>INDEX('Input Data'!$B:$B,A4134)/2+IF(A4134&lt;&gt;A4135,100,0)</f>
        <v>1.1875</v>
      </c>
      <c r="D4134" s="33">
        <f>INDEX('ZCB Curve - Payment Dates'!$D$2:$D$246,MATCH(B4134,'ZCB Curve - Payment Dates'!$A$2:$A$246,0))</f>
        <v>0.93000025435083566</v>
      </c>
      <c r="E4134" s="32">
        <f t="shared" si="64"/>
        <v>1.1043753020416174</v>
      </c>
    </row>
    <row r="4135" spans="1:5" x14ac:dyDescent="0.25">
      <c r="A4135" s="17">
        <v>327</v>
      </c>
      <c r="B4135" s="31">
        <v>47072</v>
      </c>
      <c r="C4135" s="32">
        <f>INDEX('Input Data'!$B:$B,A4135)/2+IF(A4135&lt;&gt;A4136,100,0)</f>
        <v>1.1875</v>
      </c>
      <c r="D4135" s="33">
        <f>INDEX('ZCB Curve - Payment Dates'!$D$2:$D$246,MATCH(B4135,'ZCB Curve - Payment Dates'!$A$2:$A$246,0))</f>
        <v>0.90870125167038918</v>
      </c>
      <c r="E4135" s="32">
        <f t="shared" si="64"/>
        <v>1.0790827363585871</v>
      </c>
    </row>
    <row r="4136" spans="1:5" x14ac:dyDescent="0.25">
      <c r="A4136" s="17">
        <v>327</v>
      </c>
      <c r="B4136" s="31">
        <v>47253</v>
      </c>
      <c r="C4136" s="32">
        <f>INDEX('Input Data'!$B:$B,A4136)/2+IF(A4136&lt;&gt;A4137,100,0)</f>
        <v>1.1875</v>
      </c>
      <c r="D4136" s="33">
        <f>INDEX('ZCB Curve - Payment Dates'!$D$2:$D$246,MATCH(B4136,'ZCB Curve - Payment Dates'!$A$2:$A$246,0))</f>
        <v>0.88809325063638844</v>
      </c>
      <c r="E4136" s="32">
        <f t="shared" si="64"/>
        <v>1.0546107351307112</v>
      </c>
    </row>
    <row r="4137" spans="1:5" x14ac:dyDescent="0.25">
      <c r="A4137" s="17">
        <v>327</v>
      </c>
      <c r="B4137" s="31">
        <v>47437</v>
      </c>
      <c r="C4137" s="32">
        <f>INDEX('Input Data'!$B:$B,A4137)/2+IF(A4137&lt;&gt;A4138,100,0)</f>
        <v>1.1875</v>
      </c>
      <c r="D4137" s="33">
        <f>INDEX('ZCB Curve - Payment Dates'!$D$2:$D$246,MATCH(B4137,'ZCB Curve - Payment Dates'!$A$2:$A$246,0))</f>
        <v>0.86758824089536279</v>
      </c>
      <c r="E4137" s="32">
        <f t="shared" si="64"/>
        <v>1.0302610360632434</v>
      </c>
    </row>
    <row r="4138" spans="1:5" x14ac:dyDescent="0.25">
      <c r="A4138" s="17">
        <v>327</v>
      </c>
      <c r="B4138" s="31">
        <v>47618</v>
      </c>
      <c r="C4138" s="32">
        <f>INDEX('Input Data'!$B:$B,A4138)/2+IF(A4138&lt;&gt;A4139,100,0)</f>
        <v>1.1875</v>
      </c>
      <c r="D4138" s="33">
        <f>INDEX('ZCB Curve - Payment Dates'!$D$2:$D$246,MATCH(B4138,'ZCB Curve - Payment Dates'!$A$2:$A$246,0))</f>
        <v>0.84787416911783064</v>
      </c>
      <c r="E4138" s="32">
        <f t="shared" si="64"/>
        <v>1.006850575827424</v>
      </c>
    </row>
    <row r="4139" spans="1:5" x14ac:dyDescent="0.25">
      <c r="A4139" s="17">
        <v>327</v>
      </c>
      <c r="B4139" s="31">
        <v>47802</v>
      </c>
      <c r="C4139" s="32">
        <f>INDEX('Input Data'!$B:$B,A4139)/2+IF(A4139&lt;&gt;A4140,100,0)</f>
        <v>1.1875</v>
      </c>
      <c r="D4139" s="33">
        <f>INDEX('ZCB Curve - Payment Dates'!$D$2:$D$246,MATCH(B4139,'ZCB Curve - Payment Dates'!$A$2:$A$246,0))</f>
        <v>0.82827715028796722</v>
      </c>
      <c r="E4139" s="32">
        <f t="shared" si="64"/>
        <v>0.98357911596696113</v>
      </c>
    </row>
    <row r="4140" spans="1:5" x14ac:dyDescent="0.25">
      <c r="A4140" s="17">
        <v>327</v>
      </c>
      <c r="B4140" s="31">
        <v>47983</v>
      </c>
      <c r="C4140" s="32">
        <f>INDEX('Input Data'!$B:$B,A4140)/2+IF(A4140&lt;&gt;A4141,100,0)</f>
        <v>1.1875</v>
      </c>
      <c r="D4140" s="33">
        <f>INDEX('ZCB Curve - Payment Dates'!$D$2:$D$246,MATCH(B4140,'ZCB Curve - Payment Dates'!$A$2:$A$246,0))</f>
        <v>0.80939067484273564</v>
      </c>
      <c r="E4140" s="32">
        <f t="shared" si="64"/>
        <v>0.96115142637574857</v>
      </c>
    </row>
    <row r="4141" spans="1:5" x14ac:dyDescent="0.25">
      <c r="A4141" s="17">
        <v>327</v>
      </c>
      <c r="B4141" s="31">
        <v>48167</v>
      </c>
      <c r="C4141" s="32">
        <f>INDEX('Input Data'!$B:$B,A4141)/2+IF(A4141&lt;&gt;A4142,100,0)</f>
        <v>1.1875</v>
      </c>
      <c r="D4141" s="33">
        <f>INDEX('ZCB Curve - Payment Dates'!$D$2:$D$246,MATCH(B4141,'ZCB Curve - Payment Dates'!$A$2:$A$246,0))</f>
        <v>0.79053567842581962</v>
      </c>
      <c r="E4141" s="32">
        <f t="shared" si="64"/>
        <v>0.93876111813066077</v>
      </c>
    </row>
    <row r="4142" spans="1:5" x14ac:dyDescent="0.25">
      <c r="A4142" s="17">
        <v>327</v>
      </c>
      <c r="B4142" s="31">
        <v>48349</v>
      </c>
      <c r="C4142" s="32">
        <f>INDEX('Input Data'!$B:$B,A4142)/2+IF(A4142&lt;&gt;A4143,100,0)</f>
        <v>1.1875</v>
      </c>
      <c r="D4142" s="33">
        <f>INDEX('ZCB Curve - Payment Dates'!$D$2:$D$246,MATCH(B4142,'ZCB Curve - Payment Dates'!$A$2:$A$246,0))</f>
        <v>0.77217305702007488</v>
      </c>
      <c r="E4142" s="32">
        <f t="shared" si="64"/>
        <v>0.91695550521133895</v>
      </c>
    </row>
    <row r="4143" spans="1:5" x14ac:dyDescent="0.25">
      <c r="A4143" s="17">
        <v>327</v>
      </c>
      <c r="B4143" s="31">
        <v>48533</v>
      </c>
      <c r="C4143" s="32">
        <f>INDEX('Input Data'!$B:$B,A4143)/2+IF(A4143&lt;&gt;A4144,100,0)</f>
        <v>1.1875</v>
      </c>
      <c r="D4143" s="33">
        <f>INDEX('ZCB Curve - Payment Dates'!$D$2:$D$246,MATCH(B4143,'ZCB Curve - Payment Dates'!$A$2:$A$246,0))</f>
        <v>0.75384766072076514</v>
      </c>
      <c r="E4143" s="32">
        <f t="shared" si="64"/>
        <v>0.89519409710590858</v>
      </c>
    </row>
    <row r="4144" spans="1:5" x14ac:dyDescent="0.25">
      <c r="A4144" s="17">
        <v>327</v>
      </c>
      <c r="B4144" s="31">
        <v>48714</v>
      </c>
      <c r="C4144" s="32">
        <f>INDEX('Input Data'!$B:$B,A4144)/2+IF(A4144&lt;&gt;A4145,100,0)</f>
        <v>1.1875</v>
      </c>
      <c r="D4144" s="33">
        <f>INDEX('ZCB Curve - Payment Dates'!$D$2:$D$246,MATCH(B4144,'ZCB Curve - Payment Dates'!$A$2:$A$246,0))</f>
        <v>0.73601491848746747</v>
      </c>
      <c r="E4144" s="32">
        <f t="shared" si="64"/>
        <v>0.87401771570386766</v>
      </c>
    </row>
    <row r="4145" spans="1:5" x14ac:dyDescent="0.25">
      <c r="A4145" s="17">
        <v>327</v>
      </c>
      <c r="B4145" s="31">
        <v>48898</v>
      </c>
      <c r="C4145" s="32">
        <f>INDEX('Input Data'!$B:$B,A4145)/2+IF(A4145&lt;&gt;A4146,100,0)</f>
        <v>1.1875</v>
      </c>
      <c r="D4145" s="33">
        <f>INDEX('ZCB Curve - Payment Dates'!$D$2:$D$246,MATCH(B4145,'ZCB Curve - Payment Dates'!$A$2:$A$246,0))</f>
        <v>0.71805338140354003</v>
      </c>
      <c r="E4145" s="32">
        <f t="shared" si="64"/>
        <v>0.85268839041670375</v>
      </c>
    </row>
    <row r="4146" spans="1:5" x14ac:dyDescent="0.25">
      <c r="A4146" s="17">
        <v>327</v>
      </c>
      <c r="B4146" s="31">
        <v>49079</v>
      </c>
      <c r="C4146" s="32">
        <f>INDEX('Input Data'!$B:$B,A4146)/2+IF(A4146&lt;&gt;A4147,100,0)</f>
        <v>1.1875</v>
      </c>
      <c r="D4146" s="33">
        <f>INDEX('ZCB Curve - Payment Dates'!$D$2:$D$246,MATCH(B4146,'ZCB Curve - Payment Dates'!$A$2:$A$246,0))</f>
        <v>0.70052630492471468</v>
      </c>
      <c r="E4146" s="32">
        <f t="shared" si="64"/>
        <v>0.83187498709809871</v>
      </c>
    </row>
    <row r="4147" spans="1:5" x14ac:dyDescent="0.25">
      <c r="A4147" s="17">
        <v>327</v>
      </c>
      <c r="B4147" s="31">
        <v>49263</v>
      </c>
      <c r="C4147" s="32">
        <f>INDEX('Input Data'!$B:$B,A4147)/2+IF(A4147&lt;&gt;A4148,100,0)</f>
        <v>1.1875</v>
      </c>
      <c r="D4147" s="33">
        <f>INDEX('ZCB Curve - Payment Dates'!$D$2:$D$246,MATCH(B4147,'ZCB Curve - Payment Dates'!$A$2:$A$246,0))</f>
        <v>0.68284221202539863</v>
      </c>
      <c r="E4147" s="32">
        <f t="shared" si="64"/>
        <v>0.81087512678016083</v>
      </c>
    </row>
    <row r="4148" spans="1:5" x14ac:dyDescent="0.25">
      <c r="A4148" s="17">
        <v>327</v>
      </c>
      <c r="B4148" s="31">
        <v>49444</v>
      </c>
      <c r="C4148" s="32">
        <f>INDEX('Input Data'!$B:$B,A4148)/2+IF(A4148&lt;&gt;A4149,100,0)</f>
        <v>1.1875</v>
      </c>
      <c r="D4148" s="33">
        <f>INDEX('ZCB Curve - Payment Dates'!$D$2:$D$246,MATCH(B4148,'ZCB Curve - Payment Dates'!$A$2:$A$246,0))</f>
        <v>0.66557347415228496</v>
      </c>
      <c r="E4148" s="32">
        <f t="shared" si="64"/>
        <v>0.7903685005558384</v>
      </c>
    </row>
    <row r="4149" spans="1:5" x14ac:dyDescent="0.25">
      <c r="A4149" s="17">
        <v>327</v>
      </c>
      <c r="B4149" s="31">
        <v>49628</v>
      </c>
      <c r="C4149" s="32">
        <f>INDEX('Input Data'!$B:$B,A4149)/2+IF(A4149&lt;&gt;A4150,100,0)</f>
        <v>1.1875</v>
      </c>
      <c r="D4149" s="33">
        <f>INDEX('ZCB Curve - Payment Dates'!$D$2:$D$246,MATCH(B4149,'ZCB Curve - Payment Dates'!$A$2:$A$246,0))</f>
        <v>0.64815361918127823</v>
      </c>
      <c r="E4149" s="32">
        <f t="shared" si="64"/>
        <v>0.76968242277776788</v>
      </c>
    </row>
    <row r="4150" spans="1:5" x14ac:dyDescent="0.25">
      <c r="A4150" s="17">
        <v>327</v>
      </c>
      <c r="B4150" s="31">
        <v>49810</v>
      </c>
      <c r="C4150" s="32">
        <f>INDEX('Input Data'!$B:$B,A4150)/2+IF(A4150&lt;&gt;A4151,100,0)</f>
        <v>1.1875</v>
      </c>
      <c r="D4150" s="33">
        <f>INDEX('ZCB Curve - Payment Dates'!$D$2:$D$246,MATCH(B4150,'ZCB Curve - Payment Dates'!$A$2:$A$246,0))</f>
        <v>0.63106457078577471</v>
      </c>
      <c r="E4150" s="32">
        <f t="shared" si="64"/>
        <v>0.74938917780810743</v>
      </c>
    </row>
    <row r="4151" spans="1:5" x14ac:dyDescent="0.25">
      <c r="A4151" s="17">
        <v>327</v>
      </c>
      <c r="B4151" s="31">
        <v>49994</v>
      </c>
      <c r="C4151" s="32">
        <f>INDEX('Input Data'!$B:$B,A4151)/2+IF(A4151&lt;&gt;A4152,100,0)</f>
        <v>1.1875</v>
      </c>
      <c r="D4151" s="33">
        <f>INDEX('ZCB Curve - Payment Dates'!$D$2:$D$246,MATCH(B4151,'ZCB Curve - Payment Dates'!$A$2:$A$246,0))</f>
        <v>0.61395227923184648</v>
      </c>
      <c r="E4151" s="32">
        <f t="shared" si="64"/>
        <v>0.7290683315878177</v>
      </c>
    </row>
    <row r="4152" spans="1:5" x14ac:dyDescent="0.25">
      <c r="A4152" s="17">
        <v>327</v>
      </c>
      <c r="B4152" s="31">
        <v>50175</v>
      </c>
      <c r="C4152" s="32">
        <f>INDEX('Input Data'!$B:$B,A4152)/2+IF(A4152&lt;&gt;A4153,100,0)</f>
        <v>1.1875</v>
      </c>
      <c r="D4152" s="33">
        <f>INDEX('ZCB Curve - Payment Dates'!$D$2:$D$246,MATCH(B4152,'ZCB Curve - Payment Dates'!$A$2:$A$246,0))</f>
        <v>0.5972963482314616</v>
      </c>
      <c r="E4152" s="32">
        <f t="shared" si="64"/>
        <v>0.70928941352486063</v>
      </c>
    </row>
    <row r="4153" spans="1:5" x14ac:dyDescent="0.25">
      <c r="A4153" s="17">
        <v>327</v>
      </c>
      <c r="B4153" s="31">
        <v>50359</v>
      </c>
      <c r="C4153" s="32">
        <f>INDEX('Input Data'!$B:$B,A4153)/2+IF(A4153&lt;&gt;A4154,100,0)</f>
        <v>1.1875</v>
      </c>
      <c r="D4153" s="33">
        <f>INDEX('ZCB Curve - Payment Dates'!$D$2:$D$246,MATCH(B4153,'ZCB Curve - Payment Dates'!$A$2:$A$246,0))</f>
        <v>0.58056812006155756</v>
      </c>
      <c r="E4153" s="32">
        <f t="shared" si="64"/>
        <v>0.68942464257309966</v>
      </c>
    </row>
    <row r="4154" spans="1:5" x14ac:dyDescent="0.25">
      <c r="A4154" s="17">
        <v>327</v>
      </c>
      <c r="B4154" s="31">
        <v>50540</v>
      </c>
      <c r="C4154" s="32">
        <f>INDEX('Input Data'!$B:$B,A4154)/2+IF(A4154&lt;&gt;A4155,100,0)</f>
        <v>1.1875</v>
      </c>
      <c r="D4154" s="33">
        <f>INDEX('ZCB Curve - Payment Dates'!$D$2:$D$246,MATCH(B4154,'ZCB Curve - Payment Dates'!$A$2:$A$246,0))</f>
        <v>0.56433491315969797</v>
      </c>
      <c r="E4154" s="32">
        <f t="shared" si="64"/>
        <v>0.6701477093771413</v>
      </c>
    </row>
    <row r="4155" spans="1:5" x14ac:dyDescent="0.25">
      <c r="A4155" s="17">
        <v>327</v>
      </c>
      <c r="B4155" s="31">
        <v>50724</v>
      </c>
      <c r="C4155" s="32">
        <f>INDEX('Input Data'!$B:$B,A4155)/2+IF(A4155&lt;&gt;A4156,100,0)</f>
        <v>1.1875</v>
      </c>
      <c r="D4155" s="33">
        <f>INDEX('ZCB Curve - Payment Dates'!$D$2:$D$246,MATCH(B4155,'ZCB Curve - Payment Dates'!$A$2:$A$246,0))</f>
        <v>0.54808398139057424</v>
      </c>
      <c r="E4155" s="32">
        <f t="shared" si="64"/>
        <v>0.65084972790130691</v>
      </c>
    </row>
    <row r="4156" spans="1:5" x14ac:dyDescent="0.25">
      <c r="A4156" s="17">
        <v>327</v>
      </c>
      <c r="B4156" s="31">
        <v>50905</v>
      </c>
      <c r="C4156" s="32">
        <f>INDEX('Input Data'!$B:$B,A4156)/2+IF(A4156&lt;&gt;A4157,100,0)</f>
        <v>1.1875</v>
      </c>
      <c r="D4156" s="33">
        <f>INDEX('ZCB Curve - Payment Dates'!$D$2:$D$246,MATCH(B4156,'ZCB Curve - Payment Dates'!$A$2:$A$246,0))</f>
        <v>0.5323673246083096</v>
      </c>
      <c r="E4156" s="32">
        <f t="shared" si="64"/>
        <v>0.63218619797236764</v>
      </c>
    </row>
    <row r="4157" spans="1:5" x14ac:dyDescent="0.25">
      <c r="A4157" s="17">
        <v>327</v>
      </c>
      <c r="B4157" s="31">
        <v>51089</v>
      </c>
      <c r="C4157" s="32">
        <f>INDEX('Input Data'!$B:$B,A4157)/2+IF(A4157&lt;&gt;A4158,100,0)</f>
        <v>1.1875</v>
      </c>
      <c r="D4157" s="33">
        <f>INDEX('ZCB Curve - Payment Dates'!$D$2:$D$246,MATCH(B4157,'ZCB Curve - Payment Dates'!$A$2:$A$246,0))</f>
        <v>0.51668806431098135</v>
      </c>
      <c r="E4157" s="32">
        <f t="shared" si="64"/>
        <v>0.61356707636929031</v>
      </c>
    </row>
    <row r="4158" spans="1:5" x14ac:dyDescent="0.25">
      <c r="A4158" s="17">
        <v>327</v>
      </c>
      <c r="B4158" s="31">
        <v>51271</v>
      </c>
      <c r="C4158" s="32">
        <f>INDEX('Input Data'!$B:$B,A4158)/2+IF(A4158&lt;&gt;A4159,100,0)</f>
        <v>1.1875</v>
      </c>
      <c r="D4158" s="33">
        <f>INDEX('ZCB Curve - Payment Dates'!$D$2:$D$246,MATCH(B4158,'ZCB Curve - Payment Dates'!$A$2:$A$246,0))</f>
        <v>0.50149590020417278</v>
      </c>
      <c r="E4158" s="32">
        <f t="shared" si="64"/>
        <v>0.59552638149245518</v>
      </c>
    </row>
    <row r="4159" spans="1:5" x14ac:dyDescent="0.25">
      <c r="A4159" s="17">
        <v>327</v>
      </c>
      <c r="B4159" s="31">
        <v>51455</v>
      </c>
      <c r="C4159" s="32">
        <f>INDEX('Input Data'!$B:$B,A4159)/2+IF(A4159&lt;&gt;A4160,100,0)</f>
        <v>1.1875</v>
      </c>
      <c r="D4159" s="33">
        <f>INDEX('ZCB Curve - Payment Dates'!$D$2:$D$246,MATCH(B4159,'ZCB Curve - Payment Dates'!$A$2:$A$246,0))</f>
        <v>0.48647538074270091</v>
      </c>
      <c r="E4159" s="32">
        <f t="shared" si="64"/>
        <v>0.57768951463195739</v>
      </c>
    </row>
    <row r="4160" spans="1:5" x14ac:dyDescent="0.25">
      <c r="A4160" s="17">
        <v>327</v>
      </c>
      <c r="B4160" s="31">
        <v>51636</v>
      </c>
      <c r="C4160" s="32">
        <f>INDEX('Input Data'!$B:$B,A4160)/2+IF(A4160&lt;&gt;A4161,100,0)</f>
        <v>1.1875</v>
      </c>
      <c r="D4160" s="33">
        <f>INDEX('ZCB Curve - Payment Dates'!$D$2:$D$246,MATCH(B4160,'ZCB Curve - Payment Dates'!$A$2:$A$246,0))</f>
        <v>0.47204918703719451</v>
      </c>
      <c r="E4160" s="32">
        <f t="shared" si="64"/>
        <v>0.56055840960666847</v>
      </c>
    </row>
    <row r="4161" spans="1:5" x14ac:dyDescent="0.25">
      <c r="A4161" s="17">
        <v>327</v>
      </c>
      <c r="B4161" s="31">
        <v>51820</v>
      </c>
      <c r="C4161" s="32">
        <f>INDEX('Input Data'!$B:$B,A4161)/2+IF(A4161&lt;&gt;A4162,100,0)</f>
        <v>1.1875</v>
      </c>
      <c r="D4161" s="33">
        <f>INDEX('ZCB Curve - Payment Dates'!$D$2:$D$246,MATCH(B4161,'ZCB Curve - Payment Dates'!$A$2:$A$246,0))</f>
        <v>0.45775548669345245</v>
      </c>
      <c r="E4161" s="32">
        <f t="shared" si="64"/>
        <v>0.54358464044847477</v>
      </c>
    </row>
    <row r="4162" spans="1:5" x14ac:dyDescent="0.25">
      <c r="A4162" s="17">
        <v>327</v>
      </c>
      <c r="B4162" s="31">
        <v>52001</v>
      </c>
      <c r="C4162" s="32">
        <f>INDEX('Input Data'!$B:$B,A4162)/2+IF(A4162&lt;&gt;A4163,100,0)</f>
        <v>1.1875</v>
      </c>
      <c r="D4162" s="33">
        <f>INDEX('ZCB Curve - Payment Dates'!$D$2:$D$246,MATCH(B4162,'ZCB Curve - Payment Dates'!$A$2:$A$246,0))</f>
        <v>0.44407192118484318</v>
      </c>
      <c r="E4162" s="32">
        <f t="shared" ref="E4162:E4225" si="65">C4162*D4162</f>
        <v>0.52733540640700127</v>
      </c>
    </row>
    <row r="4163" spans="1:5" x14ac:dyDescent="0.25">
      <c r="A4163" s="17">
        <v>327</v>
      </c>
      <c r="B4163" s="31">
        <v>52185</v>
      </c>
      <c r="C4163" s="32">
        <f>INDEX('Input Data'!$B:$B,A4163)/2+IF(A4163&lt;&gt;A4164,100,0)</f>
        <v>1.1875</v>
      </c>
      <c r="D4163" s="33">
        <f>INDEX('ZCB Curve - Payment Dates'!$D$2:$D$246,MATCH(B4163,'ZCB Curve - Payment Dates'!$A$2:$A$246,0))</f>
        <v>0.43055647946672393</v>
      </c>
      <c r="E4163" s="32">
        <f t="shared" si="65"/>
        <v>0.51128581936673467</v>
      </c>
    </row>
    <row r="4164" spans="1:5" x14ac:dyDescent="0.25">
      <c r="A4164" s="17">
        <v>327</v>
      </c>
      <c r="B4164" s="31">
        <v>52366</v>
      </c>
      <c r="C4164" s="32">
        <f>INDEX('Input Data'!$B:$B,A4164)/2+IF(A4164&lt;&gt;A4165,100,0)</f>
        <v>1.1875</v>
      </c>
      <c r="D4164" s="33">
        <f>INDEX('ZCB Curve - Payment Dates'!$D$2:$D$246,MATCH(B4164,'ZCB Curve - Payment Dates'!$A$2:$A$246,0))</f>
        <v>0.41765686229470528</v>
      </c>
      <c r="E4164" s="32">
        <f t="shared" si="65"/>
        <v>0.49596752397496252</v>
      </c>
    </row>
    <row r="4165" spans="1:5" x14ac:dyDescent="0.25">
      <c r="A4165" s="17">
        <v>327</v>
      </c>
      <c r="B4165" s="31">
        <v>52550</v>
      </c>
      <c r="C4165" s="32">
        <f>INDEX('Input Data'!$B:$B,A4165)/2+IF(A4165&lt;&gt;A4166,100,0)</f>
        <v>1.1875</v>
      </c>
      <c r="D4165" s="33">
        <f>INDEX('ZCB Curve - Payment Dates'!$D$2:$D$246,MATCH(B4165,'ZCB Curve - Payment Dates'!$A$2:$A$246,0))</f>
        <v>0.40495237741553414</v>
      </c>
      <c r="E4165" s="32">
        <f t="shared" si="65"/>
        <v>0.48088094818094679</v>
      </c>
    </row>
    <row r="4166" spans="1:5" x14ac:dyDescent="0.25">
      <c r="A4166" s="17">
        <v>327</v>
      </c>
      <c r="B4166" s="31">
        <v>52732</v>
      </c>
      <c r="C4166" s="32">
        <f>INDEX('Input Data'!$B:$B,A4166)/2+IF(A4166&lt;&gt;A4167,100,0)</f>
        <v>1.1875</v>
      </c>
      <c r="D4166" s="33">
        <f>INDEX('ZCB Curve - Payment Dates'!$D$2:$D$246,MATCH(B4166,'ZCB Curve - Payment Dates'!$A$2:$A$246,0))</f>
        <v>0.3927952920896523</v>
      </c>
      <c r="E4166" s="32">
        <f t="shared" si="65"/>
        <v>0.46644440935646209</v>
      </c>
    </row>
    <row r="4167" spans="1:5" x14ac:dyDescent="0.25">
      <c r="A4167" s="17">
        <v>327</v>
      </c>
      <c r="B4167" s="31">
        <v>52916</v>
      </c>
      <c r="C4167" s="32">
        <f>INDEX('Input Data'!$B:$B,A4167)/2+IF(A4167&lt;&gt;A4168,100,0)</f>
        <v>1.1875</v>
      </c>
      <c r="D4167" s="33">
        <f>INDEX('ZCB Curve - Payment Dates'!$D$2:$D$246,MATCH(B4167,'ZCB Curve - Payment Dates'!$A$2:$A$246,0))</f>
        <v>0.38091684361752687</v>
      </c>
      <c r="E4167" s="32">
        <f t="shared" si="65"/>
        <v>0.45233875179581318</v>
      </c>
    </row>
    <row r="4168" spans="1:5" x14ac:dyDescent="0.25">
      <c r="A4168" s="17">
        <v>327</v>
      </c>
      <c r="B4168" s="31">
        <v>53097</v>
      </c>
      <c r="C4168" s="32">
        <f>INDEX('Input Data'!$B:$B,A4168)/2+IF(A4168&lt;&gt;A4169,100,0)</f>
        <v>1.1875</v>
      </c>
      <c r="D4168" s="33">
        <f>INDEX('ZCB Curve - Payment Dates'!$D$2:$D$246,MATCH(B4168,'ZCB Curve - Payment Dates'!$A$2:$A$246,0))</f>
        <v>0.36964331092783359</v>
      </c>
      <c r="E4168" s="32">
        <f t="shared" si="65"/>
        <v>0.4389514317268024</v>
      </c>
    </row>
    <row r="4169" spans="1:5" x14ac:dyDescent="0.25">
      <c r="A4169" s="17">
        <v>327</v>
      </c>
      <c r="B4169" s="31">
        <v>53281</v>
      </c>
      <c r="C4169" s="32">
        <f>INDEX('Input Data'!$B:$B,A4169)/2+IF(A4169&lt;&gt;A4170,100,0)</f>
        <v>1.1875</v>
      </c>
      <c r="D4169" s="33">
        <f>INDEX('ZCB Curve - Payment Dates'!$D$2:$D$246,MATCH(B4169,'ZCB Curve - Payment Dates'!$A$2:$A$246,0))</f>
        <v>0.35859090372935404</v>
      </c>
      <c r="E4169" s="32">
        <f t="shared" si="65"/>
        <v>0.42582669817860791</v>
      </c>
    </row>
    <row r="4170" spans="1:5" x14ac:dyDescent="0.25">
      <c r="A4170" s="17">
        <v>327</v>
      </c>
      <c r="B4170" s="31">
        <v>53462</v>
      </c>
      <c r="C4170" s="32">
        <f>INDEX('Input Data'!$B:$B,A4170)/2+IF(A4170&lt;&gt;A4171,100,0)</f>
        <v>1.1875</v>
      </c>
      <c r="D4170" s="33">
        <f>INDEX('ZCB Curve - Payment Dates'!$D$2:$D$246,MATCH(B4170,'ZCB Curve - Payment Dates'!$A$2:$A$246,0))</f>
        <v>0.34812465854380154</v>
      </c>
      <c r="E4170" s="32">
        <f t="shared" si="65"/>
        <v>0.41339803202076431</v>
      </c>
    </row>
    <row r="4171" spans="1:5" x14ac:dyDescent="0.25">
      <c r="A4171" s="17">
        <v>327</v>
      </c>
      <c r="B4171" s="31">
        <v>53646</v>
      </c>
      <c r="C4171" s="32">
        <f>INDEX('Input Data'!$B:$B,A4171)/2+IF(A4171&lt;&gt;A4172,100,0)</f>
        <v>1.1875</v>
      </c>
      <c r="D4171" s="33">
        <f>INDEX('ZCB Curve - Payment Dates'!$D$2:$D$246,MATCH(B4171,'ZCB Curve - Payment Dates'!$A$2:$A$246,0))</f>
        <v>0.33788528510382887</v>
      </c>
      <c r="E4171" s="32">
        <f t="shared" si="65"/>
        <v>0.40123877606079678</v>
      </c>
    </row>
    <row r="4172" spans="1:5" x14ac:dyDescent="0.25">
      <c r="A4172" s="17">
        <v>327</v>
      </c>
      <c r="B4172" s="31">
        <v>53827</v>
      </c>
      <c r="C4172" s="32">
        <f>INDEX('Input Data'!$B:$B,A4172)/2+IF(A4172&lt;&gt;A4173,100,0)</f>
        <v>1.1875</v>
      </c>
      <c r="D4172" s="33">
        <f>INDEX('ZCB Curve - Payment Dates'!$D$2:$D$246,MATCH(B4172,'ZCB Curve - Payment Dates'!$A$2:$A$246,0))</f>
        <v>0.32820827061914198</v>
      </c>
      <c r="E4172" s="32">
        <f t="shared" si="65"/>
        <v>0.3897473213602311</v>
      </c>
    </row>
    <row r="4173" spans="1:5" x14ac:dyDescent="0.25">
      <c r="A4173" s="17">
        <v>327</v>
      </c>
      <c r="B4173" s="31">
        <v>54011</v>
      </c>
      <c r="C4173" s="32">
        <f>INDEX('Input Data'!$B:$B,A4173)/2+IF(A4173&lt;&gt;A4174,100,0)</f>
        <v>1.1875</v>
      </c>
      <c r="D4173" s="33">
        <f>INDEX('ZCB Curve - Payment Dates'!$D$2:$D$246,MATCH(B4173,'ZCB Curve - Payment Dates'!$A$2:$A$246,0))</f>
        <v>0.31875888330253388</v>
      </c>
      <c r="E4173" s="32">
        <f t="shared" si="65"/>
        <v>0.37852617392175897</v>
      </c>
    </row>
    <row r="4174" spans="1:5" x14ac:dyDescent="0.25">
      <c r="A4174" s="17">
        <v>327</v>
      </c>
      <c r="B4174" s="31">
        <v>54193</v>
      </c>
      <c r="C4174" s="32">
        <f>INDEX('Input Data'!$B:$B,A4174)/2+IF(A4174&lt;&gt;A4175,100,0)</f>
        <v>1.1875</v>
      </c>
      <c r="D4174" s="33">
        <f>INDEX('ZCB Curve - Payment Dates'!$D$2:$D$246,MATCH(B4174,'ZCB Curve - Payment Dates'!$A$2:$A$246,0))</f>
        <v>0.30979516521120642</v>
      </c>
      <c r="E4174" s="32">
        <f t="shared" si="65"/>
        <v>0.36788175868830764</v>
      </c>
    </row>
    <row r="4175" spans="1:5" x14ac:dyDescent="0.25">
      <c r="A4175" s="17">
        <v>327</v>
      </c>
      <c r="B4175" s="31">
        <v>54377</v>
      </c>
      <c r="C4175" s="32">
        <f>INDEX('Input Data'!$B:$B,A4175)/2+IF(A4175&lt;&gt;A4176,100,0)</f>
        <v>1.1875</v>
      </c>
      <c r="D4175" s="33">
        <f>INDEX('ZCB Curve - Payment Dates'!$D$2:$D$246,MATCH(B4175,'ZCB Curve - Payment Dates'!$A$2:$A$246,0))</f>
        <v>0.30110901062008694</v>
      </c>
      <c r="E4175" s="32">
        <f t="shared" si="65"/>
        <v>0.35756695011135325</v>
      </c>
    </row>
    <row r="4176" spans="1:5" x14ac:dyDescent="0.25">
      <c r="A4176" s="17">
        <v>327</v>
      </c>
      <c r="B4176" s="31">
        <v>54558</v>
      </c>
      <c r="C4176" s="32">
        <f>INDEX('Input Data'!$B:$B,A4176)/2+IF(A4176&lt;&gt;A4177,100,0)</f>
        <v>1.1875</v>
      </c>
      <c r="D4176" s="33">
        <f>INDEX('ZCB Curve - Payment Dates'!$D$2:$D$246,MATCH(B4176,'ZCB Curve - Payment Dates'!$A$2:$A$246,0))</f>
        <v>0.29292467059800714</v>
      </c>
      <c r="E4176" s="32">
        <f t="shared" si="65"/>
        <v>0.3478480463351335</v>
      </c>
    </row>
    <row r="4177" spans="1:5" x14ac:dyDescent="0.25">
      <c r="A4177" s="17">
        <v>327</v>
      </c>
      <c r="B4177" s="31">
        <v>54742</v>
      </c>
      <c r="C4177" s="32">
        <f>INDEX('Input Data'!$B:$B,A4177)/2+IF(A4177&lt;&gt;A4178,100,0)</f>
        <v>101.1875</v>
      </c>
      <c r="D4177" s="33">
        <f>INDEX('ZCB Curve - Payment Dates'!$D$2:$D$246,MATCH(B4177,'ZCB Curve - Payment Dates'!$A$2:$A$246,0))</f>
        <v>0.28496204444064566</v>
      </c>
      <c r="E4177" s="32">
        <f t="shared" si="65"/>
        <v>28.834596871837832</v>
      </c>
    </row>
    <row r="4178" spans="1:5" x14ac:dyDescent="0.25">
      <c r="A4178" s="17">
        <v>328</v>
      </c>
      <c r="B4178" s="31">
        <v>46433</v>
      </c>
      <c r="C4178" s="32">
        <f>INDEX('Input Data'!$B:$B,A4178)/2+IF(A4178&lt;&gt;A4179,100,0)</f>
        <v>1</v>
      </c>
      <c r="D4178" s="33">
        <f>INDEX('ZCB Curve - Payment Dates'!$D$2:$D$246,MATCH(B4178,'ZCB Curve - Payment Dates'!$A$2:$A$246,0))</f>
        <v>0.98242671792446301</v>
      </c>
      <c r="E4178" s="32">
        <f t="shared" si="65"/>
        <v>0.98242671792446301</v>
      </c>
    </row>
    <row r="4179" spans="1:5" x14ac:dyDescent="0.25">
      <c r="A4179" s="17">
        <v>328</v>
      </c>
      <c r="B4179" s="31">
        <v>46614</v>
      </c>
      <c r="C4179" s="32">
        <f>INDEX('Input Data'!$B:$B,A4179)/2+IF(A4179&lt;&gt;A4180,100,0)</f>
        <v>1</v>
      </c>
      <c r="D4179" s="33">
        <f>INDEX('ZCB Curve - Payment Dates'!$D$2:$D$246,MATCH(B4179,'ZCB Curve - Payment Dates'!$A$2:$A$246,0))</f>
        <v>0.96187948164765535</v>
      </c>
      <c r="E4179" s="32">
        <f t="shared" si="65"/>
        <v>0.96187948164765535</v>
      </c>
    </row>
    <row r="4180" spans="1:5" x14ac:dyDescent="0.25">
      <c r="A4180" s="17">
        <v>328</v>
      </c>
      <c r="B4180" s="31">
        <v>46798</v>
      </c>
      <c r="C4180" s="32">
        <f>INDEX('Input Data'!$B:$B,A4180)/2+IF(A4180&lt;&gt;A4181,100,0)</f>
        <v>1</v>
      </c>
      <c r="D4180" s="33">
        <f>INDEX('ZCB Curve - Payment Dates'!$D$2:$D$246,MATCH(B4180,'ZCB Curve - Payment Dates'!$A$2:$A$246,0))</f>
        <v>0.94049096132648802</v>
      </c>
      <c r="E4180" s="32">
        <f t="shared" si="65"/>
        <v>0.94049096132648802</v>
      </c>
    </row>
    <row r="4181" spans="1:5" x14ac:dyDescent="0.25">
      <c r="A4181" s="17">
        <v>328</v>
      </c>
      <c r="B4181" s="31">
        <v>46980</v>
      </c>
      <c r="C4181" s="32">
        <f>INDEX('Input Data'!$B:$B,A4181)/2+IF(A4181&lt;&gt;A4182,100,0)</f>
        <v>1</v>
      </c>
      <c r="D4181" s="33">
        <f>INDEX('ZCB Curve - Payment Dates'!$D$2:$D$246,MATCH(B4181,'ZCB Curve - Payment Dates'!$A$2:$A$246,0))</f>
        <v>0.91931844130238327</v>
      </c>
      <c r="E4181" s="32">
        <f t="shared" si="65"/>
        <v>0.91931844130238327</v>
      </c>
    </row>
    <row r="4182" spans="1:5" x14ac:dyDescent="0.25">
      <c r="A4182" s="17">
        <v>328</v>
      </c>
      <c r="B4182" s="31">
        <v>47164</v>
      </c>
      <c r="C4182" s="32">
        <f>INDEX('Input Data'!$B:$B,A4182)/2+IF(A4182&lt;&gt;A4183,100,0)</f>
        <v>1</v>
      </c>
      <c r="D4182" s="33">
        <f>INDEX('ZCB Curve - Payment Dates'!$D$2:$D$246,MATCH(B4182,'ZCB Curve - Payment Dates'!$A$2:$A$246,0))</f>
        <v>0.89817430058086534</v>
      </c>
      <c r="E4182" s="32">
        <f t="shared" si="65"/>
        <v>0.89817430058086534</v>
      </c>
    </row>
    <row r="4183" spans="1:5" x14ac:dyDescent="0.25">
      <c r="A4183" s="17">
        <v>328</v>
      </c>
      <c r="B4183" s="31">
        <v>47345</v>
      </c>
      <c r="C4183" s="32">
        <f>INDEX('Input Data'!$B:$B,A4183)/2+IF(A4183&lt;&gt;A4184,100,0)</f>
        <v>1</v>
      </c>
      <c r="D4183" s="33">
        <f>INDEX('ZCB Curve - Payment Dates'!$D$2:$D$246,MATCH(B4183,'ZCB Curve - Payment Dates'!$A$2:$A$246,0))</f>
        <v>0.87778421628860481</v>
      </c>
      <c r="E4183" s="32">
        <f t="shared" si="65"/>
        <v>0.87778421628860481</v>
      </c>
    </row>
    <row r="4184" spans="1:5" x14ac:dyDescent="0.25">
      <c r="A4184" s="17">
        <v>328</v>
      </c>
      <c r="B4184" s="31">
        <v>47529</v>
      </c>
      <c r="C4184" s="32">
        <f>INDEX('Input Data'!$B:$B,A4184)/2+IF(A4184&lt;&gt;A4185,100,0)</f>
        <v>1</v>
      </c>
      <c r="D4184" s="33">
        <f>INDEX('ZCB Curve - Payment Dates'!$D$2:$D$246,MATCH(B4184,'ZCB Curve - Payment Dates'!$A$2:$A$246,0))</f>
        <v>0.85751015570959666</v>
      </c>
      <c r="E4184" s="32">
        <f t="shared" si="65"/>
        <v>0.85751015570959666</v>
      </c>
    </row>
    <row r="4185" spans="1:5" x14ac:dyDescent="0.25">
      <c r="A4185" s="17">
        <v>328</v>
      </c>
      <c r="B4185" s="31">
        <v>47710</v>
      </c>
      <c r="C4185" s="32">
        <f>INDEX('Input Data'!$B:$B,A4185)/2+IF(A4185&lt;&gt;A4186,100,0)</f>
        <v>1</v>
      </c>
      <c r="D4185" s="33">
        <f>INDEX('ZCB Curve - Payment Dates'!$D$2:$D$246,MATCH(B4185,'ZCB Curve - Payment Dates'!$A$2:$A$246,0))</f>
        <v>0.83802423748211174</v>
      </c>
      <c r="E4185" s="32">
        <f t="shared" si="65"/>
        <v>0.83802423748211174</v>
      </c>
    </row>
    <row r="4186" spans="1:5" x14ac:dyDescent="0.25">
      <c r="A4186" s="17">
        <v>328</v>
      </c>
      <c r="B4186" s="31">
        <v>47894</v>
      </c>
      <c r="C4186" s="32">
        <f>INDEX('Input Data'!$B:$B,A4186)/2+IF(A4186&lt;&gt;A4187,100,0)</f>
        <v>1</v>
      </c>
      <c r="D4186" s="33">
        <f>INDEX('ZCB Curve - Payment Dates'!$D$2:$D$246,MATCH(B4186,'ZCB Curve - Payment Dates'!$A$2:$A$246,0))</f>
        <v>0.8186305474741673</v>
      </c>
      <c r="E4186" s="32">
        <f t="shared" si="65"/>
        <v>0.8186305474741673</v>
      </c>
    </row>
    <row r="4187" spans="1:5" x14ac:dyDescent="0.25">
      <c r="A4187" s="17">
        <v>328</v>
      </c>
      <c r="B4187" s="31">
        <v>48075</v>
      </c>
      <c r="C4187" s="32">
        <f>INDEX('Input Data'!$B:$B,A4187)/2+IF(A4187&lt;&gt;A4188,100,0)</f>
        <v>1</v>
      </c>
      <c r="D4187" s="33">
        <f>INDEX('ZCB Curve - Payment Dates'!$D$2:$D$246,MATCH(B4187,'ZCB Curve - Payment Dates'!$A$2:$A$246,0))</f>
        <v>0.7999252334775927</v>
      </c>
      <c r="E4187" s="32">
        <f t="shared" si="65"/>
        <v>0.7999252334775927</v>
      </c>
    </row>
    <row r="4188" spans="1:5" x14ac:dyDescent="0.25">
      <c r="A4188" s="17">
        <v>328</v>
      </c>
      <c r="B4188" s="31">
        <v>48259</v>
      </c>
      <c r="C4188" s="32">
        <f>INDEX('Input Data'!$B:$B,A4188)/2+IF(A4188&lt;&gt;A4189,100,0)</f>
        <v>1</v>
      </c>
      <c r="D4188" s="33">
        <f>INDEX('ZCB Curve - Payment Dates'!$D$2:$D$246,MATCH(B4188,'ZCB Curve - Payment Dates'!$A$2:$A$246,0))</f>
        <v>0.78121887027612602</v>
      </c>
      <c r="E4188" s="32">
        <f t="shared" si="65"/>
        <v>0.78121887027612602</v>
      </c>
    </row>
    <row r="4189" spans="1:5" x14ac:dyDescent="0.25">
      <c r="A4189" s="17">
        <v>328</v>
      </c>
      <c r="B4189" s="31">
        <v>48441</v>
      </c>
      <c r="C4189" s="32">
        <f>INDEX('Input Data'!$B:$B,A4189)/2+IF(A4189&lt;&gt;A4190,100,0)</f>
        <v>1</v>
      </c>
      <c r="D4189" s="33">
        <f>INDEX('ZCB Curve - Payment Dates'!$D$2:$D$246,MATCH(B4189,'ZCB Curve - Payment Dates'!$A$2:$A$246,0))</f>
        <v>0.76298123459017864</v>
      </c>
      <c r="E4189" s="32">
        <f t="shared" si="65"/>
        <v>0.76298123459017864</v>
      </c>
    </row>
    <row r="4190" spans="1:5" x14ac:dyDescent="0.25">
      <c r="A4190" s="17">
        <v>328</v>
      </c>
      <c r="B4190" s="31">
        <v>48625</v>
      </c>
      <c r="C4190" s="32">
        <f>INDEX('Input Data'!$B:$B,A4190)/2+IF(A4190&lt;&gt;A4191,100,0)</f>
        <v>1</v>
      </c>
      <c r="D4190" s="33">
        <f>INDEX('ZCB Curve - Payment Dates'!$D$2:$D$246,MATCH(B4190,'ZCB Curve - Payment Dates'!$A$2:$A$246,0))</f>
        <v>0.74476011611938586</v>
      </c>
      <c r="E4190" s="32">
        <f t="shared" si="65"/>
        <v>0.74476011611938586</v>
      </c>
    </row>
    <row r="4191" spans="1:5" x14ac:dyDescent="0.25">
      <c r="A4191" s="17">
        <v>328</v>
      </c>
      <c r="B4191" s="31">
        <v>48806</v>
      </c>
      <c r="C4191" s="32">
        <f>INDEX('Input Data'!$B:$B,A4191)/2+IF(A4191&lt;&gt;A4192,100,0)</f>
        <v>1</v>
      </c>
      <c r="D4191" s="33">
        <f>INDEX('ZCB Curve - Payment Dates'!$D$2:$D$246,MATCH(B4191,'ZCB Curve - Payment Dates'!$A$2:$A$246,0))</f>
        <v>0.72701302496114584</v>
      </c>
      <c r="E4191" s="32">
        <f t="shared" si="65"/>
        <v>0.72701302496114584</v>
      </c>
    </row>
    <row r="4192" spans="1:5" x14ac:dyDescent="0.25">
      <c r="A4192" s="17">
        <v>328</v>
      </c>
      <c r="B4192" s="31">
        <v>48990</v>
      </c>
      <c r="C4192" s="32">
        <f>INDEX('Input Data'!$B:$B,A4192)/2+IF(A4192&lt;&gt;A4193,100,0)</f>
        <v>1</v>
      </c>
      <c r="D4192" s="33">
        <f>INDEX('ZCB Curve - Payment Dates'!$D$2:$D$246,MATCH(B4192,'ZCB Curve - Payment Dates'!$A$2:$A$246,0))</f>
        <v>0.70912647031380449</v>
      </c>
      <c r="E4192" s="32">
        <f t="shared" si="65"/>
        <v>0.70912647031380449</v>
      </c>
    </row>
    <row r="4193" spans="1:5" x14ac:dyDescent="0.25">
      <c r="A4193" s="17">
        <v>328</v>
      </c>
      <c r="B4193" s="31">
        <v>49171</v>
      </c>
      <c r="C4193" s="32">
        <f>INDEX('Input Data'!$B:$B,A4193)/2+IF(A4193&lt;&gt;A4194,100,0)</f>
        <v>1</v>
      </c>
      <c r="D4193" s="33">
        <f>INDEX('ZCB Curve - Payment Dates'!$D$2:$D$246,MATCH(B4193,'ZCB Curve - Payment Dates'!$A$2:$A$246,0))</f>
        <v>0.6916661505723215</v>
      </c>
      <c r="E4193" s="32">
        <f t="shared" si="65"/>
        <v>0.6916661505723215</v>
      </c>
    </row>
    <row r="4194" spans="1:5" x14ac:dyDescent="0.25">
      <c r="A4194" s="17">
        <v>328</v>
      </c>
      <c r="B4194" s="31">
        <v>49355</v>
      </c>
      <c r="C4194" s="32">
        <f>INDEX('Input Data'!$B:$B,A4194)/2+IF(A4194&lt;&gt;A4195,100,0)</f>
        <v>1</v>
      </c>
      <c r="D4194" s="33">
        <f>INDEX('ZCB Curve - Payment Dates'!$D$2:$D$246,MATCH(B4194,'ZCB Curve - Payment Dates'!$A$2:$A$246,0))</f>
        <v>0.674047377898778</v>
      </c>
      <c r="E4194" s="32">
        <f t="shared" si="65"/>
        <v>0.674047377898778</v>
      </c>
    </row>
    <row r="4195" spans="1:5" x14ac:dyDescent="0.25">
      <c r="A4195" s="17">
        <v>328</v>
      </c>
      <c r="B4195" s="31">
        <v>49536</v>
      </c>
      <c r="C4195" s="32">
        <f>INDEX('Input Data'!$B:$B,A4195)/2+IF(A4195&lt;&gt;A4196,100,0)</f>
        <v>1</v>
      </c>
      <c r="D4195" s="33">
        <f>INDEX('ZCB Curve - Payment Dates'!$D$2:$D$246,MATCH(B4195,'ZCB Curve - Payment Dates'!$A$2:$A$246,0))</f>
        <v>0.65684432300638129</v>
      </c>
      <c r="E4195" s="32">
        <f t="shared" si="65"/>
        <v>0.65684432300638129</v>
      </c>
    </row>
    <row r="4196" spans="1:5" x14ac:dyDescent="0.25">
      <c r="A4196" s="17">
        <v>328</v>
      </c>
      <c r="B4196" s="31">
        <v>49720</v>
      </c>
      <c r="C4196" s="32">
        <f>INDEX('Input Data'!$B:$B,A4196)/2+IF(A4196&lt;&gt;A4197,100,0)</f>
        <v>1</v>
      </c>
      <c r="D4196" s="33">
        <f>INDEX('ZCB Curve - Payment Dates'!$D$2:$D$246,MATCH(B4196,'ZCB Curve - Payment Dates'!$A$2:$A$246,0))</f>
        <v>0.63949604524993764</v>
      </c>
      <c r="E4196" s="32">
        <f t="shared" si="65"/>
        <v>0.63949604524993764</v>
      </c>
    </row>
    <row r="4197" spans="1:5" x14ac:dyDescent="0.25">
      <c r="A4197" s="17">
        <v>328</v>
      </c>
      <c r="B4197" s="31">
        <v>49902</v>
      </c>
      <c r="C4197" s="32">
        <f>INDEX('Input Data'!$B:$B,A4197)/2+IF(A4197&lt;&gt;A4198,100,0)</f>
        <v>1</v>
      </c>
      <c r="D4197" s="33">
        <f>INDEX('ZCB Curve - Payment Dates'!$D$2:$D$246,MATCH(B4197,'ZCB Curve - Payment Dates'!$A$2:$A$246,0))</f>
        <v>0.62248862376822711</v>
      </c>
      <c r="E4197" s="32">
        <f t="shared" si="65"/>
        <v>0.62248862376822711</v>
      </c>
    </row>
    <row r="4198" spans="1:5" x14ac:dyDescent="0.25">
      <c r="A4198" s="17">
        <v>328</v>
      </c>
      <c r="B4198" s="31">
        <v>50086</v>
      </c>
      <c r="C4198" s="32">
        <f>INDEX('Input Data'!$B:$B,A4198)/2+IF(A4198&lt;&gt;A4199,100,0)</f>
        <v>1</v>
      </c>
      <c r="D4198" s="33">
        <f>INDEX('ZCB Curve - Payment Dates'!$D$2:$D$246,MATCH(B4198,'ZCB Curve - Payment Dates'!$A$2:$A$246,0))</f>
        <v>0.60546490876014969</v>
      </c>
      <c r="E4198" s="32">
        <f t="shared" si="65"/>
        <v>0.60546490876014969</v>
      </c>
    </row>
    <row r="4199" spans="1:5" x14ac:dyDescent="0.25">
      <c r="A4199" s="17">
        <v>328</v>
      </c>
      <c r="B4199" s="31">
        <v>50267</v>
      </c>
      <c r="C4199" s="32">
        <f>INDEX('Input Data'!$B:$B,A4199)/2+IF(A4199&lt;&gt;A4200,100,0)</f>
        <v>1</v>
      </c>
      <c r="D4199" s="33">
        <f>INDEX('ZCB Curve - Payment Dates'!$D$2:$D$246,MATCH(B4199,'ZCB Curve - Payment Dates'!$A$2:$A$246,0))</f>
        <v>0.58890683803346977</v>
      </c>
      <c r="E4199" s="32">
        <f t="shared" si="65"/>
        <v>0.58890683803346977</v>
      </c>
    </row>
    <row r="4200" spans="1:5" x14ac:dyDescent="0.25">
      <c r="A4200" s="17">
        <v>328</v>
      </c>
      <c r="B4200" s="31">
        <v>50451</v>
      </c>
      <c r="C4200" s="32">
        <f>INDEX('Input Data'!$B:$B,A4200)/2+IF(A4200&lt;&gt;A4201,100,0)</f>
        <v>1</v>
      </c>
      <c r="D4200" s="33">
        <f>INDEX('ZCB Curve - Payment Dates'!$D$2:$D$246,MATCH(B4200,'ZCB Curve - Payment Dates'!$A$2:$A$246,0))</f>
        <v>0.57228983695479263</v>
      </c>
      <c r="E4200" s="32">
        <f t="shared" si="65"/>
        <v>0.57228983695479263</v>
      </c>
    </row>
    <row r="4201" spans="1:5" x14ac:dyDescent="0.25">
      <c r="A4201" s="17">
        <v>328</v>
      </c>
      <c r="B4201" s="31">
        <v>50632</v>
      </c>
      <c r="C4201" s="32">
        <f>INDEX('Input Data'!$B:$B,A4201)/2+IF(A4201&lt;&gt;A4202,100,0)</f>
        <v>1</v>
      </c>
      <c r="D4201" s="33">
        <f>INDEX('ZCB Curve - Payment Dates'!$D$2:$D$246,MATCH(B4201,'ZCB Curve - Payment Dates'!$A$2:$A$246,0))</f>
        <v>0.55617795699202288</v>
      </c>
      <c r="E4201" s="32">
        <f t="shared" si="65"/>
        <v>0.55617795699202288</v>
      </c>
    </row>
    <row r="4202" spans="1:5" x14ac:dyDescent="0.25">
      <c r="A4202" s="17">
        <v>328</v>
      </c>
      <c r="B4202" s="31">
        <v>50816</v>
      </c>
      <c r="C4202" s="32">
        <f>INDEX('Input Data'!$B:$B,A4202)/2+IF(A4202&lt;&gt;A4203,100,0)</f>
        <v>1</v>
      </c>
      <c r="D4202" s="33">
        <f>INDEX('ZCB Curve - Payment Dates'!$D$2:$D$246,MATCH(B4202,'ZCB Curve - Payment Dates'!$A$2:$A$246,0))</f>
        <v>0.54006240951211237</v>
      </c>
      <c r="E4202" s="32">
        <f t="shared" si="65"/>
        <v>0.54006240951211237</v>
      </c>
    </row>
    <row r="4203" spans="1:5" x14ac:dyDescent="0.25">
      <c r="A4203" s="17">
        <v>328</v>
      </c>
      <c r="B4203" s="31">
        <v>50997</v>
      </c>
      <c r="C4203" s="32">
        <f>INDEX('Input Data'!$B:$B,A4203)/2+IF(A4203&lt;&gt;A4204,100,0)</f>
        <v>1</v>
      </c>
      <c r="D4203" s="33">
        <f>INDEX('ZCB Curve - Payment Dates'!$D$2:$D$246,MATCH(B4203,'ZCB Curve - Payment Dates'!$A$2:$A$246,0))</f>
        <v>0.52449040173194583</v>
      </c>
      <c r="E4203" s="32">
        <f t="shared" si="65"/>
        <v>0.52449040173194583</v>
      </c>
    </row>
    <row r="4204" spans="1:5" x14ac:dyDescent="0.25">
      <c r="A4204" s="17">
        <v>328</v>
      </c>
      <c r="B4204" s="31">
        <v>51181</v>
      </c>
      <c r="C4204" s="32">
        <f>INDEX('Input Data'!$B:$B,A4204)/2+IF(A4204&lt;&gt;A4205,100,0)</f>
        <v>1</v>
      </c>
      <c r="D4204" s="33">
        <f>INDEX('ZCB Curve - Payment Dates'!$D$2:$D$246,MATCH(B4204,'ZCB Curve - Payment Dates'!$A$2:$A$246,0))</f>
        <v>0.5089691698468306</v>
      </c>
      <c r="E4204" s="32">
        <f t="shared" si="65"/>
        <v>0.5089691698468306</v>
      </c>
    </row>
    <row r="4205" spans="1:5" x14ac:dyDescent="0.25">
      <c r="A4205" s="17">
        <v>328</v>
      </c>
      <c r="B4205" s="31">
        <v>51363</v>
      </c>
      <c r="C4205" s="32">
        <f>INDEX('Input Data'!$B:$B,A4205)/2+IF(A4205&lt;&gt;A4206,100,0)</f>
        <v>1</v>
      </c>
      <c r="D4205" s="33">
        <f>INDEX('ZCB Curve - Payment Dates'!$D$2:$D$246,MATCH(B4205,'ZCB Curve - Payment Dates'!$A$2:$A$246,0))</f>
        <v>0.49394036022330806</v>
      </c>
      <c r="E4205" s="32">
        <f t="shared" si="65"/>
        <v>0.49394036022330806</v>
      </c>
    </row>
    <row r="4206" spans="1:5" x14ac:dyDescent="0.25">
      <c r="A4206" s="17">
        <v>328</v>
      </c>
      <c r="B4206" s="31">
        <v>51547</v>
      </c>
      <c r="C4206" s="32">
        <f>INDEX('Input Data'!$B:$B,A4206)/2+IF(A4206&lt;&gt;A4207,100,0)</f>
        <v>1</v>
      </c>
      <c r="D4206" s="33">
        <f>INDEX('ZCB Curve - Payment Dates'!$D$2:$D$246,MATCH(B4206,'ZCB Curve - Payment Dates'!$A$2:$A$246,0))</f>
        <v>0.47909718957588998</v>
      </c>
      <c r="E4206" s="32">
        <f t="shared" si="65"/>
        <v>0.47909718957588998</v>
      </c>
    </row>
    <row r="4207" spans="1:5" x14ac:dyDescent="0.25">
      <c r="A4207" s="17">
        <v>328</v>
      </c>
      <c r="B4207" s="31">
        <v>51728</v>
      </c>
      <c r="C4207" s="32">
        <f>INDEX('Input Data'!$B:$B,A4207)/2+IF(A4207&lt;&gt;A4208,100,0)</f>
        <v>1</v>
      </c>
      <c r="D4207" s="33">
        <f>INDEX('ZCB Curve - Payment Dates'!$D$2:$D$246,MATCH(B4207,'ZCB Curve - Payment Dates'!$A$2:$A$246,0))</f>
        <v>0.46485329459616059</v>
      </c>
      <c r="E4207" s="32">
        <f t="shared" si="65"/>
        <v>0.46485329459616059</v>
      </c>
    </row>
    <row r="4208" spans="1:5" x14ac:dyDescent="0.25">
      <c r="A4208" s="17">
        <v>328</v>
      </c>
      <c r="B4208" s="31">
        <v>51912</v>
      </c>
      <c r="C4208" s="32">
        <f>INDEX('Input Data'!$B:$B,A4208)/2+IF(A4208&lt;&gt;A4209,100,0)</f>
        <v>1</v>
      </c>
      <c r="D4208" s="33">
        <f>INDEX('ZCB Curve - Payment Dates'!$D$2:$D$246,MATCH(B4208,'ZCB Curve - Payment Dates'!$A$2:$A$246,0))</f>
        <v>0.45075168915212815</v>
      </c>
      <c r="E4208" s="32">
        <f t="shared" si="65"/>
        <v>0.45075168915212815</v>
      </c>
    </row>
    <row r="4209" spans="1:5" x14ac:dyDescent="0.25">
      <c r="A4209" s="17">
        <v>328</v>
      </c>
      <c r="B4209" s="31">
        <v>52093</v>
      </c>
      <c r="C4209" s="32">
        <f>INDEX('Input Data'!$B:$B,A4209)/2+IF(A4209&lt;&gt;A4210,100,0)</f>
        <v>1</v>
      </c>
      <c r="D4209" s="33">
        <f>INDEX('ZCB Curve - Payment Dates'!$D$2:$D$246,MATCH(B4209,'ZCB Curve - Payment Dates'!$A$2:$A$246,0))</f>
        <v>0.43726259018094221</v>
      </c>
      <c r="E4209" s="32">
        <f t="shared" si="65"/>
        <v>0.43726259018094221</v>
      </c>
    </row>
    <row r="4210" spans="1:5" x14ac:dyDescent="0.25">
      <c r="A4210" s="17">
        <v>328</v>
      </c>
      <c r="B4210" s="31">
        <v>52277</v>
      </c>
      <c r="C4210" s="32">
        <f>INDEX('Input Data'!$B:$B,A4210)/2+IF(A4210&lt;&gt;A4211,100,0)</f>
        <v>1</v>
      </c>
      <c r="D4210" s="33">
        <f>INDEX('ZCB Curve - Payment Dates'!$D$2:$D$246,MATCH(B4210,'ZCB Curve - Payment Dates'!$A$2:$A$246,0))</f>
        <v>0.4239492285351204</v>
      </c>
      <c r="E4210" s="32">
        <f t="shared" si="65"/>
        <v>0.4239492285351204</v>
      </c>
    </row>
    <row r="4211" spans="1:5" x14ac:dyDescent="0.25">
      <c r="A4211" s="17">
        <v>328</v>
      </c>
      <c r="B4211" s="31">
        <v>52458</v>
      </c>
      <c r="C4211" s="32">
        <f>INDEX('Input Data'!$B:$B,A4211)/2+IF(A4211&lt;&gt;A4212,100,0)</f>
        <v>1</v>
      </c>
      <c r="D4211" s="33">
        <f>INDEX('ZCB Curve - Payment Dates'!$D$2:$D$246,MATCH(B4211,'ZCB Curve - Payment Dates'!$A$2:$A$246,0))</f>
        <v>0.4112516019468152</v>
      </c>
      <c r="E4211" s="32">
        <f t="shared" si="65"/>
        <v>0.4112516019468152</v>
      </c>
    </row>
    <row r="4212" spans="1:5" x14ac:dyDescent="0.25">
      <c r="A4212" s="17">
        <v>328</v>
      </c>
      <c r="B4212" s="31">
        <v>52642</v>
      </c>
      <c r="C4212" s="32">
        <f>INDEX('Input Data'!$B:$B,A4212)/2+IF(A4212&lt;&gt;A4213,100,0)</f>
        <v>1</v>
      </c>
      <c r="D4212" s="33">
        <f>INDEX('ZCB Curve - Payment Dates'!$D$2:$D$246,MATCH(B4212,'ZCB Curve - Payment Dates'!$A$2:$A$246,0))</f>
        <v>0.39875459879352759</v>
      </c>
      <c r="E4212" s="32">
        <f t="shared" si="65"/>
        <v>0.39875459879352759</v>
      </c>
    </row>
    <row r="4213" spans="1:5" x14ac:dyDescent="0.25">
      <c r="A4213" s="17">
        <v>328</v>
      </c>
      <c r="B4213" s="31">
        <v>52824</v>
      </c>
      <c r="C4213" s="32">
        <f>INDEX('Input Data'!$B:$B,A4213)/2+IF(A4213&lt;&gt;A4214,100,0)</f>
        <v>1</v>
      </c>
      <c r="D4213" s="33">
        <f>INDEX('ZCB Curve - Payment Dates'!$D$2:$D$246,MATCH(B4213,'ZCB Curve - Payment Dates'!$A$2:$A$246,0))</f>
        <v>0.38680384560622083</v>
      </c>
      <c r="E4213" s="32">
        <f t="shared" si="65"/>
        <v>0.38680384560622083</v>
      </c>
    </row>
    <row r="4214" spans="1:5" x14ac:dyDescent="0.25">
      <c r="A4214" s="17">
        <v>328</v>
      </c>
      <c r="B4214" s="31">
        <v>53008</v>
      </c>
      <c r="C4214" s="32">
        <f>INDEX('Input Data'!$B:$B,A4214)/2+IF(A4214&lt;&gt;A4215,100,0)</f>
        <v>1</v>
      </c>
      <c r="D4214" s="33">
        <f>INDEX('ZCB Curve - Payment Dates'!$D$2:$D$246,MATCH(B4214,'ZCB Curve - Payment Dates'!$A$2:$A$246,0))</f>
        <v>0.37513648791915083</v>
      </c>
      <c r="E4214" s="32">
        <f t="shared" si="65"/>
        <v>0.37513648791915083</v>
      </c>
    </row>
    <row r="4215" spans="1:5" x14ac:dyDescent="0.25">
      <c r="A4215" s="17">
        <v>328</v>
      </c>
      <c r="B4215" s="31">
        <v>53189</v>
      </c>
      <c r="C4215" s="32">
        <f>INDEX('Input Data'!$B:$B,A4215)/2+IF(A4215&lt;&gt;A4216,100,0)</f>
        <v>1</v>
      </c>
      <c r="D4215" s="33">
        <f>INDEX('ZCB Curve - Payment Dates'!$D$2:$D$246,MATCH(B4215,'ZCB Curve - Payment Dates'!$A$2:$A$246,0))</f>
        <v>0.36406533257851953</v>
      </c>
      <c r="E4215" s="32">
        <f t="shared" si="65"/>
        <v>0.36406533257851953</v>
      </c>
    </row>
    <row r="4216" spans="1:5" x14ac:dyDescent="0.25">
      <c r="A4216" s="17">
        <v>328</v>
      </c>
      <c r="B4216" s="31">
        <v>53373</v>
      </c>
      <c r="C4216" s="32">
        <f>INDEX('Input Data'!$B:$B,A4216)/2+IF(A4216&lt;&gt;A4217,100,0)</f>
        <v>1</v>
      </c>
      <c r="D4216" s="33">
        <f>INDEX('ZCB Curve - Payment Dates'!$D$2:$D$246,MATCH(B4216,'ZCB Curve - Payment Dates'!$A$2:$A$246,0))</f>
        <v>0.35322166892031259</v>
      </c>
      <c r="E4216" s="32">
        <f t="shared" si="65"/>
        <v>0.35322166892031259</v>
      </c>
    </row>
    <row r="4217" spans="1:5" x14ac:dyDescent="0.25">
      <c r="A4217" s="17">
        <v>328</v>
      </c>
      <c r="B4217" s="31">
        <v>53554</v>
      </c>
      <c r="C4217" s="32">
        <f>INDEX('Input Data'!$B:$B,A4217)/2+IF(A4217&lt;&gt;A4218,100,0)</f>
        <v>1</v>
      </c>
      <c r="D4217" s="33">
        <f>INDEX('ZCB Curve - Payment Dates'!$D$2:$D$246,MATCH(B4217,'ZCB Curve - Payment Dates'!$A$2:$A$246,0))</f>
        <v>0.34295436226619208</v>
      </c>
      <c r="E4217" s="32">
        <f t="shared" si="65"/>
        <v>0.34295436226619208</v>
      </c>
    </row>
    <row r="4218" spans="1:5" x14ac:dyDescent="0.25">
      <c r="A4218" s="17">
        <v>328</v>
      </c>
      <c r="B4218" s="31">
        <v>53738</v>
      </c>
      <c r="C4218" s="32">
        <f>INDEX('Input Data'!$B:$B,A4218)/2+IF(A4218&lt;&gt;A4219,100,0)</f>
        <v>1</v>
      </c>
      <c r="D4218" s="33">
        <f>INDEX('ZCB Curve - Payment Dates'!$D$2:$D$246,MATCH(B4218,'ZCB Curve - Payment Dates'!$A$2:$A$246,0))</f>
        <v>0.33291860450360972</v>
      </c>
      <c r="E4218" s="32">
        <f t="shared" si="65"/>
        <v>0.33291860450360972</v>
      </c>
    </row>
    <row r="4219" spans="1:5" x14ac:dyDescent="0.25">
      <c r="A4219" s="17">
        <v>328</v>
      </c>
      <c r="B4219" s="31">
        <v>53919</v>
      </c>
      <c r="C4219" s="32">
        <f>INDEX('Input Data'!$B:$B,A4219)/2+IF(A4219&lt;&gt;A4220,100,0)</f>
        <v>1</v>
      </c>
      <c r="D4219" s="33">
        <f>INDEX('ZCB Curve - Payment Dates'!$D$2:$D$246,MATCH(B4219,'ZCB Curve - Payment Dates'!$A$2:$A$246,0))</f>
        <v>0.32343468195091313</v>
      </c>
      <c r="E4219" s="32">
        <f t="shared" si="65"/>
        <v>0.32343468195091313</v>
      </c>
    </row>
    <row r="4220" spans="1:5" x14ac:dyDescent="0.25">
      <c r="A4220" s="17">
        <v>328</v>
      </c>
      <c r="B4220" s="31">
        <v>54103</v>
      </c>
      <c r="C4220" s="32">
        <f>INDEX('Input Data'!$B:$B,A4220)/2+IF(A4220&lt;&gt;A4221,100,0)</f>
        <v>1</v>
      </c>
      <c r="D4220" s="33">
        <f>INDEX('ZCB Curve - Payment Dates'!$D$2:$D$246,MATCH(B4220,'ZCB Curve - Payment Dates'!$A$2:$A$246,0))</f>
        <v>0.31418167147949361</v>
      </c>
      <c r="E4220" s="32">
        <f t="shared" si="65"/>
        <v>0.31418167147949361</v>
      </c>
    </row>
    <row r="4221" spans="1:5" x14ac:dyDescent="0.25">
      <c r="A4221" s="17">
        <v>328</v>
      </c>
      <c r="B4221" s="31">
        <v>54285</v>
      </c>
      <c r="C4221" s="32">
        <f>INDEX('Input Data'!$B:$B,A4221)/2+IF(A4221&lt;&gt;A4222,100,0)</f>
        <v>1</v>
      </c>
      <c r="D4221" s="33">
        <f>INDEX('ZCB Curve - Payment Dates'!$D$2:$D$246,MATCH(B4221,'ZCB Curve - Payment Dates'!$A$2:$A$246,0))</f>
        <v>0.30540618878290843</v>
      </c>
      <c r="E4221" s="32">
        <f t="shared" si="65"/>
        <v>0.30540618878290843</v>
      </c>
    </row>
    <row r="4222" spans="1:5" x14ac:dyDescent="0.25">
      <c r="A4222" s="17">
        <v>328</v>
      </c>
      <c r="B4222" s="31">
        <v>54469</v>
      </c>
      <c r="C4222" s="32">
        <f>INDEX('Input Data'!$B:$B,A4222)/2+IF(A4222&lt;&gt;A4223,100,0)</f>
        <v>1</v>
      </c>
      <c r="D4222" s="33">
        <f>INDEX('ZCB Curve - Payment Dates'!$D$2:$D$246,MATCH(B4222,'ZCB Curve - Payment Dates'!$A$2:$A$246,0))</f>
        <v>0.29690423521941833</v>
      </c>
      <c r="E4222" s="32">
        <f t="shared" si="65"/>
        <v>0.29690423521941833</v>
      </c>
    </row>
    <row r="4223" spans="1:5" x14ac:dyDescent="0.25">
      <c r="A4223" s="17">
        <v>328</v>
      </c>
      <c r="B4223" s="31">
        <v>54650</v>
      </c>
      <c r="C4223" s="32">
        <f>INDEX('Input Data'!$B:$B,A4223)/2+IF(A4223&lt;&gt;A4224,100,0)</f>
        <v>1</v>
      </c>
      <c r="D4223" s="33">
        <f>INDEX('ZCB Curve - Payment Dates'!$D$2:$D$246,MATCH(B4223,'ZCB Curve - Payment Dates'!$A$2:$A$246,0))</f>
        <v>0.2888997564491238</v>
      </c>
      <c r="E4223" s="32">
        <f t="shared" si="65"/>
        <v>0.2888997564491238</v>
      </c>
    </row>
    <row r="4224" spans="1:5" x14ac:dyDescent="0.25">
      <c r="A4224" s="17">
        <v>328</v>
      </c>
      <c r="B4224" s="31">
        <v>54834</v>
      </c>
      <c r="C4224" s="32">
        <f>INDEX('Input Data'!$B:$B,A4224)/2+IF(A4224&lt;&gt;A4225,100,0)</f>
        <v>101</v>
      </c>
      <c r="D4224" s="33">
        <f>INDEX('ZCB Curve - Payment Dates'!$D$2:$D$246,MATCH(B4224,'ZCB Curve - Payment Dates'!$A$2:$A$246,0))</f>
        <v>0.28111189964037164</v>
      </c>
      <c r="E4224" s="32">
        <f t="shared" si="65"/>
        <v>28.392301863677535</v>
      </c>
    </row>
    <row r="4225" spans="1:5" x14ac:dyDescent="0.25">
      <c r="A4225" s="17">
        <v>329</v>
      </c>
      <c r="B4225" s="31">
        <v>46341</v>
      </c>
      <c r="C4225" s="32">
        <f>INDEX('Input Data'!$B:$B,A4225)/2+IF(A4225&lt;&gt;A4226,100,0)</f>
        <v>0.625</v>
      </c>
      <c r="D4225" s="33">
        <f>INDEX('ZCB Curve - Payment Dates'!$D$2:$D$246,MATCH(B4225,'ZCB Curve - Payment Dates'!$A$2:$A$246,0))</f>
        <v>0.99245367292309439</v>
      </c>
      <c r="E4225" s="32">
        <f t="shared" si="65"/>
        <v>0.62028354557693399</v>
      </c>
    </row>
    <row r="4226" spans="1:5" x14ac:dyDescent="0.25">
      <c r="A4226" s="17">
        <v>329</v>
      </c>
      <c r="B4226" s="31">
        <v>46522</v>
      </c>
      <c r="C4226" s="32">
        <f>INDEX('Input Data'!$B:$B,A4226)/2+IF(A4226&lt;&gt;A4227,100,0)</f>
        <v>0.625</v>
      </c>
      <c r="D4226" s="33">
        <f>INDEX('ZCB Curve - Payment Dates'!$D$2:$D$246,MATCH(B4226,'ZCB Curve - Payment Dates'!$A$2:$A$246,0))</f>
        <v>0.97242179559611874</v>
      </c>
      <c r="E4226" s="32">
        <f t="shared" ref="E4226:E4289" si="66">C4226*D4226</f>
        <v>0.60776362224757419</v>
      </c>
    </row>
    <row r="4227" spans="1:5" x14ac:dyDescent="0.25">
      <c r="A4227" s="17">
        <v>329</v>
      </c>
      <c r="B4227" s="31">
        <v>46706</v>
      </c>
      <c r="C4227" s="32">
        <f>INDEX('Input Data'!$B:$B,A4227)/2+IF(A4227&lt;&gt;A4228,100,0)</f>
        <v>0.625</v>
      </c>
      <c r="D4227" s="33">
        <f>INDEX('ZCB Curve - Payment Dates'!$D$2:$D$246,MATCH(B4227,'ZCB Curve - Payment Dates'!$A$2:$A$246,0))</f>
        <v>0.95121018311627348</v>
      </c>
      <c r="E4227" s="32">
        <f t="shared" si="66"/>
        <v>0.59450636444767091</v>
      </c>
    </row>
    <row r="4228" spans="1:5" x14ac:dyDescent="0.25">
      <c r="A4228" s="17">
        <v>329</v>
      </c>
      <c r="B4228" s="31">
        <v>46888</v>
      </c>
      <c r="C4228" s="32">
        <f>INDEX('Input Data'!$B:$B,A4228)/2+IF(A4228&lt;&gt;A4229,100,0)</f>
        <v>0.625</v>
      </c>
      <c r="D4228" s="33">
        <f>INDEX('ZCB Curve - Payment Dates'!$D$2:$D$246,MATCH(B4228,'ZCB Curve - Payment Dates'!$A$2:$A$246,0))</f>
        <v>0.93000025435083566</v>
      </c>
      <c r="E4228" s="32">
        <f t="shared" si="66"/>
        <v>0.58125015896927223</v>
      </c>
    </row>
    <row r="4229" spans="1:5" x14ac:dyDescent="0.25">
      <c r="A4229" s="17">
        <v>329</v>
      </c>
      <c r="B4229" s="31">
        <v>47072</v>
      </c>
      <c r="C4229" s="32">
        <f>INDEX('Input Data'!$B:$B,A4229)/2+IF(A4229&lt;&gt;A4230,100,0)</f>
        <v>0.625</v>
      </c>
      <c r="D4229" s="33">
        <f>INDEX('ZCB Curve - Payment Dates'!$D$2:$D$246,MATCH(B4229,'ZCB Curve - Payment Dates'!$A$2:$A$246,0))</f>
        <v>0.90870125167038918</v>
      </c>
      <c r="E4229" s="32">
        <f t="shared" si="66"/>
        <v>0.56793828229399324</v>
      </c>
    </row>
    <row r="4230" spans="1:5" x14ac:dyDescent="0.25">
      <c r="A4230" s="17">
        <v>329</v>
      </c>
      <c r="B4230" s="31">
        <v>47253</v>
      </c>
      <c r="C4230" s="32">
        <f>INDEX('Input Data'!$B:$B,A4230)/2+IF(A4230&lt;&gt;A4231,100,0)</f>
        <v>0.625</v>
      </c>
      <c r="D4230" s="33">
        <f>INDEX('ZCB Curve - Payment Dates'!$D$2:$D$246,MATCH(B4230,'ZCB Curve - Payment Dates'!$A$2:$A$246,0))</f>
        <v>0.88809325063638844</v>
      </c>
      <c r="E4230" s="32">
        <f t="shared" si="66"/>
        <v>0.55505828164774274</v>
      </c>
    </row>
    <row r="4231" spans="1:5" x14ac:dyDescent="0.25">
      <c r="A4231" s="17">
        <v>329</v>
      </c>
      <c r="B4231" s="31">
        <v>47437</v>
      </c>
      <c r="C4231" s="32">
        <f>INDEX('Input Data'!$B:$B,A4231)/2+IF(A4231&lt;&gt;A4232,100,0)</f>
        <v>0.625</v>
      </c>
      <c r="D4231" s="33">
        <f>INDEX('ZCB Curve - Payment Dates'!$D$2:$D$246,MATCH(B4231,'ZCB Curve - Payment Dates'!$A$2:$A$246,0))</f>
        <v>0.86758824089536279</v>
      </c>
      <c r="E4231" s="32">
        <f t="shared" si="66"/>
        <v>0.54224265055960175</v>
      </c>
    </row>
    <row r="4232" spans="1:5" x14ac:dyDescent="0.25">
      <c r="A4232" s="17">
        <v>329</v>
      </c>
      <c r="B4232" s="31">
        <v>47618</v>
      </c>
      <c r="C4232" s="32">
        <f>INDEX('Input Data'!$B:$B,A4232)/2+IF(A4232&lt;&gt;A4233,100,0)</f>
        <v>0.625</v>
      </c>
      <c r="D4232" s="33">
        <f>INDEX('ZCB Curve - Payment Dates'!$D$2:$D$246,MATCH(B4232,'ZCB Curve - Payment Dates'!$A$2:$A$246,0))</f>
        <v>0.84787416911783064</v>
      </c>
      <c r="E4232" s="32">
        <f t="shared" si="66"/>
        <v>0.52992135569864418</v>
      </c>
    </row>
    <row r="4233" spans="1:5" x14ac:dyDescent="0.25">
      <c r="A4233" s="17">
        <v>329</v>
      </c>
      <c r="B4233" s="31">
        <v>47802</v>
      </c>
      <c r="C4233" s="32">
        <f>INDEX('Input Data'!$B:$B,A4233)/2+IF(A4233&lt;&gt;A4234,100,0)</f>
        <v>0.625</v>
      </c>
      <c r="D4233" s="33">
        <f>INDEX('ZCB Curve - Payment Dates'!$D$2:$D$246,MATCH(B4233,'ZCB Curve - Payment Dates'!$A$2:$A$246,0))</f>
        <v>0.82827715028796722</v>
      </c>
      <c r="E4233" s="32">
        <f t="shared" si="66"/>
        <v>0.51767321892997953</v>
      </c>
    </row>
    <row r="4234" spans="1:5" x14ac:dyDescent="0.25">
      <c r="A4234" s="17">
        <v>329</v>
      </c>
      <c r="B4234" s="31">
        <v>47983</v>
      </c>
      <c r="C4234" s="32">
        <f>INDEX('Input Data'!$B:$B,A4234)/2+IF(A4234&lt;&gt;A4235,100,0)</f>
        <v>0.625</v>
      </c>
      <c r="D4234" s="33">
        <f>INDEX('ZCB Curve - Payment Dates'!$D$2:$D$246,MATCH(B4234,'ZCB Curve - Payment Dates'!$A$2:$A$246,0))</f>
        <v>0.80939067484273564</v>
      </c>
      <c r="E4234" s="32">
        <f t="shared" si="66"/>
        <v>0.50586917177670976</v>
      </c>
    </row>
    <row r="4235" spans="1:5" x14ac:dyDescent="0.25">
      <c r="A4235" s="17">
        <v>329</v>
      </c>
      <c r="B4235" s="31">
        <v>48167</v>
      </c>
      <c r="C4235" s="32">
        <f>INDEX('Input Data'!$B:$B,A4235)/2+IF(A4235&lt;&gt;A4236,100,0)</f>
        <v>0.625</v>
      </c>
      <c r="D4235" s="33">
        <f>INDEX('ZCB Curve - Payment Dates'!$D$2:$D$246,MATCH(B4235,'ZCB Curve - Payment Dates'!$A$2:$A$246,0))</f>
        <v>0.79053567842581962</v>
      </c>
      <c r="E4235" s="32">
        <f t="shared" si="66"/>
        <v>0.49408479901613728</v>
      </c>
    </row>
    <row r="4236" spans="1:5" x14ac:dyDescent="0.25">
      <c r="A4236" s="17">
        <v>329</v>
      </c>
      <c r="B4236" s="31">
        <v>48349</v>
      </c>
      <c r="C4236" s="32">
        <f>INDEX('Input Data'!$B:$B,A4236)/2+IF(A4236&lt;&gt;A4237,100,0)</f>
        <v>0.625</v>
      </c>
      <c r="D4236" s="33">
        <f>INDEX('ZCB Curve - Payment Dates'!$D$2:$D$246,MATCH(B4236,'ZCB Curve - Payment Dates'!$A$2:$A$246,0))</f>
        <v>0.77217305702007488</v>
      </c>
      <c r="E4236" s="32">
        <f t="shared" si="66"/>
        <v>0.4826081606375468</v>
      </c>
    </row>
    <row r="4237" spans="1:5" x14ac:dyDescent="0.25">
      <c r="A4237" s="17">
        <v>329</v>
      </c>
      <c r="B4237" s="31">
        <v>48533</v>
      </c>
      <c r="C4237" s="32">
        <f>INDEX('Input Data'!$B:$B,A4237)/2+IF(A4237&lt;&gt;A4238,100,0)</f>
        <v>0.625</v>
      </c>
      <c r="D4237" s="33">
        <f>INDEX('ZCB Curve - Payment Dates'!$D$2:$D$246,MATCH(B4237,'ZCB Curve - Payment Dates'!$A$2:$A$246,0))</f>
        <v>0.75384766072076514</v>
      </c>
      <c r="E4237" s="32">
        <f t="shared" si="66"/>
        <v>0.47115478795047822</v>
      </c>
    </row>
    <row r="4238" spans="1:5" x14ac:dyDescent="0.25">
      <c r="A4238" s="17">
        <v>329</v>
      </c>
      <c r="B4238" s="31">
        <v>48714</v>
      </c>
      <c r="C4238" s="32">
        <f>INDEX('Input Data'!$B:$B,A4238)/2+IF(A4238&lt;&gt;A4239,100,0)</f>
        <v>0.625</v>
      </c>
      <c r="D4238" s="33">
        <f>INDEX('ZCB Curve - Payment Dates'!$D$2:$D$246,MATCH(B4238,'ZCB Curve - Payment Dates'!$A$2:$A$246,0))</f>
        <v>0.73601491848746747</v>
      </c>
      <c r="E4238" s="32">
        <f t="shared" si="66"/>
        <v>0.46000932405466716</v>
      </c>
    </row>
    <row r="4239" spans="1:5" x14ac:dyDescent="0.25">
      <c r="A4239" s="17">
        <v>329</v>
      </c>
      <c r="B4239" s="31">
        <v>48898</v>
      </c>
      <c r="C4239" s="32">
        <f>INDEX('Input Data'!$B:$B,A4239)/2+IF(A4239&lt;&gt;A4240,100,0)</f>
        <v>0.625</v>
      </c>
      <c r="D4239" s="33">
        <f>INDEX('ZCB Curve - Payment Dates'!$D$2:$D$246,MATCH(B4239,'ZCB Curve - Payment Dates'!$A$2:$A$246,0))</f>
        <v>0.71805338140354003</v>
      </c>
      <c r="E4239" s="32">
        <f t="shared" si="66"/>
        <v>0.44878336337721253</v>
      </c>
    </row>
    <row r="4240" spans="1:5" x14ac:dyDescent="0.25">
      <c r="A4240" s="17">
        <v>329</v>
      </c>
      <c r="B4240" s="31">
        <v>49079</v>
      </c>
      <c r="C4240" s="32">
        <f>INDEX('Input Data'!$B:$B,A4240)/2+IF(A4240&lt;&gt;A4241,100,0)</f>
        <v>0.625</v>
      </c>
      <c r="D4240" s="33">
        <f>INDEX('ZCB Curve - Payment Dates'!$D$2:$D$246,MATCH(B4240,'ZCB Curve - Payment Dates'!$A$2:$A$246,0))</f>
        <v>0.70052630492471468</v>
      </c>
      <c r="E4240" s="32">
        <f t="shared" si="66"/>
        <v>0.43782894057794669</v>
      </c>
    </row>
    <row r="4241" spans="1:5" x14ac:dyDescent="0.25">
      <c r="A4241" s="17">
        <v>329</v>
      </c>
      <c r="B4241" s="31">
        <v>49263</v>
      </c>
      <c r="C4241" s="32">
        <f>INDEX('Input Data'!$B:$B,A4241)/2+IF(A4241&lt;&gt;A4242,100,0)</f>
        <v>0.625</v>
      </c>
      <c r="D4241" s="33">
        <f>INDEX('ZCB Curve - Payment Dates'!$D$2:$D$246,MATCH(B4241,'ZCB Curve - Payment Dates'!$A$2:$A$246,0))</f>
        <v>0.68284221202539863</v>
      </c>
      <c r="E4241" s="32">
        <f t="shared" si="66"/>
        <v>0.42677638251587413</v>
      </c>
    </row>
    <row r="4242" spans="1:5" x14ac:dyDescent="0.25">
      <c r="A4242" s="17">
        <v>329</v>
      </c>
      <c r="B4242" s="31">
        <v>49444</v>
      </c>
      <c r="C4242" s="32">
        <f>INDEX('Input Data'!$B:$B,A4242)/2+IF(A4242&lt;&gt;A4243,100,0)</f>
        <v>0.625</v>
      </c>
      <c r="D4242" s="33">
        <f>INDEX('ZCB Curve - Payment Dates'!$D$2:$D$246,MATCH(B4242,'ZCB Curve - Payment Dates'!$A$2:$A$246,0))</f>
        <v>0.66557347415228496</v>
      </c>
      <c r="E4242" s="32">
        <f t="shared" si="66"/>
        <v>0.41598342134517807</v>
      </c>
    </row>
    <row r="4243" spans="1:5" x14ac:dyDescent="0.25">
      <c r="A4243" s="17">
        <v>329</v>
      </c>
      <c r="B4243" s="31">
        <v>49628</v>
      </c>
      <c r="C4243" s="32">
        <f>INDEX('Input Data'!$B:$B,A4243)/2+IF(A4243&lt;&gt;A4244,100,0)</f>
        <v>0.625</v>
      </c>
      <c r="D4243" s="33">
        <f>INDEX('ZCB Curve - Payment Dates'!$D$2:$D$246,MATCH(B4243,'ZCB Curve - Payment Dates'!$A$2:$A$246,0))</f>
        <v>0.64815361918127823</v>
      </c>
      <c r="E4243" s="32">
        <f t="shared" si="66"/>
        <v>0.40509601198829892</v>
      </c>
    </row>
    <row r="4244" spans="1:5" x14ac:dyDescent="0.25">
      <c r="A4244" s="17">
        <v>329</v>
      </c>
      <c r="B4244" s="31">
        <v>49810</v>
      </c>
      <c r="C4244" s="32">
        <f>INDEX('Input Data'!$B:$B,A4244)/2+IF(A4244&lt;&gt;A4245,100,0)</f>
        <v>0.625</v>
      </c>
      <c r="D4244" s="33">
        <f>INDEX('ZCB Curve - Payment Dates'!$D$2:$D$246,MATCH(B4244,'ZCB Curve - Payment Dates'!$A$2:$A$246,0))</f>
        <v>0.63106457078577471</v>
      </c>
      <c r="E4244" s="32">
        <f t="shared" si="66"/>
        <v>0.39441535674110917</v>
      </c>
    </row>
    <row r="4245" spans="1:5" x14ac:dyDescent="0.25">
      <c r="A4245" s="17">
        <v>329</v>
      </c>
      <c r="B4245" s="31">
        <v>49994</v>
      </c>
      <c r="C4245" s="32">
        <f>INDEX('Input Data'!$B:$B,A4245)/2+IF(A4245&lt;&gt;A4246,100,0)</f>
        <v>0.625</v>
      </c>
      <c r="D4245" s="33">
        <f>INDEX('ZCB Curve - Payment Dates'!$D$2:$D$246,MATCH(B4245,'ZCB Curve - Payment Dates'!$A$2:$A$246,0))</f>
        <v>0.61395227923184648</v>
      </c>
      <c r="E4245" s="32">
        <f t="shared" si="66"/>
        <v>0.38372017451990403</v>
      </c>
    </row>
    <row r="4246" spans="1:5" x14ac:dyDescent="0.25">
      <c r="A4246" s="17">
        <v>329</v>
      </c>
      <c r="B4246" s="31">
        <v>50175</v>
      </c>
      <c r="C4246" s="32">
        <f>INDEX('Input Data'!$B:$B,A4246)/2+IF(A4246&lt;&gt;A4247,100,0)</f>
        <v>0.625</v>
      </c>
      <c r="D4246" s="33">
        <f>INDEX('ZCB Curve - Payment Dates'!$D$2:$D$246,MATCH(B4246,'ZCB Curve - Payment Dates'!$A$2:$A$246,0))</f>
        <v>0.5972963482314616</v>
      </c>
      <c r="E4246" s="32">
        <f t="shared" si="66"/>
        <v>0.37331021764466349</v>
      </c>
    </row>
    <row r="4247" spans="1:5" x14ac:dyDescent="0.25">
      <c r="A4247" s="17">
        <v>329</v>
      </c>
      <c r="B4247" s="31">
        <v>50359</v>
      </c>
      <c r="C4247" s="32">
        <f>INDEX('Input Data'!$B:$B,A4247)/2+IF(A4247&lt;&gt;A4248,100,0)</f>
        <v>0.625</v>
      </c>
      <c r="D4247" s="33">
        <f>INDEX('ZCB Curve - Payment Dates'!$D$2:$D$246,MATCH(B4247,'ZCB Curve - Payment Dates'!$A$2:$A$246,0))</f>
        <v>0.58056812006155756</v>
      </c>
      <c r="E4247" s="32">
        <f t="shared" si="66"/>
        <v>0.36285507503847347</v>
      </c>
    </row>
    <row r="4248" spans="1:5" x14ac:dyDescent="0.25">
      <c r="A4248" s="17">
        <v>329</v>
      </c>
      <c r="B4248" s="31">
        <v>50540</v>
      </c>
      <c r="C4248" s="32">
        <f>INDEX('Input Data'!$B:$B,A4248)/2+IF(A4248&lt;&gt;A4249,100,0)</f>
        <v>0.625</v>
      </c>
      <c r="D4248" s="33">
        <f>INDEX('ZCB Curve - Payment Dates'!$D$2:$D$246,MATCH(B4248,'ZCB Curve - Payment Dates'!$A$2:$A$246,0))</f>
        <v>0.56433491315969797</v>
      </c>
      <c r="E4248" s="32">
        <f t="shared" si="66"/>
        <v>0.3527093207248112</v>
      </c>
    </row>
    <row r="4249" spans="1:5" x14ac:dyDescent="0.25">
      <c r="A4249" s="17">
        <v>329</v>
      </c>
      <c r="B4249" s="31">
        <v>50724</v>
      </c>
      <c r="C4249" s="32">
        <f>INDEX('Input Data'!$B:$B,A4249)/2+IF(A4249&lt;&gt;A4250,100,0)</f>
        <v>0.625</v>
      </c>
      <c r="D4249" s="33">
        <f>INDEX('ZCB Curve - Payment Dates'!$D$2:$D$246,MATCH(B4249,'ZCB Curve - Payment Dates'!$A$2:$A$246,0))</f>
        <v>0.54808398139057424</v>
      </c>
      <c r="E4249" s="32">
        <f t="shared" si="66"/>
        <v>0.3425524883691089</v>
      </c>
    </row>
    <row r="4250" spans="1:5" x14ac:dyDescent="0.25">
      <c r="A4250" s="17">
        <v>329</v>
      </c>
      <c r="B4250" s="31">
        <v>50905</v>
      </c>
      <c r="C4250" s="32">
        <f>INDEX('Input Data'!$B:$B,A4250)/2+IF(A4250&lt;&gt;A4251,100,0)</f>
        <v>0.625</v>
      </c>
      <c r="D4250" s="33">
        <f>INDEX('ZCB Curve - Payment Dates'!$D$2:$D$246,MATCH(B4250,'ZCB Curve - Payment Dates'!$A$2:$A$246,0))</f>
        <v>0.5323673246083096</v>
      </c>
      <c r="E4250" s="32">
        <f t="shared" si="66"/>
        <v>0.33272957788019353</v>
      </c>
    </row>
    <row r="4251" spans="1:5" x14ac:dyDescent="0.25">
      <c r="A4251" s="17">
        <v>329</v>
      </c>
      <c r="B4251" s="31">
        <v>51089</v>
      </c>
      <c r="C4251" s="32">
        <f>INDEX('Input Data'!$B:$B,A4251)/2+IF(A4251&lt;&gt;A4252,100,0)</f>
        <v>0.625</v>
      </c>
      <c r="D4251" s="33">
        <f>INDEX('ZCB Curve - Payment Dates'!$D$2:$D$246,MATCH(B4251,'ZCB Curve - Payment Dates'!$A$2:$A$246,0))</f>
        <v>0.51668806431098135</v>
      </c>
      <c r="E4251" s="32">
        <f t="shared" si="66"/>
        <v>0.32293004019436333</v>
      </c>
    </row>
    <row r="4252" spans="1:5" x14ac:dyDescent="0.25">
      <c r="A4252" s="17">
        <v>329</v>
      </c>
      <c r="B4252" s="31">
        <v>51271</v>
      </c>
      <c r="C4252" s="32">
        <f>INDEX('Input Data'!$B:$B,A4252)/2+IF(A4252&lt;&gt;A4253,100,0)</f>
        <v>0.625</v>
      </c>
      <c r="D4252" s="33">
        <f>INDEX('ZCB Curve - Payment Dates'!$D$2:$D$246,MATCH(B4252,'ZCB Curve - Payment Dates'!$A$2:$A$246,0))</f>
        <v>0.50149590020417278</v>
      </c>
      <c r="E4252" s="32">
        <f t="shared" si="66"/>
        <v>0.31343493762760799</v>
      </c>
    </row>
    <row r="4253" spans="1:5" x14ac:dyDescent="0.25">
      <c r="A4253" s="17">
        <v>329</v>
      </c>
      <c r="B4253" s="31">
        <v>51455</v>
      </c>
      <c r="C4253" s="32">
        <f>INDEX('Input Data'!$B:$B,A4253)/2+IF(A4253&lt;&gt;A4254,100,0)</f>
        <v>0.625</v>
      </c>
      <c r="D4253" s="33">
        <f>INDEX('ZCB Curve - Payment Dates'!$D$2:$D$246,MATCH(B4253,'ZCB Curve - Payment Dates'!$A$2:$A$246,0))</f>
        <v>0.48647538074270091</v>
      </c>
      <c r="E4253" s="32">
        <f t="shared" si="66"/>
        <v>0.30404711296418807</v>
      </c>
    </row>
    <row r="4254" spans="1:5" x14ac:dyDescent="0.25">
      <c r="A4254" s="17">
        <v>329</v>
      </c>
      <c r="B4254" s="31">
        <v>51636</v>
      </c>
      <c r="C4254" s="32">
        <f>INDEX('Input Data'!$B:$B,A4254)/2+IF(A4254&lt;&gt;A4255,100,0)</f>
        <v>0.625</v>
      </c>
      <c r="D4254" s="33">
        <f>INDEX('ZCB Curve - Payment Dates'!$D$2:$D$246,MATCH(B4254,'ZCB Curve - Payment Dates'!$A$2:$A$246,0))</f>
        <v>0.47204918703719451</v>
      </c>
      <c r="E4254" s="32">
        <f t="shared" si="66"/>
        <v>0.29503074189824657</v>
      </c>
    </row>
    <row r="4255" spans="1:5" x14ac:dyDescent="0.25">
      <c r="A4255" s="17">
        <v>329</v>
      </c>
      <c r="B4255" s="31">
        <v>51820</v>
      </c>
      <c r="C4255" s="32">
        <f>INDEX('Input Data'!$B:$B,A4255)/2+IF(A4255&lt;&gt;A4256,100,0)</f>
        <v>0.625</v>
      </c>
      <c r="D4255" s="33">
        <f>INDEX('ZCB Curve - Payment Dates'!$D$2:$D$246,MATCH(B4255,'ZCB Curve - Payment Dates'!$A$2:$A$246,0))</f>
        <v>0.45775548669345245</v>
      </c>
      <c r="E4255" s="32">
        <f t="shared" si="66"/>
        <v>0.28609717918340777</v>
      </c>
    </row>
    <row r="4256" spans="1:5" x14ac:dyDescent="0.25">
      <c r="A4256" s="17">
        <v>329</v>
      </c>
      <c r="B4256" s="31">
        <v>52001</v>
      </c>
      <c r="C4256" s="32">
        <f>INDEX('Input Data'!$B:$B,A4256)/2+IF(A4256&lt;&gt;A4257,100,0)</f>
        <v>0.625</v>
      </c>
      <c r="D4256" s="33">
        <f>INDEX('ZCB Curve - Payment Dates'!$D$2:$D$246,MATCH(B4256,'ZCB Curve - Payment Dates'!$A$2:$A$246,0))</f>
        <v>0.44407192118484318</v>
      </c>
      <c r="E4256" s="32">
        <f t="shared" si="66"/>
        <v>0.27754495074052699</v>
      </c>
    </row>
    <row r="4257" spans="1:5" x14ac:dyDescent="0.25">
      <c r="A4257" s="17">
        <v>329</v>
      </c>
      <c r="B4257" s="31">
        <v>52185</v>
      </c>
      <c r="C4257" s="32">
        <f>INDEX('Input Data'!$B:$B,A4257)/2+IF(A4257&lt;&gt;A4258,100,0)</f>
        <v>0.625</v>
      </c>
      <c r="D4257" s="33">
        <f>INDEX('ZCB Curve - Payment Dates'!$D$2:$D$246,MATCH(B4257,'ZCB Curve - Payment Dates'!$A$2:$A$246,0))</f>
        <v>0.43055647946672393</v>
      </c>
      <c r="E4257" s="32">
        <f t="shared" si="66"/>
        <v>0.26909779966670244</v>
      </c>
    </row>
    <row r="4258" spans="1:5" x14ac:dyDescent="0.25">
      <c r="A4258" s="17">
        <v>329</v>
      </c>
      <c r="B4258" s="31">
        <v>52366</v>
      </c>
      <c r="C4258" s="32">
        <f>INDEX('Input Data'!$B:$B,A4258)/2+IF(A4258&lt;&gt;A4259,100,0)</f>
        <v>0.625</v>
      </c>
      <c r="D4258" s="33">
        <f>INDEX('ZCB Curve - Payment Dates'!$D$2:$D$246,MATCH(B4258,'ZCB Curve - Payment Dates'!$A$2:$A$246,0))</f>
        <v>0.41765686229470528</v>
      </c>
      <c r="E4258" s="32">
        <f t="shared" si="66"/>
        <v>0.26103553893419079</v>
      </c>
    </row>
    <row r="4259" spans="1:5" x14ac:dyDescent="0.25">
      <c r="A4259" s="17">
        <v>329</v>
      </c>
      <c r="B4259" s="31">
        <v>52550</v>
      </c>
      <c r="C4259" s="32">
        <f>INDEX('Input Data'!$B:$B,A4259)/2+IF(A4259&lt;&gt;A4260,100,0)</f>
        <v>0.625</v>
      </c>
      <c r="D4259" s="33">
        <f>INDEX('ZCB Curve - Payment Dates'!$D$2:$D$246,MATCH(B4259,'ZCB Curve - Payment Dates'!$A$2:$A$246,0))</f>
        <v>0.40495237741553414</v>
      </c>
      <c r="E4259" s="32">
        <f t="shared" si="66"/>
        <v>0.25309523588470884</v>
      </c>
    </row>
    <row r="4260" spans="1:5" x14ac:dyDescent="0.25">
      <c r="A4260" s="17">
        <v>329</v>
      </c>
      <c r="B4260" s="31">
        <v>52732</v>
      </c>
      <c r="C4260" s="32">
        <f>INDEX('Input Data'!$B:$B,A4260)/2+IF(A4260&lt;&gt;A4261,100,0)</f>
        <v>0.625</v>
      </c>
      <c r="D4260" s="33">
        <f>INDEX('ZCB Curve - Payment Dates'!$D$2:$D$246,MATCH(B4260,'ZCB Curve - Payment Dates'!$A$2:$A$246,0))</f>
        <v>0.3927952920896523</v>
      </c>
      <c r="E4260" s="32">
        <f t="shared" si="66"/>
        <v>0.24549705755603268</v>
      </c>
    </row>
    <row r="4261" spans="1:5" x14ac:dyDescent="0.25">
      <c r="A4261" s="17">
        <v>329</v>
      </c>
      <c r="B4261" s="31">
        <v>52916</v>
      </c>
      <c r="C4261" s="32">
        <f>INDEX('Input Data'!$B:$B,A4261)/2+IF(A4261&lt;&gt;A4262,100,0)</f>
        <v>0.625</v>
      </c>
      <c r="D4261" s="33">
        <f>INDEX('ZCB Curve - Payment Dates'!$D$2:$D$246,MATCH(B4261,'ZCB Curve - Payment Dates'!$A$2:$A$246,0))</f>
        <v>0.38091684361752687</v>
      </c>
      <c r="E4261" s="32">
        <f t="shared" si="66"/>
        <v>0.23807302726095431</v>
      </c>
    </row>
    <row r="4262" spans="1:5" x14ac:dyDescent="0.25">
      <c r="A4262" s="17">
        <v>329</v>
      </c>
      <c r="B4262" s="31">
        <v>53097</v>
      </c>
      <c r="C4262" s="32">
        <f>INDEX('Input Data'!$B:$B,A4262)/2+IF(A4262&lt;&gt;A4263,100,0)</f>
        <v>0.625</v>
      </c>
      <c r="D4262" s="33">
        <f>INDEX('ZCB Curve - Payment Dates'!$D$2:$D$246,MATCH(B4262,'ZCB Curve - Payment Dates'!$A$2:$A$246,0))</f>
        <v>0.36964331092783359</v>
      </c>
      <c r="E4262" s="32">
        <f t="shared" si="66"/>
        <v>0.231027069329896</v>
      </c>
    </row>
    <row r="4263" spans="1:5" x14ac:dyDescent="0.25">
      <c r="A4263" s="17">
        <v>329</v>
      </c>
      <c r="B4263" s="31">
        <v>53281</v>
      </c>
      <c r="C4263" s="32">
        <f>INDEX('Input Data'!$B:$B,A4263)/2+IF(A4263&lt;&gt;A4264,100,0)</f>
        <v>0.625</v>
      </c>
      <c r="D4263" s="33">
        <f>INDEX('ZCB Curve - Payment Dates'!$D$2:$D$246,MATCH(B4263,'ZCB Curve - Payment Dates'!$A$2:$A$246,0))</f>
        <v>0.35859090372935404</v>
      </c>
      <c r="E4263" s="32">
        <f t="shared" si="66"/>
        <v>0.22411931483084627</v>
      </c>
    </row>
    <row r="4264" spans="1:5" x14ac:dyDescent="0.25">
      <c r="A4264" s="17">
        <v>329</v>
      </c>
      <c r="B4264" s="31">
        <v>53462</v>
      </c>
      <c r="C4264" s="32">
        <f>INDEX('Input Data'!$B:$B,A4264)/2+IF(A4264&lt;&gt;A4265,100,0)</f>
        <v>0.625</v>
      </c>
      <c r="D4264" s="33">
        <f>INDEX('ZCB Curve - Payment Dates'!$D$2:$D$246,MATCH(B4264,'ZCB Curve - Payment Dates'!$A$2:$A$246,0))</f>
        <v>0.34812465854380154</v>
      </c>
      <c r="E4264" s="32">
        <f t="shared" si="66"/>
        <v>0.21757791158987597</v>
      </c>
    </row>
    <row r="4265" spans="1:5" x14ac:dyDescent="0.25">
      <c r="A4265" s="17">
        <v>329</v>
      </c>
      <c r="B4265" s="31">
        <v>53646</v>
      </c>
      <c r="C4265" s="32">
        <f>INDEX('Input Data'!$B:$B,A4265)/2+IF(A4265&lt;&gt;A4266,100,0)</f>
        <v>0.625</v>
      </c>
      <c r="D4265" s="33">
        <f>INDEX('ZCB Curve - Payment Dates'!$D$2:$D$246,MATCH(B4265,'ZCB Curve - Payment Dates'!$A$2:$A$246,0))</f>
        <v>0.33788528510382887</v>
      </c>
      <c r="E4265" s="32">
        <f t="shared" si="66"/>
        <v>0.21117830318989306</v>
      </c>
    </row>
    <row r="4266" spans="1:5" x14ac:dyDescent="0.25">
      <c r="A4266" s="17">
        <v>329</v>
      </c>
      <c r="B4266" s="31">
        <v>53827</v>
      </c>
      <c r="C4266" s="32">
        <f>INDEX('Input Data'!$B:$B,A4266)/2+IF(A4266&lt;&gt;A4267,100,0)</f>
        <v>0.625</v>
      </c>
      <c r="D4266" s="33">
        <f>INDEX('ZCB Curve - Payment Dates'!$D$2:$D$246,MATCH(B4266,'ZCB Curve - Payment Dates'!$A$2:$A$246,0))</f>
        <v>0.32820827061914198</v>
      </c>
      <c r="E4266" s="32">
        <f t="shared" si="66"/>
        <v>0.20513016913696375</v>
      </c>
    </row>
    <row r="4267" spans="1:5" x14ac:dyDescent="0.25">
      <c r="A4267" s="17">
        <v>329</v>
      </c>
      <c r="B4267" s="31">
        <v>54011</v>
      </c>
      <c r="C4267" s="32">
        <f>INDEX('Input Data'!$B:$B,A4267)/2+IF(A4267&lt;&gt;A4268,100,0)</f>
        <v>0.625</v>
      </c>
      <c r="D4267" s="33">
        <f>INDEX('ZCB Curve - Payment Dates'!$D$2:$D$246,MATCH(B4267,'ZCB Curve - Payment Dates'!$A$2:$A$246,0))</f>
        <v>0.31875888330253388</v>
      </c>
      <c r="E4267" s="32">
        <f t="shared" si="66"/>
        <v>0.19922430206408367</v>
      </c>
    </row>
    <row r="4268" spans="1:5" x14ac:dyDescent="0.25">
      <c r="A4268" s="17">
        <v>329</v>
      </c>
      <c r="B4268" s="31">
        <v>54193</v>
      </c>
      <c r="C4268" s="32">
        <f>INDEX('Input Data'!$B:$B,A4268)/2+IF(A4268&lt;&gt;A4269,100,0)</f>
        <v>0.625</v>
      </c>
      <c r="D4268" s="33">
        <f>INDEX('ZCB Curve - Payment Dates'!$D$2:$D$246,MATCH(B4268,'ZCB Curve - Payment Dates'!$A$2:$A$246,0))</f>
        <v>0.30979516521120642</v>
      </c>
      <c r="E4268" s="32">
        <f t="shared" si="66"/>
        <v>0.193621978257004</v>
      </c>
    </row>
    <row r="4269" spans="1:5" x14ac:dyDescent="0.25">
      <c r="A4269" s="17">
        <v>329</v>
      </c>
      <c r="B4269" s="31">
        <v>54377</v>
      </c>
      <c r="C4269" s="32">
        <f>INDEX('Input Data'!$B:$B,A4269)/2+IF(A4269&lt;&gt;A4270,100,0)</f>
        <v>0.625</v>
      </c>
      <c r="D4269" s="33">
        <f>INDEX('ZCB Curve - Payment Dates'!$D$2:$D$246,MATCH(B4269,'ZCB Curve - Payment Dates'!$A$2:$A$246,0))</f>
        <v>0.30110901062008694</v>
      </c>
      <c r="E4269" s="32">
        <f t="shared" si="66"/>
        <v>0.18819313163755433</v>
      </c>
    </row>
    <row r="4270" spans="1:5" x14ac:dyDescent="0.25">
      <c r="A4270" s="17">
        <v>329</v>
      </c>
      <c r="B4270" s="31">
        <v>54558</v>
      </c>
      <c r="C4270" s="32">
        <f>INDEX('Input Data'!$B:$B,A4270)/2+IF(A4270&lt;&gt;A4271,100,0)</f>
        <v>0.625</v>
      </c>
      <c r="D4270" s="33">
        <f>INDEX('ZCB Curve - Payment Dates'!$D$2:$D$246,MATCH(B4270,'ZCB Curve - Payment Dates'!$A$2:$A$246,0))</f>
        <v>0.29292467059800714</v>
      </c>
      <c r="E4270" s="32">
        <f t="shared" si="66"/>
        <v>0.18307791912375446</v>
      </c>
    </row>
    <row r="4271" spans="1:5" x14ac:dyDescent="0.25">
      <c r="A4271" s="17">
        <v>329</v>
      </c>
      <c r="B4271" s="31">
        <v>54742</v>
      </c>
      <c r="C4271" s="32">
        <f>INDEX('Input Data'!$B:$B,A4271)/2+IF(A4271&lt;&gt;A4272,100,0)</f>
        <v>0.625</v>
      </c>
      <c r="D4271" s="33">
        <f>INDEX('ZCB Curve - Payment Dates'!$D$2:$D$246,MATCH(B4271,'ZCB Curve - Payment Dates'!$A$2:$A$246,0))</f>
        <v>0.28496204444064566</v>
      </c>
      <c r="E4271" s="32">
        <f t="shared" si="66"/>
        <v>0.17810127777540352</v>
      </c>
    </row>
    <row r="4272" spans="1:5" x14ac:dyDescent="0.25">
      <c r="A4272" s="17">
        <v>329</v>
      </c>
      <c r="B4272" s="31">
        <v>54923</v>
      </c>
      <c r="C4272" s="32">
        <f>INDEX('Input Data'!$B:$B,A4272)/2+IF(A4272&lt;&gt;A4273,100,0)</f>
        <v>100.625</v>
      </c>
      <c r="D4272" s="33">
        <f>INDEX('ZCB Curve - Payment Dates'!$D$2:$D$246,MATCH(B4272,'ZCB Curve - Payment Dates'!$A$2:$A$246,0))</f>
        <v>0.27747061478742291</v>
      </c>
      <c r="E4272" s="32">
        <f t="shared" si="66"/>
        <v>27.920480612984431</v>
      </c>
    </row>
    <row r="4273" spans="1:5" x14ac:dyDescent="0.25">
      <c r="A4273" s="17">
        <v>330</v>
      </c>
      <c r="B4273" s="31">
        <v>46433</v>
      </c>
      <c r="C4273" s="32">
        <f>INDEX('Input Data'!$B:$B,A4273)/2+IF(A4273&lt;&gt;A4274,100,0)</f>
        <v>0.6875</v>
      </c>
      <c r="D4273" s="33">
        <f>INDEX('ZCB Curve - Payment Dates'!$D$2:$D$246,MATCH(B4273,'ZCB Curve - Payment Dates'!$A$2:$A$246,0))</f>
        <v>0.98242671792446301</v>
      </c>
      <c r="E4273" s="32">
        <f t="shared" si="66"/>
        <v>0.67541836857306836</v>
      </c>
    </row>
    <row r="4274" spans="1:5" x14ac:dyDescent="0.25">
      <c r="A4274" s="17">
        <v>330</v>
      </c>
      <c r="B4274" s="31">
        <v>46614</v>
      </c>
      <c r="C4274" s="32">
        <f>INDEX('Input Data'!$B:$B,A4274)/2+IF(A4274&lt;&gt;A4275,100,0)</f>
        <v>0.6875</v>
      </c>
      <c r="D4274" s="33">
        <f>INDEX('ZCB Curve - Payment Dates'!$D$2:$D$246,MATCH(B4274,'ZCB Curve - Payment Dates'!$A$2:$A$246,0))</f>
        <v>0.96187948164765535</v>
      </c>
      <c r="E4274" s="32">
        <f t="shared" si="66"/>
        <v>0.66129214363276301</v>
      </c>
    </row>
    <row r="4275" spans="1:5" x14ac:dyDescent="0.25">
      <c r="A4275" s="17">
        <v>330</v>
      </c>
      <c r="B4275" s="31">
        <v>46798</v>
      </c>
      <c r="C4275" s="32">
        <f>INDEX('Input Data'!$B:$B,A4275)/2+IF(A4275&lt;&gt;A4276,100,0)</f>
        <v>0.6875</v>
      </c>
      <c r="D4275" s="33">
        <f>INDEX('ZCB Curve - Payment Dates'!$D$2:$D$246,MATCH(B4275,'ZCB Curve - Payment Dates'!$A$2:$A$246,0))</f>
        <v>0.94049096132648802</v>
      </c>
      <c r="E4275" s="32">
        <f t="shared" si="66"/>
        <v>0.6465875359119605</v>
      </c>
    </row>
    <row r="4276" spans="1:5" x14ac:dyDescent="0.25">
      <c r="A4276" s="17">
        <v>330</v>
      </c>
      <c r="B4276" s="31">
        <v>46980</v>
      </c>
      <c r="C4276" s="32">
        <f>INDEX('Input Data'!$B:$B,A4276)/2+IF(A4276&lt;&gt;A4277,100,0)</f>
        <v>0.6875</v>
      </c>
      <c r="D4276" s="33">
        <f>INDEX('ZCB Curve - Payment Dates'!$D$2:$D$246,MATCH(B4276,'ZCB Curve - Payment Dates'!$A$2:$A$246,0))</f>
        <v>0.91931844130238327</v>
      </c>
      <c r="E4276" s="32">
        <f t="shared" si="66"/>
        <v>0.63203142839538851</v>
      </c>
    </row>
    <row r="4277" spans="1:5" x14ac:dyDescent="0.25">
      <c r="A4277" s="17">
        <v>330</v>
      </c>
      <c r="B4277" s="31">
        <v>47164</v>
      </c>
      <c r="C4277" s="32">
        <f>INDEX('Input Data'!$B:$B,A4277)/2+IF(A4277&lt;&gt;A4278,100,0)</f>
        <v>0.6875</v>
      </c>
      <c r="D4277" s="33">
        <f>INDEX('ZCB Curve - Payment Dates'!$D$2:$D$246,MATCH(B4277,'ZCB Curve - Payment Dates'!$A$2:$A$246,0))</f>
        <v>0.89817430058086534</v>
      </c>
      <c r="E4277" s="32">
        <f t="shared" si="66"/>
        <v>0.61749483164934493</v>
      </c>
    </row>
    <row r="4278" spans="1:5" x14ac:dyDescent="0.25">
      <c r="A4278" s="17">
        <v>330</v>
      </c>
      <c r="B4278" s="31">
        <v>47345</v>
      </c>
      <c r="C4278" s="32">
        <f>INDEX('Input Data'!$B:$B,A4278)/2+IF(A4278&lt;&gt;A4279,100,0)</f>
        <v>0.6875</v>
      </c>
      <c r="D4278" s="33">
        <f>INDEX('ZCB Curve - Payment Dates'!$D$2:$D$246,MATCH(B4278,'ZCB Curve - Payment Dates'!$A$2:$A$246,0))</f>
        <v>0.87778421628860481</v>
      </c>
      <c r="E4278" s="32">
        <f t="shared" si="66"/>
        <v>0.60347664869841577</v>
      </c>
    </row>
    <row r="4279" spans="1:5" x14ac:dyDescent="0.25">
      <c r="A4279" s="17">
        <v>330</v>
      </c>
      <c r="B4279" s="31">
        <v>47529</v>
      </c>
      <c r="C4279" s="32">
        <f>INDEX('Input Data'!$B:$B,A4279)/2+IF(A4279&lt;&gt;A4280,100,0)</f>
        <v>0.6875</v>
      </c>
      <c r="D4279" s="33">
        <f>INDEX('ZCB Curve - Payment Dates'!$D$2:$D$246,MATCH(B4279,'ZCB Curve - Payment Dates'!$A$2:$A$246,0))</f>
        <v>0.85751015570959666</v>
      </c>
      <c r="E4279" s="32">
        <f t="shared" si="66"/>
        <v>0.58953823205034772</v>
      </c>
    </row>
    <row r="4280" spans="1:5" x14ac:dyDescent="0.25">
      <c r="A4280" s="17">
        <v>330</v>
      </c>
      <c r="B4280" s="31">
        <v>47710</v>
      </c>
      <c r="C4280" s="32">
        <f>INDEX('Input Data'!$B:$B,A4280)/2+IF(A4280&lt;&gt;A4281,100,0)</f>
        <v>0.6875</v>
      </c>
      <c r="D4280" s="33">
        <f>INDEX('ZCB Curve - Payment Dates'!$D$2:$D$246,MATCH(B4280,'ZCB Curve - Payment Dates'!$A$2:$A$246,0))</f>
        <v>0.83802423748211174</v>
      </c>
      <c r="E4280" s="32">
        <f t="shared" si="66"/>
        <v>0.57614166326895178</v>
      </c>
    </row>
    <row r="4281" spans="1:5" x14ac:dyDescent="0.25">
      <c r="A4281" s="17">
        <v>330</v>
      </c>
      <c r="B4281" s="31">
        <v>47894</v>
      </c>
      <c r="C4281" s="32">
        <f>INDEX('Input Data'!$B:$B,A4281)/2+IF(A4281&lt;&gt;A4282,100,0)</f>
        <v>0.6875</v>
      </c>
      <c r="D4281" s="33">
        <f>INDEX('ZCB Curve - Payment Dates'!$D$2:$D$246,MATCH(B4281,'ZCB Curve - Payment Dates'!$A$2:$A$246,0))</f>
        <v>0.8186305474741673</v>
      </c>
      <c r="E4281" s="32">
        <f t="shared" si="66"/>
        <v>0.56280850138849003</v>
      </c>
    </row>
    <row r="4282" spans="1:5" x14ac:dyDescent="0.25">
      <c r="A4282" s="17">
        <v>330</v>
      </c>
      <c r="B4282" s="31">
        <v>48075</v>
      </c>
      <c r="C4282" s="32">
        <f>INDEX('Input Data'!$B:$B,A4282)/2+IF(A4282&lt;&gt;A4283,100,0)</f>
        <v>0.6875</v>
      </c>
      <c r="D4282" s="33">
        <f>INDEX('ZCB Curve - Payment Dates'!$D$2:$D$246,MATCH(B4282,'ZCB Curve - Payment Dates'!$A$2:$A$246,0))</f>
        <v>0.7999252334775927</v>
      </c>
      <c r="E4282" s="32">
        <f t="shared" si="66"/>
        <v>0.54994859801584495</v>
      </c>
    </row>
    <row r="4283" spans="1:5" x14ac:dyDescent="0.25">
      <c r="A4283" s="17">
        <v>330</v>
      </c>
      <c r="B4283" s="31">
        <v>48259</v>
      </c>
      <c r="C4283" s="32">
        <f>INDEX('Input Data'!$B:$B,A4283)/2+IF(A4283&lt;&gt;A4284,100,0)</f>
        <v>0.6875</v>
      </c>
      <c r="D4283" s="33">
        <f>INDEX('ZCB Curve - Payment Dates'!$D$2:$D$246,MATCH(B4283,'ZCB Curve - Payment Dates'!$A$2:$A$246,0))</f>
        <v>0.78121887027612602</v>
      </c>
      <c r="E4283" s="32">
        <f t="shared" si="66"/>
        <v>0.5370879733148366</v>
      </c>
    </row>
    <row r="4284" spans="1:5" x14ac:dyDescent="0.25">
      <c r="A4284" s="17">
        <v>330</v>
      </c>
      <c r="B4284" s="31">
        <v>48441</v>
      </c>
      <c r="C4284" s="32">
        <f>INDEX('Input Data'!$B:$B,A4284)/2+IF(A4284&lt;&gt;A4285,100,0)</f>
        <v>0.6875</v>
      </c>
      <c r="D4284" s="33">
        <f>INDEX('ZCB Curve - Payment Dates'!$D$2:$D$246,MATCH(B4284,'ZCB Curve - Payment Dates'!$A$2:$A$246,0))</f>
        <v>0.76298123459017864</v>
      </c>
      <c r="E4284" s="32">
        <f t="shared" si="66"/>
        <v>0.52454959878074781</v>
      </c>
    </row>
    <row r="4285" spans="1:5" x14ac:dyDescent="0.25">
      <c r="A4285" s="17">
        <v>330</v>
      </c>
      <c r="B4285" s="31">
        <v>48625</v>
      </c>
      <c r="C4285" s="32">
        <f>INDEX('Input Data'!$B:$B,A4285)/2+IF(A4285&lt;&gt;A4286,100,0)</f>
        <v>0.6875</v>
      </c>
      <c r="D4285" s="33">
        <f>INDEX('ZCB Curve - Payment Dates'!$D$2:$D$246,MATCH(B4285,'ZCB Curve - Payment Dates'!$A$2:$A$246,0))</f>
        <v>0.74476011611938586</v>
      </c>
      <c r="E4285" s="32">
        <f t="shared" si="66"/>
        <v>0.51202257983207777</v>
      </c>
    </row>
    <row r="4286" spans="1:5" x14ac:dyDescent="0.25">
      <c r="A4286" s="17">
        <v>330</v>
      </c>
      <c r="B4286" s="31">
        <v>48806</v>
      </c>
      <c r="C4286" s="32">
        <f>INDEX('Input Data'!$B:$B,A4286)/2+IF(A4286&lt;&gt;A4287,100,0)</f>
        <v>0.6875</v>
      </c>
      <c r="D4286" s="33">
        <f>INDEX('ZCB Curve - Payment Dates'!$D$2:$D$246,MATCH(B4286,'ZCB Curve - Payment Dates'!$A$2:$A$246,0))</f>
        <v>0.72701302496114584</v>
      </c>
      <c r="E4286" s="32">
        <f t="shared" si="66"/>
        <v>0.49982145466078776</v>
      </c>
    </row>
    <row r="4287" spans="1:5" x14ac:dyDescent="0.25">
      <c r="A4287" s="17">
        <v>330</v>
      </c>
      <c r="B4287" s="31">
        <v>48990</v>
      </c>
      <c r="C4287" s="32">
        <f>INDEX('Input Data'!$B:$B,A4287)/2+IF(A4287&lt;&gt;A4288,100,0)</f>
        <v>0.6875</v>
      </c>
      <c r="D4287" s="33">
        <f>INDEX('ZCB Curve - Payment Dates'!$D$2:$D$246,MATCH(B4287,'ZCB Curve - Payment Dates'!$A$2:$A$246,0))</f>
        <v>0.70912647031380449</v>
      </c>
      <c r="E4287" s="32">
        <f t="shared" si="66"/>
        <v>0.4875244483407406</v>
      </c>
    </row>
    <row r="4288" spans="1:5" x14ac:dyDescent="0.25">
      <c r="A4288" s="17">
        <v>330</v>
      </c>
      <c r="B4288" s="31">
        <v>49171</v>
      </c>
      <c r="C4288" s="32">
        <f>INDEX('Input Data'!$B:$B,A4288)/2+IF(A4288&lt;&gt;A4289,100,0)</f>
        <v>0.6875</v>
      </c>
      <c r="D4288" s="33">
        <f>INDEX('ZCB Curve - Payment Dates'!$D$2:$D$246,MATCH(B4288,'ZCB Curve - Payment Dates'!$A$2:$A$246,0))</f>
        <v>0.6916661505723215</v>
      </c>
      <c r="E4288" s="32">
        <f t="shared" si="66"/>
        <v>0.47552047851847101</v>
      </c>
    </row>
    <row r="4289" spans="1:5" x14ac:dyDescent="0.25">
      <c r="A4289" s="17">
        <v>330</v>
      </c>
      <c r="B4289" s="31">
        <v>49355</v>
      </c>
      <c r="C4289" s="32">
        <f>INDEX('Input Data'!$B:$B,A4289)/2+IF(A4289&lt;&gt;A4290,100,0)</f>
        <v>0.6875</v>
      </c>
      <c r="D4289" s="33">
        <f>INDEX('ZCB Curve - Payment Dates'!$D$2:$D$246,MATCH(B4289,'ZCB Curve - Payment Dates'!$A$2:$A$246,0))</f>
        <v>0.674047377898778</v>
      </c>
      <c r="E4289" s="32">
        <f t="shared" si="66"/>
        <v>0.46340757230540985</v>
      </c>
    </row>
    <row r="4290" spans="1:5" x14ac:dyDescent="0.25">
      <c r="A4290" s="17">
        <v>330</v>
      </c>
      <c r="B4290" s="31">
        <v>49536</v>
      </c>
      <c r="C4290" s="32">
        <f>INDEX('Input Data'!$B:$B,A4290)/2+IF(A4290&lt;&gt;A4291,100,0)</f>
        <v>0.6875</v>
      </c>
      <c r="D4290" s="33">
        <f>INDEX('ZCB Curve - Payment Dates'!$D$2:$D$246,MATCH(B4290,'ZCB Curve - Payment Dates'!$A$2:$A$246,0))</f>
        <v>0.65684432300638129</v>
      </c>
      <c r="E4290" s="32">
        <f t="shared" ref="E4290:E4353" si="67">C4290*D4290</f>
        <v>0.45158047206688712</v>
      </c>
    </row>
    <row r="4291" spans="1:5" x14ac:dyDescent="0.25">
      <c r="A4291" s="17">
        <v>330</v>
      </c>
      <c r="B4291" s="31">
        <v>49720</v>
      </c>
      <c r="C4291" s="32">
        <f>INDEX('Input Data'!$B:$B,A4291)/2+IF(A4291&lt;&gt;A4292,100,0)</f>
        <v>0.6875</v>
      </c>
      <c r="D4291" s="33">
        <f>INDEX('ZCB Curve - Payment Dates'!$D$2:$D$246,MATCH(B4291,'ZCB Curve - Payment Dates'!$A$2:$A$246,0))</f>
        <v>0.63949604524993764</v>
      </c>
      <c r="E4291" s="32">
        <f t="shared" si="67"/>
        <v>0.43965353110933214</v>
      </c>
    </row>
    <row r="4292" spans="1:5" x14ac:dyDescent="0.25">
      <c r="A4292" s="17">
        <v>330</v>
      </c>
      <c r="B4292" s="31">
        <v>49902</v>
      </c>
      <c r="C4292" s="32">
        <f>INDEX('Input Data'!$B:$B,A4292)/2+IF(A4292&lt;&gt;A4293,100,0)</f>
        <v>0.6875</v>
      </c>
      <c r="D4292" s="33">
        <f>INDEX('ZCB Curve - Payment Dates'!$D$2:$D$246,MATCH(B4292,'ZCB Curve - Payment Dates'!$A$2:$A$246,0))</f>
        <v>0.62248862376822711</v>
      </c>
      <c r="E4292" s="32">
        <f t="shared" si="67"/>
        <v>0.42796092884065612</v>
      </c>
    </row>
    <row r="4293" spans="1:5" x14ac:dyDescent="0.25">
      <c r="A4293" s="17">
        <v>330</v>
      </c>
      <c r="B4293" s="31">
        <v>50086</v>
      </c>
      <c r="C4293" s="32">
        <f>INDEX('Input Data'!$B:$B,A4293)/2+IF(A4293&lt;&gt;A4294,100,0)</f>
        <v>0.6875</v>
      </c>
      <c r="D4293" s="33">
        <f>INDEX('ZCB Curve - Payment Dates'!$D$2:$D$246,MATCH(B4293,'ZCB Curve - Payment Dates'!$A$2:$A$246,0))</f>
        <v>0.60546490876014969</v>
      </c>
      <c r="E4293" s="32">
        <f t="shared" si="67"/>
        <v>0.4162571247726029</v>
      </c>
    </row>
    <row r="4294" spans="1:5" x14ac:dyDescent="0.25">
      <c r="A4294" s="17">
        <v>330</v>
      </c>
      <c r="B4294" s="31">
        <v>50267</v>
      </c>
      <c r="C4294" s="32">
        <f>INDEX('Input Data'!$B:$B,A4294)/2+IF(A4294&lt;&gt;A4295,100,0)</f>
        <v>0.6875</v>
      </c>
      <c r="D4294" s="33">
        <f>INDEX('ZCB Curve - Payment Dates'!$D$2:$D$246,MATCH(B4294,'ZCB Curve - Payment Dates'!$A$2:$A$246,0))</f>
        <v>0.58890683803346977</v>
      </c>
      <c r="E4294" s="32">
        <f t="shared" si="67"/>
        <v>0.40487345114801049</v>
      </c>
    </row>
    <row r="4295" spans="1:5" x14ac:dyDescent="0.25">
      <c r="A4295" s="17">
        <v>330</v>
      </c>
      <c r="B4295" s="31">
        <v>50451</v>
      </c>
      <c r="C4295" s="32">
        <f>INDEX('Input Data'!$B:$B,A4295)/2+IF(A4295&lt;&gt;A4296,100,0)</f>
        <v>0.6875</v>
      </c>
      <c r="D4295" s="33">
        <f>INDEX('ZCB Curve - Payment Dates'!$D$2:$D$246,MATCH(B4295,'ZCB Curve - Payment Dates'!$A$2:$A$246,0))</f>
        <v>0.57228983695479263</v>
      </c>
      <c r="E4295" s="32">
        <f t="shared" si="67"/>
        <v>0.39344926290641991</v>
      </c>
    </row>
    <row r="4296" spans="1:5" x14ac:dyDescent="0.25">
      <c r="A4296" s="17">
        <v>330</v>
      </c>
      <c r="B4296" s="31">
        <v>50632</v>
      </c>
      <c r="C4296" s="32">
        <f>INDEX('Input Data'!$B:$B,A4296)/2+IF(A4296&lt;&gt;A4297,100,0)</f>
        <v>0.6875</v>
      </c>
      <c r="D4296" s="33">
        <f>INDEX('ZCB Curve - Payment Dates'!$D$2:$D$246,MATCH(B4296,'ZCB Curve - Payment Dates'!$A$2:$A$246,0))</f>
        <v>0.55617795699202288</v>
      </c>
      <c r="E4296" s="32">
        <f t="shared" si="67"/>
        <v>0.3823723454320157</v>
      </c>
    </row>
    <row r="4297" spans="1:5" x14ac:dyDescent="0.25">
      <c r="A4297" s="17">
        <v>330</v>
      </c>
      <c r="B4297" s="31">
        <v>50816</v>
      </c>
      <c r="C4297" s="32">
        <f>INDEX('Input Data'!$B:$B,A4297)/2+IF(A4297&lt;&gt;A4298,100,0)</f>
        <v>0.6875</v>
      </c>
      <c r="D4297" s="33">
        <f>INDEX('ZCB Curve - Payment Dates'!$D$2:$D$246,MATCH(B4297,'ZCB Curve - Payment Dates'!$A$2:$A$246,0))</f>
        <v>0.54006240951211237</v>
      </c>
      <c r="E4297" s="32">
        <f t="shared" si="67"/>
        <v>0.37129290653957725</v>
      </c>
    </row>
    <row r="4298" spans="1:5" x14ac:dyDescent="0.25">
      <c r="A4298" s="17">
        <v>330</v>
      </c>
      <c r="B4298" s="31">
        <v>50997</v>
      </c>
      <c r="C4298" s="32">
        <f>INDEX('Input Data'!$B:$B,A4298)/2+IF(A4298&lt;&gt;A4299,100,0)</f>
        <v>0.6875</v>
      </c>
      <c r="D4298" s="33">
        <f>INDEX('ZCB Curve - Payment Dates'!$D$2:$D$246,MATCH(B4298,'ZCB Curve - Payment Dates'!$A$2:$A$246,0))</f>
        <v>0.52449040173194583</v>
      </c>
      <c r="E4298" s="32">
        <f t="shared" si="67"/>
        <v>0.36058715119071277</v>
      </c>
    </row>
    <row r="4299" spans="1:5" x14ac:dyDescent="0.25">
      <c r="A4299" s="17">
        <v>330</v>
      </c>
      <c r="B4299" s="31">
        <v>51181</v>
      </c>
      <c r="C4299" s="32">
        <f>INDEX('Input Data'!$B:$B,A4299)/2+IF(A4299&lt;&gt;A4300,100,0)</f>
        <v>0.6875</v>
      </c>
      <c r="D4299" s="33">
        <f>INDEX('ZCB Curve - Payment Dates'!$D$2:$D$246,MATCH(B4299,'ZCB Curve - Payment Dates'!$A$2:$A$246,0))</f>
        <v>0.5089691698468306</v>
      </c>
      <c r="E4299" s="32">
        <f t="shared" si="67"/>
        <v>0.34991630426969605</v>
      </c>
    </row>
    <row r="4300" spans="1:5" x14ac:dyDescent="0.25">
      <c r="A4300" s="17">
        <v>330</v>
      </c>
      <c r="B4300" s="31">
        <v>51363</v>
      </c>
      <c r="C4300" s="32">
        <f>INDEX('Input Data'!$B:$B,A4300)/2+IF(A4300&lt;&gt;A4301,100,0)</f>
        <v>0.6875</v>
      </c>
      <c r="D4300" s="33">
        <f>INDEX('ZCB Curve - Payment Dates'!$D$2:$D$246,MATCH(B4300,'ZCB Curve - Payment Dates'!$A$2:$A$246,0))</f>
        <v>0.49394036022330806</v>
      </c>
      <c r="E4300" s="32">
        <f t="shared" si="67"/>
        <v>0.33958399765352432</v>
      </c>
    </row>
    <row r="4301" spans="1:5" x14ac:dyDescent="0.25">
      <c r="A4301" s="17">
        <v>330</v>
      </c>
      <c r="B4301" s="31">
        <v>51547</v>
      </c>
      <c r="C4301" s="32">
        <f>INDEX('Input Data'!$B:$B,A4301)/2+IF(A4301&lt;&gt;A4302,100,0)</f>
        <v>0.6875</v>
      </c>
      <c r="D4301" s="33">
        <f>INDEX('ZCB Curve - Payment Dates'!$D$2:$D$246,MATCH(B4301,'ZCB Curve - Payment Dates'!$A$2:$A$246,0))</f>
        <v>0.47909718957588998</v>
      </c>
      <c r="E4301" s="32">
        <f t="shared" si="67"/>
        <v>0.32937931783342433</v>
      </c>
    </row>
    <row r="4302" spans="1:5" x14ac:dyDescent="0.25">
      <c r="A4302" s="17">
        <v>330</v>
      </c>
      <c r="B4302" s="31">
        <v>51728</v>
      </c>
      <c r="C4302" s="32">
        <f>INDEX('Input Data'!$B:$B,A4302)/2+IF(A4302&lt;&gt;A4303,100,0)</f>
        <v>0.6875</v>
      </c>
      <c r="D4302" s="33">
        <f>INDEX('ZCB Curve - Payment Dates'!$D$2:$D$246,MATCH(B4302,'ZCB Curve - Payment Dates'!$A$2:$A$246,0))</f>
        <v>0.46485329459616059</v>
      </c>
      <c r="E4302" s="32">
        <f t="shared" si="67"/>
        <v>0.31958664003486043</v>
      </c>
    </row>
    <row r="4303" spans="1:5" x14ac:dyDescent="0.25">
      <c r="A4303" s="17">
        <v>330</v>
      </c>
      <c r="B4303" s="31">
        <v>51912</v>
      </c>
      <c r="C4303" s="32">
        <f>INDEX('Input Data'!$B:$B,A4303)/2+IF(A4303&lt;&gt;A4304,100,0)</f>
        <v>0.6875</v>
      </c>
      <c r="D4303" s="33">
        <f>INDEX('ZCB Curve - Payment Dates'!$D$2:$D$246,MATCH(B4303,'ZCB Curve - Payment Dates'!$A$2:$A$246,0))</f>
        <v>0.45075168915212815</v>
      </c>
      <c r="E4303" s="32">
        <f t="shared" si="67"/>
        <v>0.30989178629208813</v>
      </c>
    </row>
    <row r="4304" spans="1:5" x14ac:dyDescent="0.25">
      <c r="A4304" s="17">
        <v>330</v>
      </c>
      <c r="B4304" s="31">
        <v>52093</v>
      </c>
      <c r="C4304" s="32">
        <f>INDEX('Input Data'!$B:$B,A4304)/2+IF(A4304&lt;&gt;A4305,100,0)</f>
        <v>0.6875</v>
      </c>
      <c r="D4304" s="33">
        <f>INDEX('ZCB Curve - Payment Dates'!$D$2:$D$246,MATCH(B4304,'ZCB Curve - Payment Dates'!$A$2:$A$246,0))</f>
        <v>0.43726259018094221</v>
      </c>
      <c r="E4304" s="32">
        <f t="shared" si="67"/>
        <v>0.30061803074939775</v>
      </c>
    </row>
    <row r="4305" spans="1:5" x14ac:dyDescent="0.25">
      <c r="A4305" s="17">
        <v>330</v>
      </c>
      <c r="B4305" s="31">
        <v>52277</v>
      </c>
      <c r="C4305" s="32">
        <f>INDEX('Input Data'!$B:$B,A4305)/2+IF(A4305&lt;&gt;A4306,100,0)</f>
        <v>0.6875</v>
      </c>
      <c r="D4305" s="33">
        <f>INDEX('ZCB Curve - Payment Dates'!$D$2:$D$246,MATCH(B4305,'ZCB Curve - Payment Dates'!$A$2:$A$246,0))</f>
        <v>0.4239492285351204</v>
      </c>
      <c r="E4305" s="32">
        <f t="shared" si="67"/>
        <v>0.29146509461789527</v>
      </c>
    </row>
    <row r="4306" spans="1:5" x14ac:dyDescent="0.25">
      <c r="A4306" s="17">
        <v>330</v>
      </c>
      <c r="B4306" s="31">
        <v>52458</v>
      </c>
      <c r="C4306" s="32">
        <f>INDEX('Input Data'!$B:$B,A4306)/2+IF(A4306&lt;&gt;A4307,100,0)</f>
        <v>0.6875</v>
      </c>
      <c r="D4306" s="33">
        <f>INDEX('ZCB Curve - Payment Dates'!$D$2:$D$246,MATCH(B4306,'ZCB Curve - Payment Dates'!$A$2:$A$246,0))</f>
        <v>0.4112516019468152</v>
      </c>
      <c r="E4306" s="32">
        <f t="shared" si="67"/>
        <v>0.28273547633843543</v>
      </c>
    </row>
    <row r="4307" spans="1:5" x14ac:dyDescent="0.25">
      <c r="A4307" s="17">
        <v>330</v>
      </c>
      <c r="B4307" s="31">
        <v>52642</v>
      </c>
      <c r="C4307" s="32">
        <f>INDEX('Input Data'!$B:$B,A4307)/2+IF(A4307&lt;&gt;A4308,100,0)</f>
        <v>0.6875</v>
      </c>
      <c r="D4307" s="33">
        <f>INDEX('ZCB Curve - Payment Dates'!$D$2:$D$246,MATCH(B4307,'ZCB Curve - Payment Dates'!$A$2:$A$246,0))</f>
        <v>0.39875459879352759</v>
      </c>
      <c r="E4307" s="32">
        <f t="shared" si="67"/>
        <v>0.27414378667055023</v>
      </c>
    </row>
    <row r="4308" spans="1:5" x14ac:dyDescent="0.25">
      <c r="A4308" s="17">
        <v>330</v>
      </c>
      <c r="B4308" s="31">
        <v>52824</v>
      </c>
      <c r="C4308" s="32">
        <f>INDEX('Input Data'!$B:$B,A4308)/2+IF(A4308&lt;&gt;A4309,100,0)</f>
        <v>0.6875</v>
      </c>
      <c r="D4308" s="33">
        <f>INDEX('ZCB Curve - Payment Dates'!$D$2:$D$246,MATCH(B4308,'ZCB Curve - Payment Dates'!$A$2:$A$246,0))</f>
        <v>0.38680384560622083</v>
      </c>
      <c r="E4308" s="32">
        <f t="shared" si="67"/>
        <v>0.26592764385427681</v>
      </c>
    </row>
    <row r="4309" spans="1:5" x14ac:dyDescent="0.25">
      <c r="A4309" s="17">
        <v>330</v>
      </c>
      <c r="B4309" s="31">
        <v>53008</v>
      </c>
      <c r="C4309" s="32">
        <f>INDEX('Input Data'!$B:$B,A4309)/2+IF(A4309&lt;&gt;A4310,100,0)</f>
        <v>0.6875</v>
      </c>
      <c r="D4309" s="33">
        <f>INDEX('ZCB Curve - Payment Dates'!$D$2:$D$246,MATCH(B4309,'ZCB Curve - Payment Dates'!$A$2:$A$246,0))</f>
        <v>0.37513648791915083</v>
      </c>
      <c r="E4309" s="32">
        <f t="shared" si="67"/>
        <v>0.25790633544441621</v>
      </c>
    </row>
    <row r="4310" spans="1:5" x14ac:dyDescent="0.25">
      <c r="A4310" s="17">
        <v>330</v>
      </c>
      <c r="B4310" s="31">
        <v>53189</v>
      </c>
      <c r="C4310" s="32">
        <f>INDEX('Input Data'!$B:$B,A4310)/2+IF(A4310&lt;&gt;A4311,100,0)</f>
        <v>0.6875</v>
      </c>
      <c r="D4310" s="33">
        <f>INDEX('ZCB Curve - Payment Dates'!$D$2:$D$246,MATCH(B4310,'ZCB Curve - Payment Dates'!$A$2:$A$246,0))</f>
        <v>0.36406533257851953</v>
      </c>
      <c r="E4310" s="32">
        <f t="shared" si="67"/>
        <v>0.25029491614773219</v>
      </c>
    </row>
    <row r="4311" spans="1:5" x14ac:dyDescent="0.25">
      <c r="A4311" s="17">
        <v>330</v>
      </c>
      <c r="B4311" s="31">
        <v>53373</v>
      </c>
      <c r="C4311" s="32">
        <f>INDEX('Input Data'!$B:$B,A4311)/2+IF(A4311&lt;&gt;A4312,100,0)</f>
        <v>0.6875</v>
      </c>
      <c r="D4311" s="33">
        <f>INDEX('ZCB Curve - Payment Dates'!$D$2:$D$246,MATCH(B4311,'ZCB Curve - Payment Dates'!$A$2:$A$246,0))</f>
        <v>0.35322166892031259</v>
      </c>
      <c r="E4311" s="32">
        <f t="shared" si="67"/>
        <v>0.24283989738271491</v>
      </c>
    </row>
    <row r="4312" spans="1:5" x14ac:dyDescent="0.25">
      <c r="A4312" s="17">
        <v>330</v>
      </c>
      <c r="B4312" s="31">
        <v>53554</v>
      </c>
      <c r="C4312" s="32">
        <f>INDEX('Input Data'!$B:$B,A4312)/2+IF(A4312&lt;&gt;A4313,100,0)</f>
        <v>0.6875</v>
      </c>
      <c r="D4312" s="33">
        <f>INDEX('ZCB Curve - Payment Dates'!$D$2:$D$246,MATCH(B4312,'ZCB Curve - Payment Dates'!$A$2:$A$246,0))</f>
        <v>0.34295436226619208</v>
      </c>
      <c r="E4312" s="32">
        <f t="shared" si="67"/>
        <v>0.23578112405800705</v>
      </c>
    </row>
    <row r="4313" spans="1:5" x14ac:dyDescent="0.25">
      <c r="A4313" s="17">
        <v>330</v>
      </c>
      <c r="B4313" s="31">
        <v>53738</v>
      </c>
      <c r="C4313" s="32">
        <f>INDEX('Input Data'!$B:$B,A4313)/2+IF(A4313&lt;&gt;A4314,100,0)</f>
        <v>0.6875</v>
      </c>
      <c r="D4313" s="33">
        <f>INDEX('ZCB Curve - Payment Dates'!$D$2:$D$246,MATCH(B4313,'ZCB Curve - Payment Dates'!$A$2:$A$246,0))</f>
        <v>0.33291860450360972</v>
      </c>
      <c r="E4313" s="32">
        <f t="shared" si="67"/>
        <v>0.22888154059623167</v>
      </c>
    </row>
    <row r="4314" spans="1:5" x14ac:dyDescent="0.25">
      <c r="A4314" s="17">
        <v>330</v>
      </c>
      <c r="B4314" s="31">
        <v>53919</v>
      </c>
      <c r="C4314" s="32">
        <f>INDEX('Input Data'!$B:$B,A4314)/2+IF(A4314&lt;&gt;A4315,100,0)</f>
        <v>0.6875</v>
      </c>
      <c r="D4314" s="33">
        <f>INDEX('ZCB Curve - Payment Dates'!$D$2:$D$246,MATCH(B4314,'ZCB Curve - Payment Dates'!$A$2:$A$246,0))</f>
        <v>0.32343468195091313</v>
      </c>
      <c r="E4314" s="32">
        <f t="shared" si="67"/>
        <v>0.22236134384125278</v>
      </c>
    </row>
    <row r="4315" spans="1:5" x14ac:dyDescent="0.25">
      <c r="A4315" s="17">
        <v>330</v>
      </c>
      <c r="B4315" s="31">
        <v>54103</v>
      </c>
      <c r="C4315" s="32">
        <f>INDEX('Input Data'!$B:$B,A4315)/2+IF(A4315&lt;&gt;A4316,100,0)</f>
        <v>0.6875</v>
      </c>
      <c r="D4315" s="33">
        <f>INDEX('ZCB Curve - Payment Dates'!$D$2:$D$246,MATCH(B4315,'ZCB Curve - Payment Dates'!$A$2:$A$246,0))</f>
        <v>0.31418167147949361</v>
      </c>
      <c r="E4315" s="32">
        <f t="shared" si="67"/>
        <v>0.21599989914215184</v>
      </c>
    </row>
    <row r="4316" spans="1:5" x14ac:dyDescent="0.25">
      <c r="A4316" s="17">
        <v>330</v>
      </c>
      <c r="B4316" s="31">
        <v>54285</v>
      </c>
      <c r="C4316" s="32">
        <f>INDEX('Input Data'!$B:$B,A4316)/2+IF(A4316&lt;&gt;A4317,100,0)</f>
        <v>0.6875</v>
      </c>
      <c r="D4316" s="33">
        <f>INDEX('ZCB Curve - Payment Dates'!$D$2:$D$246,MATCH(B4316,'ZCB Curve - Payment Dates'!$A$2:$A$246,0))</f>
        <v>0.30540618878290843</v>
      </c>
      <c r="E4316" s="32">
        <f t="shared" si="67"/>
        <v>0.20996675478824955</v>
      </c>
    </row>
    <row r="4317" spans="1:5" x14ac:dyDescent="0.25">
      <c r="A4317" s="17">
        <v>330</v>
      </c>
      <c r="B4317" s="31">
        <v>54469</v>
      </c>
      <c r="C4317" s="32">
        <f>INDEX('Input Data'!$B:$B,A4317)/2+IF(A4317&lt;&gt;A4318,100,0)</f>
        <v>0.6875</v>
      </c>
      <c r="D4317" s="33">
        <f>INDEX('ZCB Curve - Payment Dates'!$D$2:$D$246,MATCH(B4317,'ZCB Curve - Payment Dates'!$A$2:$A$246,0))</f>
        <v>0.29690423521941833</v>
      </c>
      <c r="E4317" s="32">
        <f t="shared" si="67"/>
        <v>0.20412166171335011</v>
      </c>
    </row>
    <row r="4318" spans="1:5" x14ac:dyDescent="0.25">
      <c r="A4318" s="17">
        <v>330</v>
      </c>
      <c r="B4318" s="31">
        <v>54650</v>
      </c>
      <c r="C4318" s="32">
        <f>INDEX('Input Data'!$B:$B,A4318)/2+IF(A4318&lt;&gt;A4319,100,0)</f>
        <v>0.6875</v>
      </c>
      <c r="D4318" s="33">
        <f>INDEX('ZCB Curve - Payment Dates'!$D$2:$D$246,MATCH(B4318,'ZCB Curve - Payment Dates'!$A$2:$A$246,0))</f>
        <v>0.2888997564491238</v>
      </c>
      <c r="E4318" s="32">
        <f t="shared" si="67"/>
        <v>0.19861858255877263</v>
      </c>
    </row>
    <row r="4319" spans="1:5" x14ac:dyDescent="0.25">
      <c r="A4319" s="17">
        <v>330</v>
      </c>
      <c r="B4319" s="31">
        <v>54834</v>
      </c>
      <c r="C4319" s="32">
        <f>INDEX('Input Data'!$B:$B,A4319)/2+IF(A4319&lt;&gt;A4320,100,0)</f>
        <v>0.6875</v>
      </c>
      <c r="D4319" s="33">
        <f>INDEX('ZCB Curve - Payment Dates'!$D$2:$D$246,MATCH(B4319,'ZCB Curve - Payment Dates'!$A$2:$A$246,0))</f>
        <v>0.28111189964037164</v>
      </c>
      <c r="E4319" s="32">
        <f t="shared" si="67"/>
        <v>0.1932644310027555</v>
      </c>
    </row>
    <row r="4320" spans="1:5" x14ac:dyDescent="0.25">
      <c r="A4320" s="17">
        <v>330</v>
      </c>
      <c r="B4320" s="31">
        <v>55015</v>
      </c>
      <c r="C4320" s="32">
        <f>INDEX('Input Data'!$B:$B,A4320)/2+IF(A4320&lt;&gt;A4321,100,0)</f>
        <v>100.6875</v>
      </c>
      <c r="D4320" s="33">
        <f>INDEX('ZCB Curve - Payment Dates'!$D$2:$D$246,MATCH(B4320,'ZCB Curve - Payment Dates'!$A$2:$A$246,0))</f>
        <v>0.27379046078597996</v>
      </c>
      <c r="E4320" s="32">
        <f t="shared" si="67"/>
        <v>27.567277020388357</v>
      </c>
    </row>
    <row r="4321" spans="1:5" x14ac:dyDescent="0.25">
      <c r="A4321" s="17">
        <v>331</v>
      </c>
      <c r="B4321" s="31">
        <v>46341</v>
      </c>
      <c r="C4321" s="32">
        <f>INDEX('Input Data'!$B:$B,A4321)/2+IF(A4321&lt;&gt;A4322,100,0)</f>
        <v>0.8125</v>
      </c>
      <c r="D4321" s="33">
        <f>INDEX('ZCB Curve - Payment Dates'!$D$2:$D$246,MATCH(B4321,'ZCB Curve - Payment Dates'!$A$2:$A$246,0))</f>
        <v>0.99245367292309439</v>
      </c>
      <c r="E4321" s="32">
        <f t="shared" si="67"/>
        <v>0.80636860925001419</v>
      </c>
    </row>
    <row r="4322" spans="1:5" x14ac:dyDescent="0.25">
      <c r="A4322" s="17">
        <v>331</v>
      </c>
      <c r="B4322" s="31">
        <v>46522</v>
      </c>
      <c r="C4322" s="32">
        <f>INDEX('Input Data'!$B:$B,A4322)/2+IF(A4322&lt;&gt;A4323,100,0)</f>
        <v>0.8125</v>
      </c>
      <c r="D4322" s="33">
        <f>INDEX('ZCB Curve - Payment Dates'!$D$2:$D$246,MATCH(B4322,'ZCB Curve - Payment Dates'!$A$2:$A$246,0))</f>
        <v>0.97242179559611874</v>
      </c>
      <c r="E4322" s="32">
        <f t="shared" si="67"/>
        <v>0.79009270892184646</v>
      </c>
    </row>
    <row r="4323" spans="1:5" x14ac:dyDescent="0.25">
      <c r="A4323" s="17">
        <v>331</v>
      </c>
      <c r="B4323" s="31">
        <v>46706</v>
      </c>
      <c r="C4323" s="32">
        <f>INDEX('Input Data'!$B:$B,A4323)/2+IF(A4323&lt;&gt;A4324,100,0)</f>
        <v>0.8125</v>
      </c>
      <c r="D4323" s="33">
        <f>INDEX('ZCB Curve - Payment Dates'!$D$2:$D$246,MATCH(B4323,'ZCB Curve - Payment Dates'!$A$2:$A$246,0))</f>
        <v>0.95121018311627348</v>
      </c>
      <c r="E4323" s="32">
        <f t="shared" si="67"/>
        <v>0.77285827378197225</v>
      </c>
    </row>
    <row r="4324" spans="1:5" x14ac:dyDescent="0.25">
      <c r="A4324" s="17">
        <v>331</v>
      </c>
      <c r="B4324" s="31">
        <v>46888</v>
      </c>
      <c r="C4324" s="32">
        <f>INDEX('Input Data'!$B:$B,A4324)/2+IF(A4324&lt;&gt;A4325,100,0)</f>
        <v>0.8125</v>
      </c>
      <c r="D4324" s="33">
        <f>INDEX('ZCB Curve - Payment Dates'!$D$2:$D$246,MATCH(B4324,'ZCB Curve - Payment Dates'!$A$2:$A$246,0))</f>
        <v>0.93000025435083566</v>
      </c>
      <c r="E4324" s="32">
        <f t="shared" si="67"/>
        <v>0.75562520666005395</v>
      </c>
    </row>
    <row r="4325" spans="1:5" x14ac:dyDescent="0.25">
      <c r="A4325" s="17">
        <v>331</v>
      </c>
      <c r="B4325" s="31">
        <v>47072</v>
      </c>
      <c r="C4325" s="32">
        <f>INDEX('Input Data'!$B:$B,A4325)/2+IF(A4325&lt;&gt;A4326,100,0)</f>
        <v>0.8125</v>
      </c>
      <c r="D4325" s="33">
        <f>INDEX('ZCB Curve - Payment Dates'!$D$2:$D$246,MATCH(B4325,'ZCB Curve - Payment Dates'!$A$2:$A$246,0))</f>
        <v>0.90870125167038918</v>
      </c>
      <c r="E4325" s="32">
        <f t="shared" si="67"/>
        <v>0.73831976698219126</v>
      </c>
    </row>
    <row r="4326" spans="1:5" x14ac:dyDescent="0.25">
      <c r="A4326" s="17">
        <v>331</v>
      </c>
      <c r="B4326" s="31">
        <v>47253</v>
      </c>
      <c r="C4326" s="32">
        <f>INDEX('Input Data'!$B:$B,A4326)/2+IF(A4326&lt;&gt;A4327,100,0)</f>
        <v>0.8125</v>
      </c>
      <c r="D4326" s="33">
        <f>INDEX('ZCB Curve - Payment Dates'!$D$2:$D$246,MATCH(B4326,'ZCB Curve - Payment Dates'!$A$2:$A$246,0))</f>
        <v>0.88809325063638844</v>
      </c>
      <c r="E4326" s="32">
        <f t="shared" si="67"/>
        <v>0.72157576614206564</v>
      </c>
    </row>
    <row r="4327" spans="1:5" x14ac:dyDescent="0.25">
      <c r="A4327" s="17">
        <v>331</v>
      </c>
      <c r="B4327" s="31">
        <v>47437</v>
      </c>
      <c r="C4327" s="32">
        <f>INDEX('Input Data'!$B:$B,A4327)/2+IF(A4327&lt;&gt;A4328,100,0)</f>
        <v>0.8125</v>
      </c>
      <c r="D4327" s="33">
        <f>INDEX('ZCB Curve - Payment Dates'!$D$2:$D$246,MATCH(B4327,'ZCB Curve - Payment Dates'!$A$2:$A$246,0))</f>
        <v>0.86758824089536279</v>
      </c>
      <c r="E4327" s="32">
        <f t="shared" si="67"/>
        <v>0.70491544572748221</v>
      </c>
    </row>
    <row r="4328" spans="1:5" x14ac:dyDescent="0.25">
      <c r="A4328" s="17">
        <v>331</v>
      </c>
      <c r="B4328" s="31">
        <v>47618</v>
      </c>
      <c r="C4328" s="32">
        <f>INDEX('Input Data'!$B:$B,A4328)/2+IF(A4328&lt;&gt;A4329,100,0)</f>
        <v>0.8125</v>
      </c>
      <c r="D4328" s="33">
        <f>INDEX('ZCB Curve - Payment Dates'!$D$2:$D$246,MATCH(B4328,'ZCB Curve - Payment Dates'!$A$2:$A$246,0))</f>
        <v>0.84787416911783064</v>
      </c>
      <c r="E4328" s="32">
        <f t="shared" si="67"/>
        <v>0.68889776240823741</v>
      </c>
    </row>
    <row r="4329" spans="1:5" x14ac:dyDescent="0.25">
      <c r="A4329" s="17">
        <v>331</v>
      </c>
      <c r="B4329" s="31">
        <v>47802</v>
      </c>
      <c r="C4329" s="32">
        <f>INDEX('Input Data'!$B:$B,A4329)/2+IF(A4329&lt;&gt;A4330,100,0)</f>
        <v>0.8125</v>
      </c>
      <c r="D4329" s="33">
        <f>INDEX('ZCB Curve - Payment Dates'!$D$2:$D$246,MATCH(B4329,'ZCB Curve - Payment Dates'!$A$2:$A$246,0))</f>
        <v>0.82827715028796722</v>
      </c>
      <c r="E4329" s="32">
        <f t="shared" si="67"/>
        <v>0.67297518460897332</v>
      </c>
    </row>
    <row r="4330" spans="1:5" x14ac:dyDescent="0.25">
      <c r="A4330" s="17">
        <v>331</v>
      </c>
      <c r="B4330" s="31">
        <v>47983</v>
      </c>
      <c r="C4330" s="32">
        <f>INDEX('Input Data'!$B:$B,A4330)/2+IF(A4330&lt;&gt;A4331,100,0)</f>
        <v>0.8125</v>
      </c>
      <c r="D4330" s="33">
        <f>INDEX('ZCB Curve - Payment Dates'!$D$2:$D$246,MATCH(B4330,'ZCB Curve - Payment Dates'!$A$2:$A$246,0))</f>
        <v>0.80939067484273564</v>
      </c>
      <c r="E4330" s="32">
        <f t="shared" si="67"/>
        <v>0.6576299233097227</v>
      </c>
    </row>
    <row r="4331" spans="1:5" x14ac:dyDescent="0.25">
      <c r="A4331" s="17">
        <v>331</v>
      </c>
      <c r="B4331" s="31">
        <v>48167</v>
      </c>
      <c r="C4331" s="32">
        <f>INDEX('Input Data'!$B:$B,A4331)/2+IF(A4331&lt;&gt;A4332,100,0)</f>
        <v>0.8125</v>
      </c>
      <c r="D4331" s="33">
        <f>INDEX('ZCB Curve - Payment Dates'!$D$2:$D$246,MATCH(B4331,'ZCB Curve - Payment Dates'!$A$2:$A$246,0))</f>
        <v>0.79053567842581962</v>
      </c>
      <c r="E4331" s="32">
        <f t="shared" si="67"/>
        <v>0.64231023872097848</v>
      </c>
    </row>
    <row r="4332" spans="1:5" x14ac:dyDescent="0.25">
      <c r="A4332" s="17">
        <v>331</v>
      </c>
      <c r="B4332" s="31">
        <v>48349</v>
      </c>
      <c r="C4332" s="32">
        <f>INDEX('Input Data'!$B:$B,A4332)/2+IF(A4332&lt;&gt;A4333,100,0)</f>
        <v>0.8125</v>
      </c>
      <c r="D4332" s="33">
        <f>INDEX('ZCB Curve - Payment Dates'!$D$2:$D$246,MATCH(B4332,'ZCB Curve - Payment Dates'!$A$2:$A$246,0))</f>
        <v>0.77217305702007488</v>
      </c>
      <c r="E4332" s="32">
        <f t="shared" si="67"/>
        <v>0.62739060882881081</v>
      </c>
    </row>
    <row r="4333" spans="1:5" x14ac:dyDescent="0.25">
      <c r="A4333" s="17">
        <v>331</v>
      </c>
      <c r="B4333" s="31">
        <v>48533</v>
      </c>
      <c r="C4333" s="32">
        <f>INDEX('Input Data'!$B:$B,A4333)/2+IF(A4333&lt;&gt;A4334,100,0)</f>
        <v>0.8125</v>
      </c>
      <c r="D4333" s="33">
        <f>INDEX('ZCB Curve - Payment Dates'!$D$2:$D$246,MATCH(B4333,'ZCB Curve - Payment Dates'!$A$2:$A$246,0))</f>
        <v>0.75384766072076514</v>
      </c>
      <c r="E4333" s="32">
        <f t="shared" si="67"/>
        <v>0.61250122433562171</v>
      </c>
    </row>
    <row r="4334" spans="1:5" x14ac:dyDescent="0.25">
      <c r="A4334" s="17">
        <v>331</v>
      </c>
      <c r="B4334" s="31">
        <v>48714</v>
      </c>
      <c r="C4334" s="32">
        <f>INDEX('Input Data'!$B:$B,A4334)/2+IF(A4334&lt;&gt;A4335,100,0)</f>
        <v>0.8125</v>
      </c>
      <c r="D4334" s="33">
        <f>INDEX('ZCB Curve - Payment Dates'!$D$2:$D$246,MATCH(B4334,'ZCB Curve - Payment Dates'!$A$2:$A$246,0))</f>
        <v>0.73601491848746747</v>
      </c>
      <c r="E4334" s="32">
        <f t="shared" si="67"/>
        <v>0.59801212127106729</v>
      </c>
    </row>
    <row r="4335" spans="1:5" x14ac:dyDescent="0.25">
      <c r="A4335" s="17">
        <v>331</v>
      </c>
      <c r="B4335" s="31">
        <v>48898</v>
      </c>
      <c r="C4335" s="32">
        <f>INDEX('Input Data'!$B:$B,A4335)/2+IF(A4335&lt;&gt;A4336,100,0)</f>
        <v>0.8125</v>
      </c>
      <c r="D4335" s="33">
        <f>INDEX('ZCB Curve - Payment Dates'!$D$2:$D$246,MATCH(B4335,'ZCB Curve - Payment Dates'!$A$2:$A$246,0))</f>
        <v>0.71805338140354003</v>
      </c>
      <c r="E4335" s="32">
        <f t="shared" si="67"/>
        <v>0.58341837239037631</v>
      </c>
    </row>
    <row r="4336" spans="1:5" x14ac:dyDescent="0.25">
      <c r="A4336" s="17">
        <v>331</v>
      </c>
      <c r="B4336" s="31">
        <v>49079</v>
      </c>
      <c r="C4336" s="32">
        <f>INDEX('Input Data'!$B:$B,A4336)/2+IF(A4336&lt;&gt;A4337,100,0)</f>
        <v>0.8125</v>
      </c>
      <c r="D4336" s="33">
        <f>INDEX('ZCB Curve - Payment Dates'!$D$2:$D$246,MATCH(B4336,'ZCB Curve - Payment Dates'!$A$2:$A$246,0))</f>
        <v>0.70052630492471468</v>
      </c>
      <c r="E4336" s="32">
        <f t="shared" si="67"/>
        <v>0.56917762275133066</v>
      </c>
    </row>
    <row r="4337" spans="1:5" x14ac:dyDescent="0.25">
      <c r="A4337" s="17">
        <v>331</v>
      </c>
      <c r="B4337" s="31">
        <v>49263</v>
      </c>
      <c r="C4337" s="32">
        <f>INDEX('Input Data'!$B:$B,A4337)/2+IF(A4337&lt;&gt;A4338,100,0)</f>
        <v>0.8125</v>
      </c>
      <c r="D4337" s="33">
        <f>INDEX('ZCB Curve - Payment Dates'!$D$2:$D$246,MATCH(B4337,'ZCB Curve - Payment Dates'!$A$2:$A$246,0))</f>
        <v>0.68284221202539863</v>
      </c>
      <c r="E4337" s="32">
        <f t="shared" si="67"/>
        <v>0.55480929727063644</v>
      </c>
    </row>
    <row r="4338" spans="1:5" x14ac:dyDescent="0.25">
      <c r="A4338" s="17">
        <v>331</v>
      </c>
      <c r="B4338" s="31">
        <v>49444</v>
      </c>
      <c r="C4338" s="32">
        <f>INDEX('Input Data'!$B:$B,A4338)/2+IF(A4338&lt;&gt;A4339,100,0)</f>
        <v>0.8125</v>
      </c>
      <c r="D4338" s="33">
        <f>INDEX('ZCB Curve - Payment Dates'!$D$2:$D$246,MATCH(B4338,'ZCB Curve - Payment Dates'!$A$2:$A$246,0))</f>
        <v>0.66557347415228496</v>
      </c>
      <c r="E4338" s="32">
        <f t="shared" si="67"/>
        <v>0.54077844774873152</v>
      </c>
    </row>
    <row r="4339" spans="1:5" x14ac:dyDescent="0.25">
      <c r="A4339" s="17">
        <v>331</v>
      </c>
      <c r="B4339" s="31">
        <v>49628</v>
      </c>
      <c r="C4339" s="32">
        <f>INDEX('Input Data'!$B:$B,A4339)/2+IF(A4339&lt;&gt;A4340,100,0)</f>
        <v>0.8125</v>
      </c>
      <c r="D4339" s="33">
        <f>INDEX('ZCB Curve - Payment Dates'!$D$2:$D$246,MATCH(B4339,'ZCB Curve - Payment Dates'!$A$2:$A$246,0))</f>
        <v>0.64815361918127823</v>
      </c>
      <c r="E4339" s="32">
        <f t="shared" si="67"/>
        <v>0.52662481558478857</v>
      </c>
    </row>
    <row r="4340" spans="1:5" x14ac:dyDescent="0.25">
      <c r="A4340" s="17">
        <v>331</v>
      </c>
      <c r="B4340" s="31">
        <v>49810</v>
      </c>
      <c r="C4340" s="32">
        <f>INDEX('Input Data'!$B:$B,A4340)/2+IF(A4340&lt;&gt;A4341,100,0)</f>
        <v>0.8125</v>
      </c>
      <c r="D4340" s="33">
        <f>INDEX('ZCB Curve - Payment Dates'!$D$2:$D$246,MATCH(B4340,'ZCB Curve - Payment Dates'!$A$2:$A$246,0))</f>
        <v>0.63106457078577471</v>
      </c>
      <c r="E4340" s="32">
        <f t="shared" si="67"/>
        <v>0.512739963763442</v>
      </c>
    </row>
    <row r="4341" spans="1:5" x14ac:dyDescent="0.25">
      <c r="A4341" s="17">
        <v>331</v>
      </c>
      <c r="B4341" s="31">
        <v>49994</v>
      </c>
      <c r="C4341" s="32">
        <f>INDEX('Input Data'!$B:$B,A4341)/2+IF(A4341&lt;&gt;A4342,100,0)</f>
        <v>0.8125</v>
      </c>
      <c r="D4341" s="33">
        <f>INDEX('ZCB Curve - Payment Dates'!$D$2:$D$246,MATCH(B4341,'ZCB Curve - Payment Dates'!$A$2:$A$246,0))</f>
        <v>0.61395227923184648</v>
      </c>
      <c r="E4341" s="32">
        <f t="shared" si="67"/>
        <v>0.49883622687587525</v>
      </c>
    </row>
    <row r="4342" spans="1:5" x14ac:dyDescent="0.25">
      <c r="A4342" s="17">
        <v>331</v>
      </c>
      <c r="B4342" s="31">
        <v>50175</v>
      </c>
      <c r="C4342" s="32">
        <f>INDEX('Input Data'!$B:$B,A4342)/2+IF(A4342&lt;&gt;A4343,100,0)</f>
        <v>0.8125</v>
      </c>
      <c r="D4342" s="33">
        <f>INDEX('ZCB Curve - Payment Dates'!$D$2:$D$246,MATCH(B4342,'ZCB Curve - Payment Dates'!$A$2:$A$246,0))</f>
        <v>0.5972963482314616</v>
      </c>
      <c r="E4342" s="32">
        <f t="shared" si="67"/>
        <v>0.48530328293806257</v>
      </c>
    </row>
    <row r="4343" spans="1:5" x14ac:dyDescent="0.25">
      <c r="A4343" s="17">
        <v>331</v>
      </c>
      <c r="B4343" s="31">
        <v>50359</v>
      </c>
      <c r="C4343" s="32">
        <f>INDEX('Input Data'!$B:$B,A4343)/2+IF(A4343&lt;&gt;A4344,100,0)</f>
        <v>0.8125</v>
      </c>
      <c r="D4343" s="33">
        <f>INDEX('ZCB Curve - Payment Dates'!$D$2:$D$246,MATCH(B4343,'ZCB Curve - Payment Dates'!$A$2:$A$246,0))</f>
        <v>0.58056812006155756</v>
      </c>
      <c r="E4343" s="32">
        <f t="shared" si="67"/>
        <v>0.47171159755001552</v>
      </c>
    </row>
    <row r="4344" spans="1:5" x14ac:dyDescent="0.25">
      <c r="A4344" s="17">
        <v>331</v>
      </c>
      <c r="B4344" s="31">
        <v>50540</v>
      </c>
      <c r="C4344" s="32">
        <f>INDEX('Input Data'!$B:$B,A4344)/2+IF(A4344&lt;&gt;A4345,100,0)</f>
        <v>0.8125</v>
      </c>
      <c r="D4344" s="33">
        <f>INDEX('ZCB Curve - Payment Dates'!$D$2:$D$246,MATCH(B4344,'ZCB Curve - Payment Dates'!$A$2:$A$246,0))</f>
        <v>0.56433491315969797</v>
      </c>
      <c r="E4344" s="32">
        <f t="shared" si="67"/>
        <v>0.45852211694225459</v>
      </c>
    </row>
    <row r="4345" spans="1:5" x14ac:dyDescent="0.25">
      <c r="A4345" s="17">
        <v>331</v>
      </c>
      <c r="B4345" s="31">
        <v>50724</v>
      </c>
      <c r="C4345" s="32">
        <f>INDEX('Input Data'!$B:$B,A4345)/2+IF(A4345&lt;&gt;A4346,100,0)</f>
        <v>0.8125</v>
      </c>
      <c r="D4345" s="33">
        <f>INDEX('ZCB Curve - Payment Dates'!$D$2:$D$246,MATCH(B4345,'ZCB Curve - Payment Dates'!$A$2:$A$246,0))</f>
        <v>0.54808398139057424</v>
      </c>
      <c r="E4345" s="32">
        <f t="shared" si="67"/>
        <v>0.44531823487984157</v>
      </c>
    </row>
    <row r="4346" spans="1:5" x14ac:dyDescent="0.25">
      <c r="A4346" s="17">
        <v>331</v>
      </c>
      <c r="B4346" s="31">
        <v>50905</v>
      </c>
      <c r="C4346" s="32">
        <f>INDEX('Input Data'!$B:$B,A4346)/2+IF(A4346&lt;&gt;A4347,100,0)</f>
        <v>0.8125</v>
      </c>
      <c r="D4346" s="33">
        <f>INDEX('ZCB Curve - Payment Dates'!$D$2:$D$246,MATCH(B4346,'ZCB Curve - Payment Dates'!$A$2:$A$246,0))</f>
        <v>0.5323673246083096</v>
      </c>
      <c r="E4346" s="32">
        <f t="shared" si="67"/>
        <v>0.43254845124425156</v>
      </c>
    </row>
    <row r="4347" spans="1:5" x14ac:dyDescent="0.25">
      <c r="A4347" s="17">
        <v>331</v>
      </c>
      <c r="B4347" s="31">
        <v>51089</v>
      </c>
      <c r="C4347" s="32">
        <f>INDEX('Input Data'!$B:$B,A4347)/2+IF(A4347&lt;&gt;A4348,100,0)</f>
        <v>0.8125</v>
      </c>
      <c r="D4347" s="33">
        <f>INDEX('ZCB Curve - Payment Dates'!$D$2:$D$246,MATCH(B4347,'ZCB Curve - Payment Dates'!$A$2:$A$246,0))</f>
        <v>0.51668806431098135</v>
      </c>
      <c r="E4347" s="32">
        <f t="shared" si="67"/>
        <v>0.41980905225267234</v>
      </c>
    </row>
    <row r="4348" spans="1:5" x14ac:dyDescent="0.25">
      <c r="A4348" s="17">
        <v>331</v>
      </c>
      <c r="B4348" s="31">
        <v>51271</v>
      </c>
      <c r="C4348" s="32">
        <f>INDEX('Input Data'!$B:$B,A4348)/2+IF(A4348&lt;&gt;A4349,100,0)</f>
        <v>0.8125</v>
      </c>
      <c r="D4348" s="33">
        <f>INDEX('ZCB Curve - Payment Dates'!$D$2:$D$246,MATCH(B4348,'ZCB Curve - Payment Dates'!$A$2:$A$246,0))</f>
        <v>0.50149590020417278</v>
      </c>
      <c r="E4348" s="32">
        <f t="shared" si="67"/>
        <v>0.40746541891589039</v>
      </c>
    </row>
    <row r="4349" spans="1:5" x14ac:dyDescent="0.25">
      <c r="A4349" s="17">
        <v>331</v>
      </c>
      <c r="B4349" s="31">
        <v>51455</v>
      </c>
      <c r="C4349" s="32">
        <f>INDEX('Input Data'!$B:$B,A4349)/2+IF(A4349&lt;&gt;A4350,100,0)</f>
        <v>0.8125</v>
      </c>
      <c r="D4349" s="33">
        <f>INDEX('ZCB Curve - Payment Dates'!$D$2:$D$246,MATCH(B4349,'ZCB Curve - Payment Dates'!$A$2:$A$246,0))</f>
        <v>0.48647538074270091</v>
      </c>
      <c r="E4349" s="32">
        <f t="shared" si="67"/>
        <v>0.39526124685344449</v>
      </c>
    </row>
    <row r="4350" spans="1:5" x14ac:dyDescent="0.25">
      <c r="A4350" s="17">
        <v>331</v>
      </c>
      <c r="B4350" s="31">
        <v>51636</v>
      </c>
      <c r="C4350" s="32">
        <f>INDEX('Input Data'!$B:$B,A4350)/2+IF(A4350&lt;&gt;A4351,100,0)</f>
        <v>0.8125</v>
      </c>
      <c r="D4350" s="33">
        <f>INDEX('ZCB Curve - Payment Dates'!$D$2:$D$246,MATCH(B4350,'ZCB Curve - Payment Dates'!$A$2:$A$246,0))</f>
        <v>0.47204918703719451</v>
      </c>
      <c r="E4350" s="32">
        <f t="shared" si="67"/>
        <v>0.38353996446772054</v>
      </c>
    </row>
    <row r="4351" spans="1:5" x14ac:dyDescent="0.25">
      <c r="A4351" s="17">
        <v>331</v>
      </c>
      <c r="B4351" s="31">
        <v>51820</v>
      </c>
      <c r="C4351" s="32">
        <f>INDEX('Input Data'!$B:$B,A4351)/2+IF(A4351&lt;&gt;A4352,100,0)</f>
        <v>0.8125</v>
      </c>
      <c r="D4351" s="33">
        <f>INDEX('ZCB Curve - Payment Dates'!$D$2:$D$246,MATCH(B4351,'ZCB Curve - Payment Dates'!$A$2:$A$246,0))</f>
        <v>0.45775548669345245</v>
      </c>
      <c r="E4351" s="32">
        <f t="shared" si="67"/>
        <v>0.37192633293843014</v>
      </c>
    </row>
    <row r="4352" spans="1:5" x14ac:dyDescent="0.25">
      <c r="A4352" s="17">
        <v>331</v>
      </c>
      <c r="B4352" s="31">
        <v>52001</v>
      </c>
      <c r="C4352" s="32">
        <f>INDEX('Input Data'!$B:$B,A4352)/2+IF(A4352&lt;&gt;A4353,100,0)</f>
        <v>0.8125</v>
      </c>
      <c r="D4352" s="33">
        <f>INDEX('ZCB Curve - Payment Dates'!$D$2:$D$246,MATCH(B4352,'ZCB Curve - Payment Dates'!$A$2:$A$246,0))</f>
        <v>0.44407192118484318</v>
      </c>
      <c r="E4352" s="32">
        <f t="shared" si="67"/>
        <v>0.36080843596268508</v>
      </c>
    </row>
    <row r="4353" spans="1:5" x14ac:dyDescent="0.25">
      <c r="A4353" s="17">
        <v>331</v>
      </c>
      <c r="B4353" s="31">
        <v>52185</v>
      </c>
      <c r="C4353" s="32">
        <f>INDEX('Input Data'!$B:$B,A4353)/2+IF(A4353&lt;&gt;A4354,100,0)</f>
        <v>0.8125</v>
      </c>
      <c r="D4353" s="33">
        <f>INDEX('ZCB Curve - Payment Dates'!$D$2:$D$246,MATCH(B4353,'ZCB Curve - Payment Dates'!$A$2:$A$246,0))</f>
        <v>0.43055647946672393</v>
      </c>
      <c r="E4353" s="32">
        <f t="shared" si="67"/>
        <v>0.34982713956671319</v>
      </c>
    </row>
    <row r="4354" spans="1:5" x14ac:dyDescent="0.25">
      <c r="A4354" s="17">
        <v>331</v>
      </c>
      <c r="B4354" s="31">
        <v>52366</v>
      </c>
      <c r="C4354" s="32">
        <f>INDEX('Input Data'!$B:$B,A4354)/2+IF(A4354&lt;&gt;A4355,100,0)</f>
        <v>0.8125</v>
      </c>
      <c r="D4354" s="33">
        <f>INDEX('ZCB Curve - Payment Dates'!$D$2:$D$246,MATCH(B4354,'ZCB Curve - Payment Dates'!$A$2:$A$246,0))</f>
        <v>0.41765686229470528</v>
      </c>
      <c r="E4354" s="32">
        <f t="shared" ref="E4354:E4417" si="68">C4354*D4354</f>
        <v>0.33934620061444803</v>
      </c>
    </row>
    <row r="4355" spans="1:5" x14ac:dyDescent="0.25">
      <c r="A4355" s="17">
        <v>331</v>
      </c>
      <c r="B4355" s="31">
        <v>52550</v>
      </c>
      <c r="C4355" s="32">
        <f>INDEX('Input Data'!$B:$B,A4355)/2+IF(A4355&lt;&gt;A4356,100,0)</f>
        <v>0.8125</v>
      </c>
      <c r="D4355" s="33">
        <f>INDEX('ZCB Curve - Payment Dates'!$D$2:$D$246,MATCH(B4355,'ZCB Curve - Payment Dates'!$A$2:$A$246,0))</f>
        <v>0.40495237741553414</v>
      </c>
      <c r="E4355" s="32">
        <f t="shared" si="68"/>
        <v>0.32902380665012149</v>
      </c>
    </row>
    <row r="4356" spans="1:5" x14ac:dyDescent="0.25">
      <c r="A4356" s="17">
        <v>331</v>
      </c>
      <c r="B4356" s="31">
        <v>52732</v>
      </c>
      <c r="C4356" s="32">
        <f>INDEX('Input Data'!$B:$B,A4356)/2+IF(A4356&lt;&gt;A4357,100,0)</f>
        <v>0.8125</v>
      </c>
      <c r="D4356" s="33">
        <f>INDEX('ZCB Curve - Payment Dates'!$D$2:$D$246,MATCH(B4356,'ZCB Curve - Payment Dates'!$A$2:$A$246,0))</f>
        <v>0.3927952920896523</v>
      </c>
      <c r="E4356" s="32">
        <f t="shared" si="68"/>
        <v>0.31914617482284252</v>
      </c>
    </row>
    <row r="4357" spans="1:5" x14ac:dyDescent="0.25">
      <c r="A4357" s="17">
        <v>331</v>
      </c>
      <c r="B4357" s="31">
        <v>52916</v>
      </c>
      <c r="C4357" s="32">
        <f>INDEX('Input Data'!$B:$B,A4357)/2+IF(A4357&lt;&gt;A4358,100,0)</f>
        <v>0.8125</v>
      </c>
      <c r="D4357" s="33">
        <f>INDEX('ZCB Curve - Payment Dates'!$D$2:$D$246,MATCH(B4357,'ZCB Curve - Payment Dates'!$A$2:$A$246,0))</f>
        <v>0.38091684361752687</v>
      </c>
      <c r="E4357" s="32">
        <f t="shared" si="68"/>
        <v>0.30949493543924056</v>
      </c>
    </row>
    <row r="4358" spans="1:5" x14ac:dyDescent="0.25">
      <c r="A4358" s="17">
        <v>331</v>
      </c>
      <c r="B4358" s="31">
        <v>53097</v>
      </c>
      <c r="C4358" s="32">
        <f>INDEX('Input Data'!$B:$B,A4358)/2+IF(A4358&lt;&gt;A4359,100,0)</f>
        <v>0.8125</v>
      </c>
      <c r="D4358" s="33">
        <f>INDEX('ZCB Curve - Payment Dates'!$D$2:$D$246,MATCH(B4358,'ZCB Curve - Payment Dates'!$A$2:$A$246,0))</f>
        <v>0.36964331092783359</v>
      </c>
      <c r="E4358" s="32">
        <f t="shared" si="68"/>
        <v>0.30033519012886478</v>
      </c>
    </row>
    <row r="4359" spans="1:5" x14ac:dyDescent="0.25">
      <c r="A4359" s="17">
        <v>331</v>
      </c>
      <c r="B4359" s="31">
        <v>53281</v>
      </c>
      <c r="C4359" s="32">
        <f>INDEX('Input Data'!$B:$B,A4359)/2+IF(A4359&lt;&gt;A4360,100,0)</f>
        <v>0.8125</v>
      </c>
      <c r="D4359" s="33">
        <f>INDEX('ZCB Curve - Payment Dates'!$D$2:$D$246,MATCH(B4359,'ZCB Curve - Payment Dates'!$A$2:$A$246,0))</f>
        <v>0.35859090372935404</v>
      </c>
      <c r="E4359" s="32">
        <f t="shared" si="68"/>
        <v>0.29135510928010017</v>
      </c>
    </row>
    <row r="4360" spans="1:5" x14ac:dyDescent="0.25">
      <c r="A4360" s="17">
        <v>331</v>
      </c>
      <c r="B4360" s="31">
        <v>53462</v>
      </c>
      <c r="C4360" s="32">
        <f>INDEX('Input Data'!$B:$B,A4360)/2+IF(A4360&lt;&gt;A4361,100,0)</f>
        <v>0.8125</v>
      </c>
      <c r="D4360" s="33">
        <f>INDEX('ZCB Curve - Payment Dates'!$D$2:$D$246,MATCH(B4360,'ZCB Curve - Payment Dates'!$A$2:$A$246,0))</f>
        <v>0.34812465854380154</v>
      </c>
      <c r="E4360" s="32">
        <f t="shared" si="68"/>
        <v>0.28285128506683876</v>
      </c>
    </row>
    <row r="4361" spans="1:5" x14ac:dyDescent="0.25">
      <c r="A4361" s="17">
        <v>331</v>
      </c>
      <c r="B4361" s="31">
        <v>53646</v>
      </c>
      <c r="C4361" s="32">
        <f>INDEX('Input Data'!$B:$B,A4361)/2+IF(A4361&lt;&gt;A4362,100,0)</f>
        <v>0.8125</v>
      </c>
      <c r="D4361" s="33">
        <f>INDEX('ZCB Curve - Payment Dates'!$D$2:$D$246,MATCH(B4361,'ZCB Curve - Payment Dates'!$A$2:$A$246,0))</f>
        <v>0.33788528510382887</v>
      </c>
      <c r="E4361" s="32">
        <f t="shared" si="68"/>
        <v>0.27453179414686096</v>
      </c>
    </row>
    <row r="4362" spans="1:5" x14ac:dyDescent="0.25">
      <c r="A4362" s="17">
        <v>331</v>
      </c>
      <c r="B4362" s="31">
        <v>53827</v>
      </c>
      <c r="C4362" s="32">
        <f>INDEX('Input Data'!$B:$B,A4362)/2+IF(A4362&lt;&gt;A4363,100,0)</f>
        <v>0.8125</v>
      </c>
      <c r="D4362" s="33">
        <f>INDEX('ZCB Curve - Payment Dates'!$D$2:$D$246,MATCH(B4362,'ZCB Curve - Payment Dates'!$A$2:$A$246,0))</f>
        <v>0.32820827061914198</v>
      </c>
      <c r="E4362" s="32">
        <f t="shared" si="68"/>
        <v>0.26666921987805287</v>
      </c>
    </row>
    <row r="4363" spans="1:5" x14ac:dyDescent="0.25">
      <c r="A4363" s="17">
        <v>331</v>
      </c>
      <c r="B4363" s="31">
        <v>54011</v>
      </c>
      <c r="C4363" s="32">
        <f>INDEX('Input Data'!$B:$B,A4363)/2+IF(A4363&lt;&gt;A4364,100,0)</f>
        <v>0.8125</v>
      </c>
      <c r="D4363" s="33">
        <f>INDEX('ZCB Curve - Payment Dates'!$D$2:$D$246,MATCH(B4363,'ZCB Curve - Payment Dates'!$A$2:$A$246,0))</f>
        <v>0.31875888330253388</v>
      </c>
      <c r="E4363" s="32">
        <f t="shared" si="68"/>
        <v>0.25899159268330879</v>
      </c>
    </row>
    <row r="4364" spans="1:5" x14ac:dyDescent="0.25">
      <c r="A4364" s="17">
        <v>331</v>
      </c>
      <c r="B4364" s="31">
        <v>54193</v>
      </c>
      <c r="C4364" s="32">
        <f>INDEX('Input Data'!$B:$B,A4364)/2+IF(A4364&lt;&gt;A4365,100,0)</f>
        <v>0.8125</v>
      </c>
      <c r="D4364" s="33">
        <f>INDEX('ZCB Curve - Payment Dates'!$D$2:$D$246,MATCH(B4364,'ZCB Curve - Payment Dates'!$A$2:$A$246,0))</f>
        <v>0.30979516521120642</v>
      </c>
      <c r="E4364" s="32">
        <f t="shared" si="68"/>
        <v>0.25170857173410521</v>
      </c>
    </row>
    <row r="4365" spans="1:5" x14ac:dyDescent="0.25">
      <c r="A4365" s="17">
        <v>331</v>
      </c>
      <c r="B4365" s="31">
        <v>54377</v>
      </c>
      <c r="C4365" s="32">
        <f>INDEX('Input Data'!$B:$B,A4365)/2+IF(A4365&lt;&gt;A4366,100,0)</f>
        <v>0.8125</v>
      </c>
      <c r="D4365" s="33">
        <f>INDEX('ZCB Curve - Payment Dates'!$D$2:$D$246,MATCH(B4365,'ZCB Curve - Payment Dates'!$A$2:$A$246,0))</f>
        <v>0.30110901062008694</v>
      </c>
      <c r="E4365" s="32">
        <f t="shared" si="68"/>
        <v>0.24465107112882065</v>
      </c>
    </row>
    <row r="4366" spans="1:5" x14ac:dyDescent="0.25">
      <c r="A4366" s="17">
        <v>331</v>
      </c>
      <c r="B4366" s="31">
        <v>54558</v>
      </c>
      <c r="C4366" s="32">
        <f>INDEX('Input Data'!$B:$B,A4366)/2+IF(A4366&lt;&gt;A4367,100,0)</f>
        <v>0.8125</v>
      </c>
      <c r="D4366" s="33">
        <f>INDEX('ZCB Curve - Payment Dates'!$D$2:$D$246,MATCH(B4366,'ZCB Curve - Payment Dates'!$A$2:$A$246,0))</f>
        <v>0.29292467059800714</v>
      </c>
      <c r="E4366" s="32">
        <f t="shared" si="68"/>
        <v>0.23800129486088081</v>
      </c>
    </row>
    <row r="4367" spans="1:5" x14ac:dyDescent="0.25">
      <c r="A4367" s="17">
        <v>331</v>
      </c>
      <c r="B4367" s="31">
        <v>54742</v>
      </c>
      <c r="C4367" s="32">
        <f>INDEX('Input Data'!$B:$B,A4367)/2+IF(A4367&lt;&gt;A4368,100,0)</f>
        <v>0.8125</v>
      </c>
      <c r="D4367" s="33">
        <f>INDEX('ZCB Curve - Payment Dates'!$D$2:$D$246,MATCH(B4367,'ZCB Curve - Payment Dates'!$A$2:$A$246,0))</f>
        <v>0.28496204444064566</v>
      </c>
      <c r="E4367" s="32">
        <f t="shared" si="68"/>
        <v>0.23153166110802459</v>
      </c>
    </row>
    <row r="4368" spans="1:5" x14ac:dyDescent="0.25">
      <c r="A4368" s="17">
        <v>331</v>
      </c>
      <c r="B4368" s="31">
        <v>54923</v>
      </c>
      <c r="C4368" s="32">
        <f>INDEX('Input Data'!$B:$B,A4368)/2+IF(A4368&lt;&gt;A4369,100,0)</f>
        <v>0.8125</v>
      </c>
      <c r="D4368" s="33">
        <f>INDEX('ZCB Curve - Payment Dates'!$D$2:$D$246,MATCH(B4368,'ZCB Curve - Payment Dates'!$A$2:$A$246,0))</f>
        <v>0.27747061478742291</v>
      </c>
      <c r="E4368" s="32">
        <f t="shared" si="68"/>
        <v>0.22544487451478112</v>
      </c>
    </row>
    <row r="4369" spans="1:5" x14ac:dyDescent="0.25">
      <c r="A4369" s="17">
        <v>331</v>
      </c>
      <c r="B4369" s="31">
        <v>55107</v>
      </c>
      <c r="C4369" s="32">
        <f>INDEX('Input Data'!$B:$B,A4369)/2+IF(A4369&lt;&gt;A4370,100,0)</f>
        <v>100.8125</v>
      </c>
      <c r="D4369" s="33">
        <f>INDEX('ZCB Curve - Payment Dates'!$D$2:$D$246,MATCH(B4369,'ZCB Curve - Payment Dates'!$A$2:$A$246,0))</f>
        <v>0.2701926092917406</v>
      </c>
      <c r="E4369" s="32">
        <f t="shared" si="68"/>
        <v>27.2387924242236</v>
      </c>
    </row>
    <row r="4370" spans="1:5" x14ac:dyDescent="0.25">
      <c r="A4370" s="17">
        <v>332</v>
      </c>
      <c r="B4370" s="31">
        <v>46433</v>
      </c>
      <c r="C4370" s="32">
        <f>INDEX('Input Data'!$B:$B,A4370)/2+IF(A4370&lt;&gt;A4371,100,0)</f>
        <v>0.9375</v>
      </c>
      <c r="D4370" s="33">
        <f>INDEX('ZCB Curve - Payment Dates'!$D$2:$D$246,MATCH(B4370,'ZCB Curve - Payment Dates'!$A$2:$A$246,0))</f>
        <v>0.98242671792446301</v>
      </c>
      <c r="E4370" s="32">
        <f t="shared" si="68"/>
        <v>0.92102504805418406</v>
      </c>
    </row>
    <row r="4371" spans="1:5" x14ac:dyDescent="0.25">
      <c r="A4371" s="17">
        <v>332</v>
      </c>
      <c r="B4371" s="31">
        <v>46614</v>
      </c>
      <c r="C4371" s="32">
        <f>INDEX('Input Data'!$B:$B,A4371)/2+IF(A4371&lt;&gt;A4372,100,0)</f>
        <v>0.9375</v>
      </c>
      <c r="D4371" s="33">
        <f>INDEX('ZCB Curve - Payment Dates'!$D$2:$D$246,MATCH(B4371,'ZCB Curve - Payment Dates'!$A$2:$A$246,0))</f>
        <v>0.96187948164765535</v>
      </c>
      <c r="E4371" s="32">
        <f t="shared" si="68"/>
        <v>0.90176201404467693</v>
      </c>
    </row>
    <row r="4372" spans="1:5" x14ac:dyDescent="0.25">
      <c r="A4372" s="17">
        <v>332</v>
      </c>
      <c r="B4372" s="31">
        <v>46798</v>
      </c>
      <c r="C4372" s="32">
        <f>INDEX('Input Data'!$B:$B,A4372)/2+IF(A4372&lt;&gt;A4373,100,0)</f>
        <v>0.9375</v>
      </c>
      <c r="D4372" s="33">
        <f>INDEX('ZCB Curve - Payment Dates'!$D$2:$D$246,MATCH(B4372,'ZCB Curve - Payment Dates'!$A$2:$A$246,0))</f>
        <v>0.94049096132648802</v>
      </c>
      <c r="E4372" s="32">
        <f t="shared" si="68"/>
        <v>0.88171027624358256</v>
      </c>
    </row>
    <row r="4373" spans="1:5" x14ac:dyDescent="0.25">
      <c r="A4373" s="17">
        <v>332</v>
      </c>
      <c r="B4373" s="31">
        <v>46980</v>
      </c>
      <c r="C4373" s="32">
        <f>INDEX('Input Data'!$B:$B,A4373)/2+IF(A4373&lt;&gt;A4374,100,0)</f>
        <v>0.9375</v>
      </c>
      <c r="D4373" s="33">
        <f>INDEX('ZCB Curve - Payment Dates'!$D$2:$D$246,MATCH(B4373,'ZCB Curve - Payment Dates'!$A$2:$A$246,0))</f>
        <v>0.91931844130238327</v>
      </c>
      <c r="E4373" s="32">
        <f t="shared" si="68"/>
        <v>0.8618610387209843</v>
      </c>
    </row>
    <row r="4374" spans="1:5" x14ac:dyDescent="0.25">
      <c r="A4374" s="17">
        <v>332</v>
      </c>
      <c r="B4374" s="31">
        <v>47164</v>
      </c>
      <c r="C4374" s="32">
        <f>INDEX('Input Data'!$B:$B,A4374)/2+IF(A4374&lt;&gt;A4375,100,0)</f>
        <v>0.9375</v>
      </c>
      <c r="D4374" s="33">
        <f>INDEX('ZCB Curve - Payment Dates'!$D$2:$D$246,MATCH(B4374,'ZCB Curve - Payment Dates'!$A$2:$A$246,0))</f>
        <v>0.89817430058086534</v>
      </c>
      <c r="E4374" s="32">
        <f t="shared" si="68"/>
        <v>0.84203840679456121</v>
      </c>
    </row>
    <row r="4375" spans="1:5" x14ac:dyDescent="0.25">
      <c r="A4375" s="17">
        <v>332</v>
      </c>
      <c r="B4375" s="31">
        <v>47345</v>
      </c>
      <c r="C4375" s="32">
        <f>INDEX('Input Data'!$B:$B,A4375)/2+IF(A4375&lt;&gt;A4376,100,0)</f>
        <v>0.9375</v>
      </c>
      <c r="D4375" s="33">
        <f>INDEX('ZCB Curve - Payment Dates'!$D$2:$D$246,MATCH(B4375,'ZCB Curve - Payment Dates'!$A$2:$A$246,0))</f>
        <v>0.87778421628860481</v>
      </c>
      <c r="E4375" s="32">
        <f t="shared" si="68"/>
        <v>0.82292270277056701</v>
      </c>
    </row>
    <row r="4376" spans="1:5" x14ac:dyDescent="0.25">
      <c r="A4376" s="17">
        <v>332</v>
      </c>
      <c r="B4376" s="31">
        <v>47529</v>
      </c>
      <c r="C4376" s="32">
        <f>INDEX('Input Data'!$B:$B,A4376)/2+IF(A4376&lt;&gt;A4377,100,0)</f>
        <v>0.9375</v>
      </c>
      <c r="D4376" s="33">
        <f>INDEX('ZCB Curve - Payment Dates'!$D$2:$D$246,MATCH(B4376,'ZCB Curve - Payment Dates'!$A$2:$A$246,0))</f>
        <v>0.85751015570959666</v>
      </c>
      <c r="E4376" s="32">
        <f t="shared" si="68"/>
        <v>0.80391577097774691</v>
      </c>
    </row>
    <row r="4377" spans="1:5" x14ac:dyDescent="0.25">
      <c r="A4377" s="17">
        <v>332</v>
      </c>
      <c r="B4377" s="31">
        <v>47710</v>
      </c>
      <c r="C4377" s="32">
        <f>INDEX('Input Data'!$B:$B,A4377)/2+IF(A4377&lt;&gt;A4378,100,0)</f>
        <v>0.9375</v>
      </c>
      <c r="D4377" s="33">
        <f>INDEX('ZCB Curve - Payment Dates'!$D$2:$D$246,MATCH(B4377,'ZCB Curve - Payment Dates'!$A$2:$A$246,0))</f>
        <v>0.83802423748211174</v>
      </c>
      <c r="E4377" s="32">
        <f t="shared" si="68"/>
        <v>0.7856477226394798</v>
      </c>
    </row>
    <row r="4378" spans="1:5" x14ac:dyDescent="0.25">
      <c r="A4378" s="17">
        <v>332</v>
      </c>
      <c r="B4378" s="31">
        <v>47894</v>
      </c>
      <c r="C4378" s="32">
        <f>INDEX('Input Data'!$B:$B,A4378)/2+IF(A4378&lt;&gt;A4379,100,0)</f>
        <v>0.9375</v>
      </c>
      <c r="D4378" s="33">
        <f>INDEX('ZCB Curve - Payment Dates'!$D$2:$D$246,MATCH(B4378,'ZCB Curve - Payment Dates'!$A$2:$A$246,0))</f>
        <v>0.8186305474741673</v>
      </c>
      <c r="E4378" s="32">
        <f t="shared" si="68"/>
        <v>0.7674661382570318</v>
      </c>
    </row>
    <row r="4379" spans="1:5" x14ac:dyDescent="0.25">
      <c r="A4379" s="17">
        <v>332</v>
      </c>
      <c r="B4379" s="31">
        <v>48075</v>
      </c>
      <c r="C4379" s="32">
        <f>INDEX('Input Data'!$B:$B,A4379)/2+IF(A4379&lt;&gt;A4380,100,0)</f>
        <v>0.9375</v>
      </c>
      <c r="D4379" s="33">
        <f>INDEX('ZCB Curve - Payment Dates'!$D$2:$D$246,MATCH(B4379,'ZCB Curve - Payment Dates'!$A$2:$A$246,0))</f>
        <v>0.7999252334775927</v>
      </c>
      <c r="E4379" s="32">
        <f t="shared" si="68"/>
        <v>0.74992990638524315</v>
      </c>
    </row>
    <row r="4380" spans="1:5" x14ac:dyDescent="0.25">
      <c r="A4380" s="17">
        <v>332</v>
      </c>
      <c r="B4380" s="31">
        <v>48259</v>
      </c>
      <c r="C4380" s="32">
        <f>INDEX('Input Data'!$B:$B,A4380)/2+IF(A4380&lt;&gt;A4381,100,0)</f>
        <v>0.9375</v>
      </c>
      <c r="D4380" s="33">
        <f>INDEX('ZCB Curve - Payment Dates'!$D$2:$D$246,MATCH(B4380,'ZCB Curve - Payment Dates'!$A$2:$A$246,0))</f>
        <v>0.78121887027612602</v>
      </c>
      <c r="E4380" s="32">
        <f t="shared" si="68"/>
        <v>0.73239269088386816</v>
      </c>
    </row>
    <row r="4381" spans="1:5" x14ac:dyDescent="0.25">
      <c r="A4381" s="17">
        <v>332</v>
      </c>
      <c r="B4381" s="31">
        <v>48441</v>
      </c>
      <c r="C4381" s="32">
        <f>INDEX('Input Data'!$B:$B,A4381)/2+IF(A4381&lt;&gt;A4382,100,0)</f>
        <v>0.9375</v>
      </c>
      <c r="D4381" s="33">
        <f>INDEX('ZCB Curve - Payment Dates'!$D$2:$D$246,MATCH(B4381,'ZCB Curve - Payment Dates'!$A$2:$A$246,0))</f>
        <v>0.76298123459017864</v>
      </c>
      <c r="E4381" s="32">
        <f t="shared" si="68"/>
        <v>0.71529490742829249</v>
      </c>
    </row>
    <row r="4382" spans="1:5" x14ac:dyDescent="0.25">
      <c r="A4382" s="17">
        <v>332</v>
      </c>
      <c r="B4382" s="31">
        <v>48625</v>
      </c>
      <c r="C4382" s="32">
        <f>INDEX('Input Data'!$B:$B,A4382)/2+IF(A4382&lt;&gt;A4383,100,0)</f>
        <v>0.9375</v>
      </c>
      <c r="D4382" s="33">
        <f>INDEX('ZCB Curve - Payment Dates'!$D$2:$D$246,MATCH(B4382,'ZCB Curve - Payment Dates'!$A$2:$A$246,0))</f>
        <v>0.74476011611938586</v>
      </c>
      <c r="E4382" s="32">
        <f t="shared" si="68"/>
        <v>0.69821260886192427</v>
      </c>
    </row>
    <row r="4383" spans="1:5" x14ac:dyDescent="0.25">
      <c r="A4383" s="17">
        <v>332</v>
      </c>
      <c r="B4383" s="31">
        <v>48806</v>
      </c>
      <c r="C4383" s="32">
        <f>INDEX('Input Data'!$B:$B,A4383)/2+IF(A4383&lt;&gt;A4384,100,0)</f>
        <v>0.9375</v>
      </c>
      <c r="D4383" s="33">
        <f>INDEX('ZCB Curve - Payment Dates'!$D$2:$D$246,MATCH(B4383,'ZCB Curve - Payment Dates'!$A$2:$A$246,0))</f>
        <v>0.72701302496114584</v>
      </c>
      <c r="E4383" s="32">
        <f t="shared" si="68"/>
        <v>0.68157471090107424</v>
      </c>
    </row>
    <row r="4384" spans="1:5" x14ac:dyDescent="0.25">
      <c r="A4384" s="17">
        <v>332</v>
      </c>
      <c r="B4384" s="31">
        <v>48990</v>
      </c>
      <c r="C4384" s="32">
        <f>INDEX('Input Data'!$B:$B,A4384)/2+IF(A4384&lt;&gt;A4385,100,0)</f>
        <v>0.9375</v>
      </c>
      <c r="D4384" s="33">
        <f>INDEX('ZCB Curve - Payment Dates'!$D$2:$D$246,MATCH(B4384,'ZCB Curve - Payment Dates'!$A$2:$A$246,0))</f>
        <v>0.70912647031380449</v>
      </c>
      <c r="E4384" s="32">
        <f t="shared" si="68"/>
        <v>0.66480606591919167</v>
      </c>
    </row>
    <row r="4385" spans="1:5" x14ac:dyDescent="0.25">
      <c r="A4385" s="17">
        <v>332</v>
      </c>
      <c r="B4385" s="31">
        <v>49171</v>
      </c>
      <c r="C4385" s="32">
        <f>INDEX('Input Data'!$B:$B,A4385)/2+IF(A4385&lt;&gt;A4386,100,0)</f>
        <v>0.9375</v>
      </c>
      <c r="D4385" s="33">
        <f>INDEX('ZCB Curve - Payment Dates'!$D$2:$D$246,MATCH(B4385,'ZCB Curve - Payment Dates'!$A$2:$A$246,0))</f>
        <v>0.6916661505723215</v>
      </c>
      <c r="E4385" s="32">
        <f t="shared" si="68"/>
        <v>0.64843701616155136</v>
      </c>
    </row>
    <row r="4386" spans="1:5" x14ac:dyDescent="0.25">
      <c r="A4386" s="17">
        <v>332</v>
      </c>
      <c r="B4386" s="31">
        <v>49355</v>
      </c>
      <c r="C4386" s="32">
        <f>INDEX('Input Data'!$B:$B,A4386)/2+IF(A4386&lt;&gt;A4387,100,0)</f>
        <v>0.9375</v>
      </c>
      <c r="D4386" s="33">
        <f>INDEX('ZCB Curve - Payment Dates'!$D$2:$D$246,MATCH(B4386,'ZCB Curve - Payment Dates'!$A$2:$A$246,0))</f>
        <v>0.674047377898778</v>
      </c>
      <c r="E4386" s="32">
        <f t="shared" si="68"/>
        <v>0.63191941678010433</v>
      </c>
    </row>
    <row r="4387" spans="1:5" x14ac:dyDescent="0.25">
      <c r="A4387" s="17">
        <v>332</v>
      </c>
      <c r="B4387" s="31">
        <v>49536</v>
      </c>
      <c r="C4387" s="32">
        <f>INDEX('Input Data'!$B:$B,A4387)/2+IF(A4387&lt;&gt;A4388,100,0)</f>
        <v>0.9375</v>
      </c>
      <c r="D4387" s="33">
        <f>INDEX('ZCB Curve - Payment Dates'!$D$2:$D$246,MATCH(B4387,'ZCB Curve - Payment Dates'!$A$2:$A$246,0))</f>
        <v>0.65684432300638129</v>
      </c>
      <c r="E4387" s="32">
        <f t="shared" si="68"/>
        <v>0.61579155281848241</v>
      </c>
    </row>
    <row r="4388" spans="1:5" x14ac:dyDescent="0.25">
      <c r="A4388" s="17">
        <v>332</v>
      </c>
      <c r="B4388" s="31">
        <v>49720</v>
      </c>
      <c r="C4388" s="32">
        <f>INDEX('Input Data'!$B:$B,A4388)/2+IF(A4388&lt;&gt;A4389,100,0)</f>
        <v>0.9375</v>
      </c>
      <c r="D4388" s="33">
        <f>INDEX('ZCB Curve - Payment Dates'!$D$2:$D$246,MATCH(B4388,'ZCB Curve - Payment Dates'!$A$2:$A$246,0))</f>
        <v>0.63949604524993764</v>
      </c>
      <c r="E4388" s="32">
        <f t="shared" si="68"/>
        <v>0.5995275424218165</v>
      </c>
    </row>
    <row r="4389" spans="1:5" x14ac:dyDescent="0.25">
      <c r="A4389" s="17">
        <v>332</v>
      </c>
      <c r="B4389" s="31">
        <v>49902</v>
      </c>
      <c r="C4389" s="32">
        <f>INDEX('Input Data'!$B:$B,A4389)/2+IF(A4389&lt;&gt;A4390,100,0)</f>
        <v>0.9375</v>
      </c>
      <c r="D4389" s="33">
        <f>INDEX('ZCB Curve - Payment Dates'!$D$2:$D$246,MATCH(B4389,'ZCB Curve - Payment Dates'!$A$2:$A$246,0))</f>
        <v>0.62248862376822711</v>
      </c>
      <c r="E4389" s="32">
        <f t="shared" si="68"/>
        <v>0.58358308478271292</v>
      </c>
    </row>
    <row r="4390" spans="1:5" x14ac:dyDescent="0.25">
      <c r="A4390" s="17">
        <v>332</v>
      </c>
      <c r="B4390" s="31">
        <v>50086</v>
      </c>
      <c r="C4390" s="32">
        <f>INDEX('Input Data'!$B:$B,A4390)/2+IF(A4390&lt;&gt;A4391,100,0)</f>
        <v>0.9375</v>
      </c>
      <c r="D4390" s="33">
        <f>INDEX('ZCB Curve - Payment Dates'!$D$2:$D$246,MATCH(B4390,'ZCB Curve - Payment Dates'!$A$2:$A$246,0))</f>
        <v>0.60546490876014969</v>
      </c>
      <c r="E4390" s="32">
        <f t="shared" si="68"/>
        <v>0.56762335196264035</v>
      </c>
    </row>
    <row r="4391" spans="1:5" x14ac:dyDescent="0.25">
      <c r="A4391" s="17">
        <v>332</v>
      </c>
      <c r="B4391" s="31">
        <v>50267</v>
      </c>
      <c r="C4391" s="32">
        <f>INDEX('Input Data'!$B:$B,A4391)/2+IF(A4391&lt;&gt;A4392,100,0)</f>
        <v>0.9375</v>
      </c>
      <c r="D4391" s="33">
        <f>INDEX('ZCB Curve - Payment Dates'!$D$2:$D$246,MATCH(B4391,'ZCB Curve - Payment Dates'!$A$2:$A$246,0))</f>
        <v>0.58890683803346977</v>
      </c>
      <c r="E4391" s="32">
        <f t="shared" si="68"/>
        <v>0.5521001606563779</v>
      </c>
    </row>
    <row r="4392" spans="1:5" x14ac:dyDescent="0.25">
      <c r="A4392" s="17">
        <v>332</v>
      </c>
      <c r="B4392" s="31">
        <v>50451</v>
      </c>
      <c r="C4392" s="32">
        <f>INDEX('Input Data'!$B:$B,A4392)/2+IF(A4392&lt;&gt;A4393,100,0)</f>
        <v>0.9375</v>
      </c>
      <c r="D4392" s="33">
        <f>INDEX('ZCB Curve - Payment Dates'!$D$2:$D$246,MATCH(B4392,'ZCB Curve - Payment Dates'!$A$2:$A$246,0))</f>
        <v>0.57228983695479263</v>
      </c>
      <c r="E4392" s="32">
        <f t="shared" si="68"/>
        <v>0.53652172214511806</v>
      </c>
    </row>
    <row r="4393" spans="1:5" x14ac:dyDescent="0.25">
      <c r="A4393" s="17">
        <v>332</v>
      </c>
      <c r="B4393" s="31">
        <v>50632</v>
      </c>
      <c r="C4393" s="32">
        <f>INDEX('Input Data'!$B:$B,A4393)/2+IF(A4393&lt;&gt;A4394,100,0)</f>
        <v>0.9375</v>
      </c>
      <c r="D4393" s="33">
        <f>INDEX('ZCB Curve - Payment Dates'!$D$2:$D$246,MATCH(B4393,'ZCB Curve - Payment Dates'!$A$2:$A$246,0))</f>
        <v>0.55617795699202288</v>
      </c>
      <c r="E4393" s="32">
        <f t="shared" si="68"/>
        <v>0.52141683468002142</v>
      </c>
    </row>
    <row r="4394" spans="1:5" x14ac:dyDescent="0.25">
      <c r="A4394" s="17">
        <v>332</v>
      </c>
      <c r="B4394" s="31">
        <v>50816</v>
      </c>
      <c r="C4394" s="32">
        <f>INDEX('Input Data'!$B:$B,A4394)/2+IF(A4394&lt;&gt;A4395,100,0)</f>
        <v>0.9375</v>
      </c>
      <c r="D4394" s="33">
        <f>INDEX('ZCB Curve - Payment Dates'!$D$2:$D$246,MATCH(B4394,'ZCB Curve - Payment Dates'!$A$2:$A$246,0))</f>
        <v>0.54006240951211237</v>
      </c>
      <c r="E4394" s="32">
        <f t="shared" si="68"/>
        <v>0.50630850891760537</v>
      </c>
    </row>
    <row r="4395" spans="1:5" x14ac:dyDescent="0.25">
      <c r="A4395" s="17">
        <v>332</v>
      </c>
      <c r="B4395" s="31">
        <v>50997</v>
      </c>
      <c r="C4395" s="32">
        <f>INDEX('Input Data'!$B:$B,A4395)/2+IF(A4395&lt;&gt;A4396,100,0)</f>
        <v>0.9375</v>
      </c>
      <c r="D4395" s="33">
        <f>INDEX('ZCB Curve - Payment Dates'!$D$2:$D$246,MATCH(B4395,'ZCB Curve - Payment Dates'!$A$2:$A$246,0))</f>
        <v>0.52449040173194583</v>
      </c>
      <c r="E4395" s="32">
        <f t="shared" si="68"/>
        <v>0.49170975162369923</v>
      </c>
    </row>
    <row r="4396" spans="1:5" x14ac:dyDescent="0.25">
      <c r="A4396" s="17">
        <v>332</v>
      </c>
      <c r="B4396" s="31">
        <v>51181</v>
      </c>
      <c r="C4396" s="32">
        <f>INDEX('Input Data'!$B:$B,A4396)/2+IF(A4396&lt;&gt;A4397,100,0)</f>
        <v>0.9375</v>
      </c>
      <c r="D4396" s="33">
        <f>INDEX('ZCB Curve - Payment Dates'!$D$2:$D$246,MATCH(B4396,'ZCB Curve - Payment Dates'!$A$2:$A$246,0))</f>
        <v>0.5089691698468306</v>
      </c>
      <c r="E4396" s="32">
        <f t="shared" si="68"/>
        <v>0.47715859673140371</v>
      </c>
    </row>
    <row r="4397" spans="1:5" x14ac:dyDescent="0.25">
      <c r="A4397" s="17">
        <v>332</v>
      </c>
      <c r="B4397" s="31">
        <v>51363</v>
      </c>
      <c r="C4397" s="32">
        <f>INDEX('Input Data'!$B:$B,A4397)/2+IF(A4397&lt;&gt;A4398,100,0)</f>
        <v>0.9375</v>
      </c>
      <c r="D4397" s="33">
        <f>INDEX('ZCB Curve - Payment Dates'!$D$2:$D$246,MATCH(B4397,'ZCB Curve - Payment Dates'!$A$2:$A$246,0))</f>
        <v>0.49394036022330806</v>
      </c>
      <c r="E4397" s="32">
        <f t="shared" si="68"/>
        <v>0.46306908770935129</v>
      </c>
    </row>
    <row r="4398" spans="1:5" x14ac:dyDescent="0.25">
      <c r="A4398" s="17">
        <v>332</v>
      </c>
      <c r="B4398" s="31">
        <v>51547</v>
      </c>
      <c r="C4398" s="32">
        <f>INDEX('Input Data'!$B:$B,A4398)/2+IF(A4398&lt;&gt;A4399,100,0)</f>
        <v>0.9375</v>
      </c>
      <c r="D4398" s="33">
        <f>INDEX('ZCB Curve - Payment Dates'!$D$2:$D$246,MATCH(B4398,'ZCB Curve - Payment Dates'!$A$2:$A$246,0))</f>
        <v>0.47909718957588998</v>
      </c>
      <c r="E4398" s="32">
        <f t="shared" si="68"/>
        <v>0.44915361522739683</v>
      </c>
    </row>
    <row r="4399" spans="1:5" x14ac:dyDescent="0.25">
      <c r="A4399" s="17">
        <v>332</v>
      </c>
      <c r="B4399" s="31">
        <v>51728</v>
      </c>
      <c r="C4399" s="32">
        <f>INDEX('Input Data'!$B:$B,A4399)/2+IF(A4399&lt;&gt;A4400,100,0)</f>
        <v>0.9375</v>
      </c>
      <c r="D4399" s="33">
        <f>INDEX('ZCB Curve - Payment Dates'!$D$2:$D$246,MATCH(B4399,'ZCB Curve - Payment Dates'!$A$2:$A$246,0))</f>
        <v>0.46485329459616059</v>
      </c>
      <c r="E4399" s="32">
        <f t="shared" si="68"/>
        <v>0.43579996368390056</v>
      </c>
    </row>
    <row r="4400" spans="1:5" x14ac:dyDescent="0.25">
      <c r="A4400" s="17">
        <v>332</v>
      </c>
      <c r="B4400" s="31">
        <v>51912</v>
      </c>
      <c r="C4400" s="32">
        <f>INDEX('Input Data'!$B:$B,A4400)/2+IF(A4400&lt;&gt;A4401,100,0)</f>
        <v>0.9375</v>
      </c>
      <c r="D4400" s="33">
        <f>INDEX('ZCB Curve - Payment Dates'!$D$2:$D$246,MATCH(B4400,'ZCB Curve - Payment Dates'!$A$2:$A$246,0))</f>
        <v>0.45075168915212815</v>
      </c>
      <c r="E4400" s="32">
        <f t="shared" si="68"/>
        <v>0.42257970858012017</v>
      </c>
    </row>
    <row r="4401" spans="1:5" x14ac:dyDescent="0.25">
      <c r="A4401" s="17">
        <v>332</v>
      </c>
      <c r="B4401" s="31">
        <v>52093</v>
      </c>
      <c r="C4401" s="32">
        <f>INDEX('Input Data'!$B:$B,A4401)/2+IF(A4401&lt;&gt;A4402,100,0)</f>
        <v>0.9375</v>
      </c>
      <c r="D4401" s="33">
        <f>INDEX('ZCB Curve - Payment Dates'!$D$2:$D$246,MATCH(B4401,'ZCB Curve - Payment Dates'!$A$2:$A$246,0))</f>
        <v>0.43726259018094221</v>
      </c>
      <c r="E4401" s="32">
        <f t="shared" si="68"/>
        <v>0.40993367829463334</v>
      </c>
    </row>
    <row r="4402" spans="1:5" x14ac:dyDescent="0.25">
      <c r="A4402" s="17">
        <v>332</v>
      </c>
      <c r="B4402" s="31">
        <v>52277</v>
      </c>
      <c r="C4402" s="32">
        <f>INDEX('Input Data'!$B:$B,A4402)/2+IF(A4402&lt;&gt;A4403,100,0)</f>
        <v>0.9375</v>
      </c>
      <c r="D4402" s="33">
        <f>INDEX('ZCB Curve - Payment Dates'!$D$2:$D$246,MATCH(B4402,'ZCB Curve - Payment Dates'!$A$2:$A$246,0))</f>
        <v>0.4239492285351204</v>
      </c>
      <c r="E4402" s="32">
        <f t="shared" si="68"/>
        <v>0.3974524017516754</v>
      </c>
    </row>
    <row r="4403" spans="1:5" x14ac:dyDescent="0.25">
      <c r="A4403" s="17">
        <v>332</v>
      </c>
      <c r="B4403" s="31">
        <v>52458</v>
      </c>
      <c r="C4403" s="32">
        <f>INDEX('Input Data'!$B:$B,A4403)/2+IF(A4403&lt;&gt;A4404,100,0)</f>
        <v>0.9375</v>
      </c>
      <c r="D4403" s="33">
        <f>INDEX('ZCB Curve - Payment Dates'!$D$2:$D$246,MATCH(B4403,'ZCB Curve - Payment Dates'!$A$2:$A$246,0))</f>
        <v>0.4112516019468152</v>
      </c>
      <c r="E4403" s="32">
        <f t="shared" si="68"/>
        <v>0.38554837682513926</v>
      </c>
    </row>
    <row r="4404" spans="1:5" x14ac:dyDescent="0.25">
      <c r="A4404" s="17">
        <v>332</v>
      </c>
      <c r="B4404" s="31">
        <v>52642</v>
      </c>
      <c r="C4404" s="32">
        <f>INDEX('Input Data'!$B:$B,A4404)/2+IF(A4404&lt;&gt;A4405,100,0)</f>
        <v>0.9375</v>
      </c>
      <c r="D4404" s="33">
        <f>INDEX('ZCB Curve - Payment Dates'!$D$2:$D$246,MATCH(B4404,'ZCB Curve - Payment Dates'!$A$2:$A$246,0))</f>
        <v>0.39875459879352759</v>
      </c>
      <c r="E4404" s="32">
        <f t="shared" si="68"/>
        <v>0.3738324363689321</v>
      </c>
    </row>
    <row r="4405" spans="1:5" x14ac:dyDescent="0.25">
      <c r="A4405" s="17">
        <v>332</v>
      </c>
      <c r="B4405" s="31">
        <v>52824</v>
      </c>
      <c r="C4405" s="32">
        <f>INDEX('Input Data'!$B:$B,A4405)/2+IF(A4405&lt;&gt;A4406,100,0)</f>
        <v>0.9375</v>
      </c>
      <c r="D4405" s="33">
        <f>INDEX('ZCB Curve - Payment Dates'!$D$2:$D$246,MATCH(B4405,'ZCB Curve - Payment Dates'!$A$2:$A$246,0))</f>
        <v>0.38680384560622083</v>
      </c>
      <c r="E4405" s="32">
        <f t="shared" si="68"/>
        <v>0.36262860525583201</v>
      </c>
    </row>
    <row r="4406" spans="1:5" x14ac:dyDescent="0.25">
      <c r="A4406" s="17">
        <v>332</v>
      </c>
      <c r="B4406" s="31">
        <v>53008</v>
      </c>
      <c r="C4406" s="32">
        <f>INDEX('Input Data'!$B:$B,A4406)/2+IF(A4406&lt;&gt;A4407,100,0)</f>
        <v>0.9375</v>
      </c>
      <c r="D4406" s="33">
        <f>INDEX('ZCB Curve - Payment Dates'!$D$2:$D$246,MATCH(B4406,'ZCB Curve - Payment Dates'!$A$2:$A$246,0))</f>
        <v>0.37513648791915083</v>
      </c>
      <c r="E4406" s="32">
        <f t="shared" si="68"/>
        <v>0.35169045742420391</v>
      </c>
    </row>
    <row r="4407" spans="1:5" x14ac:dyDescent="0.25">
      <c r="A4407" s="17">
        <v>332</v>
      </c>
      <c r="B4407" s="31">
        <v>53189</v>
      </c>
      <c r="C4407" s="32">
        <f>INDEX('Input Data'!$B:$B,A4407)/2+IF(A4407&lt;&gt;A4408,100,0)</f>
        <v>0.9375</v>
      </c>
      <c r="D4407" s="33">
        <f>INDEX('ZCB Curve - Payment Dates'!$D$2:$D$246,MATCH(B4407,'ZCB Curve - Payment Dates'!$A$2:$A$246,0))</f>
        <v>0.36406533257851953</v>
      </c>
      <c r="E4407" s="32">
        <f t="shared" si="68"/>
        <v>0.34131124929236206</v>
      </c>
    </row>
    <row r="4408" spans="1:5" x14ac:dyDescent="0.25">
      <c r="A4408" s="17">
        <v>332</v>
      </c>
      <c r="B4408" s="31">
        <v>53373</v>
      </c>
      <c r="C4408" s="32">
        <f>INDEX('Input Data'!$B:$B,A4408)/2+IF(A4408&lt;&gt;A4409,100,0)</f>
        <v>0.9375</v>
      </c>
      <c r="D4408" s="33">
        <f>INDEX('ZCB Curve - Payment Dates'!$D$2:$D$246,MATCH(B4408,'ZCB Curve - Payment Dates'!$A$2:$A$246,0))</f>
        <v>0.35322166892031259</v>
      </c>
      <c r="E4408" s="32">
        <f t="shared" si="68"/>
        <v>0.33114531461279306</v>
      </c>
    </row>
    <row r="4409" spans="1:5" x14ac:dyDescent="0.25">
      <c r="A4409" s="17">
        <v>332</v>
      </c>
      <c r="B4409" s="31">
        <v>53554</v>
      </c>
      <c r="C4409" s="32">
        <f>INDEX('Input Data'!$B:$B,A4409)/2+IF(A4409&lt;&gt;A4410,100,0)</f>
        <v>0.9375</v>
      </c>
      <c r="D4409" s="33">
        <f>INDEX('ZCB Curve - Payment Dates'!$D$2:$D$246,MATCH(B4409,'ZCB Curve - Payment Dates'!$A$2:$A$246,0))</f>
        <v>0.34295436226619208</v>
      </c>
      <c r="E4409" s="32">
        <f t="shared" si="68"/>
        <v>0.32151971462455509</v>
      </c>
    </row>
    <row r="4410" spans="1:5" x14ac:dyDescent="0.25">
      <c r="A4410" s="17">
        <v>332</v>
      </c>
      <c r="B4410" s="31">
        <v>53738</v>
      </c>
      <c r="C4410" s="32">
        <f>INDEX('Input Data'!$B:$B,A4410)/2+IF(A4410&lt;&gt;A4411,100,0)</f>
        <v>0.9375</v>
      </c>
      <c r="D4410" s="33">
        <f>INDEX('ZCB Curve - Payment Dates'!$D$2:$D$246,MATCH(B4410,'ZCB Curve - Payment Dates'!$A$2:$A$246,0))</f>
        <v>0.33291860450360972</v>
      </c>
      <c r="E4410" s="32">
        <f t="shared" si="68"/>
        <v>0.31211119172213408</v>
      </c>
    </row>
    <row r="4411" spans="1:5" x14ac:dyDescent="0.25">
      <c r="A4411" s="17">
        <v>332</v>
      </c>
      <c r="B4411" s="31">
        <v>53919</v>
      </c>
      <c r="C4411" s="32">
        <f>INDEX('Input Data'!$B:$B,A4411)/2+IF(A4411&lt;&gt;A4412,100,0)</f>
        <v>0.9375</v>
      </c>
      <c r="D4411" s="33">
        <f>INDEX('ZCB Curve - Payment Dates'!$D$2:$D$246,MATCH(B4411,'ZCB Curve - Payment Dates'!$A$2:$A$246,0))</f>
        <v>0.32343468195091313</v>
      </c>
      <c r="E4411" s="32">
        <f t="shared" si="68"/>
        <v>0.30322001432898105</v>
      </c>
    </row>
    <row r="4412" spans="1:5" x14ac:dyDescent="0.25">
      <c r="A4412" s="17">
        <v>332</v>
      </c>
      <c r="B4412" s="31">
        <v>54103</v>
      </c>
      <c r="C4412" s="32">
        <f>INDEX('Input Data'!$B:$B,A4412)/2+IF(A4412&lt;&gt;A4413,100,0)</f>
        <v>0.9375</v>
      </c>
      <c r="D4412" s="33">
        <f>INDEX('ZCB Curve - Payment Dates'!$D$2:$D$246,MATCH(B4412,'ZCB Curve - Payment Dates'!$A$2:$A$246,0))</f>
        <v>0.31418167147949361</v>
      </c>
      <c r="E4412" s="32">
        <f t="shared" si="68"/>
        <v>0.29454531701202524</v>
      </c>
    </row>
    <row r="4413" spans="1:5" x14ac:dyDescent="0.25">
      <c r="A4413" s="17">
        <v>332</v>
      </c>
      <c r="B4413" s="31">
        <v>54285</v>
      </c>
      <c r="C4413" s="32">
        <f>INDEX('Input Data'!$B:$B,A4413)/2+IF(A4413&lt;&gt;A4414,100,0)</f>
        <v>0.9375</v>
      </c>
      <c r="D4413" s="33">
        <f>INDEX('ZCB Curve - Payment Dates'!$D$2:$D$246,MATCH(B4413,'ZCB Curve - Payment Dates'!$A$2:$A$246,0))</f>
        <v>0.30540618878290843</v>
      </c>
      <c r="E4413" s="32">
        <f t="shared" si="68"/>
        <v>0.28631830198397668</v>
      </c>
    </row>
    <row r="4414" spans="1:5" x14ac:dyDescent="0.25">
      <c r="A4414" s="17">
        <v>332</v>
      </c>
      <c r="B4414" s="31">
        <v>54469</v>
      </c>
      <c r="C4414" s="32">
        <f>INDEX('Input Data'!$B:$B,A4414)/2+IF(A4414&lt;&gt;A4415,100,0)</f>
        <v>0.9375</v>
      </c>
      <c r="D4414" s="33">
        <f>INDEX('ZCB Curve - Payment Dates'!$D$2:$D$246,MATCH(B4414,'ZCB Curve - Payment Dates'!$A$2:$A$246,0))</f>
        <v>0.29690423521941833</v>
      </c>
      <c r="E4414" s="32">
        <f t="shared" si="68"/>
        <v>0.27834772051820467</v>
      </c>
    </row>
    <row r="4415" spans="1:5" x14ac:dyDescent="0.25">
      <c r="A4415" s="17">
        <v>332</v>
      </c>
      <c r="B4415" s="31">
        <v>54650</v>
      </c>
      <c r="C4415" s="32">
        <f>INDEX('Input Data'!$B:$B,A4415)/2+IF(A4415&lt;&gt;A4416,100,0)</f>
        <v>0.9375</v>
      </c>
      <c r="D4415" s="33">
        <f>INDEX('ZCB Curve - Payment Dates'!$D$2:$D$246,MATCH(B4415,'ZCB Curve - Payment Dates'!$A$2:$A$246,0))</f>
        <v>0.2888997564491238</v>
      </c>
      <c r="E4415" s="32">
        <f t="shared" si="68"/>
        <v>0.27084352167105358</v>
      </c>
    </row>
    <row r="4416" spans="1:5" x14ac:dyDescent="0.25">
      <c r="A4416" s="17">
        <v>332</v>
      </c>
      <c r="B4416" s="31">
        <v>54834</v>
      </c>
      <c r="C4416" s="32">
        <f>INDEX('Input Data'!$B:$B,A4416)/2+IF(A4416&lt;&gt;A4417,100,0)</f>
        <v>0.9375</v>
      </c>
      <c r="D4416" s="33">
        <f>INDEX('ZCB Curve - Payment Dates'!$D$2:$D$246,MATCH(B4416,'ZCB Curve - Payment Dates'!$A$2:$A$246,0))</f>
        <v>0.28111189964037164</v>
      </c>
      <c r="E4416" s="32">
        <f t="shared" si="68"/>
        <v>0.26354240591284839</v>
      </c>
    </row>
    <row r="4417" spans="1:5" x14ac:dyDescent="0.25">
      <c r="A4417" s="17">
        <v>332</v>
      </c>
      <c r="B4417" s="31">
        <v>55015</v>
      </c>
      <c r="C4417" s="32">
        <f>INDEX('Input Data'!$B:$B,A4417)/2+IF(A4417&lt;&gt;A4418,100,0)</f>
        <v>0.9375</v>
      </c>
      <c r="D4417" s="33">
        <f>INDEX('ZCB Curve - Payment Dates'!$D$2:$D$246,MATCH(B4417,'ZCB Curve - Payment Dates'!$A$2:$A$246,0))</f>
        <v>0.27379046078597996</v>
      </c>
      <c r="E4417" s="32">
        <f t="shared" si="68"/>
        <v>0.25667855698685621</v>
      </c>
    </row>
    <row r="4418" spans="1:5" x14ac:dyDescent="0.25">
      <c r="A4418" s="17">
        <v>332</v>
      </c>
      <c r="B4418" s="31">
        <v>55199</v>
      </c>
      <c r="C4418" s="32">
        <f>INDEX('Input Data'!$B:$B,A4418)/2+IF(A4418&lt;&gt;A4419,100,0)</f>
        <v>100.9375</v>
      </c>
      <c r="D4418" s="33">
        <f>INDEX('ZCB Curve - Payment Dates'!$D$2:$D$246,MATCH(B4418,'ZCB Curve - Payment Dates'!$A$2:$A$246,0))</f>
        <v>0.26667724322397307</v>
      </c>
      <c r="E4418" s="32">
        <f t="shared" ref="E4418:E4481" si="69">C4418*D4418</f>
        <v>26.917734237919781</v>
      </c>
    </row>
    <row r="4419" spans="1:5" x14ac:dyDescent="0.25">
      <c r="A4419" s="17">
        <v>333</v>
      </c>
      <c r="B4419" s="31">
        <v>46341</v>
      </c>
      <c r="C4419" s="32">
        <f>INDEX('Input Data'!$B:$B,A4419)/2+IF(A4419&lt;&gt;A4420,100,0)</f>
        <v>1.1875</v>
      </c>
      <c r="D4419" s="33">
        <f>INDEX('ZCB Curve - Payment Dates'!$D$2:$D$246,MATCH(B4419,'ZCB Curve - Payment Dates'!$A$2:$A$246,0))</f>
        <v>0.99245367292309439</v>
      </c>
      <c r="E4419" s="32">
        <f t="shared" si="69"/>
        <v>1.1785387365961746</v>
      </c>
    </row>
    <row r="4420" spans="1:5" x14ac:dyDescent="0.25">
      <c r="A4420" s="17">
        <v>333</v>
      </c>
      <c r="B4420" s="31">
        <v>46522</v>
      </c>
      <c r="C4420" s="32">
        <f>INDEX('Input Data'!$B:$B,A4420)/2+IF(A4420&lt;&gt;A4421,100,0)</f>
        <v>1.1875</v>
      </c>
      <c r="D4420" s="33">
        <f>INDEX('ZCB Curve - Payment Dates'!$D$2:$D$246,MATCH(B4420,'ZCB Curve - Payment Dates'!$A$2:$A$246,0))</f>
        <v>0.97242179559611874</v>
      </c>
      <c r="E4420" s="32">
        <f t="shared" si="69"/>
        <v>1.1547508822703909</v>
      </c>
    </row>
    <row r="4421" spans="1:5" x14ac:dyDescent="0.25">
      <c r="A4421" s="17">
        <v>333</v>
      </c>
      <c r="B4421" s="31">
        <v>46706</v>
      </c>
      <c r="C4421" s="32">
        <f>INDEX('Input Data'!$B:$B,A4421)/2+IF(A4421&lt;&gt;A4422,100,0)</f>
        <v>1.1875</v>
      </c>
      <c r="D4421" s="33">
        <f>INDEX('ZCB Curve - Payment Dates'!$D$2:$D$246,MATCH(B4421,'ZCB Curve - Payment Dates'!$A$2:$A$246,0))</f>
        <v>0.95121018311627348</v>
      </c>
      <c r="E4421" s="32">
        <f t="shared" si="69"/>
        <v>1.1295620924505747</v>
      </c>
    </row>
    <row r="4422" spans="1:5" x14ac:dyDescent="0.25">
      <c r="A4422" s="17">
        <v>333</v>
      </c>
      <c r="B4422" s="31">
        <v>46888</v>
      </c>
      <c r="C4422" s="32">
        <f>INDEX('Input Data'!$B:$B,A4422)/2+IF(A4422&lt;&gt;A4423,100,0)</f>
        <v>1.1875</v>
      </c>
      <c r="D4422" s="33">
        <f>INDEX('ZCB Curve - Payment Dates'!$D$2:$D$246,MATCH(B4422,'ZCB Curve - Payment Dates'!$A$2:$A$246,0))</f>
        <v>0.93000025435083566</v>
      </c>
      <c r="E4422" s="32">
        <f t="shared" si="69"/>
        <v>1.1043753020416174</v>
      </c>
    </row>
    <row r="4423" spans="1:5" x14ac:dyDescent="0.25">
      <c r="A4423" s="17">
        <v>333</v>
      </c>
      <c r="B4423" s="31">
        <v>47072</v>
      </c>
      <c r="C4423" s="32">
        <f>INDEX('Input Data'!$B:$B,A4423)/2+IF(A4423&lt;&gt;A4424,100,0)</f>
        <v>1.1875</v>
      </c>
      <c r="D4423" s="33">
        <f>INDEX('ZCB Curve - Payment Dates'!$D$2:$D$246,MATCH(B4423,'ZCB Curve - Payment Dates'!$A$2:$A$246,0))</f>
        <v>0.90870125167038918</v>
      </c>
      <c r="E4423" s="32">
        <f t="shared" si="69"/>
        <v>1.0790827363585871</v>
      </c>
    </row>
    <row r="4424" spans="1:5" x14ac:dyDescent="0.25">
      <c r="A4424" s="17">
        <v>333</v>
      </c>
      <c r="B4424" s="31">
        <v>47253</v>
      </c>
      <c r="C4424" s="32">
        <f>INDEX('Input Data'!$B:$B,A4424)/2+IF(A4424&lt;&gt;A4425,100,0)</f>
        <v>1.1875</v>
      </c>
      <c r="D4424" s="33">
        <f>INDEX('ZCB Curve - Payment Dates'!$D$2:$D$246,MATCH(B4424,'ZCB Curve - Payment Dates'!$A$2:$A$246,0))</f>
        <v>0.88809325063638844</v>
      </c>
      <c r="E4424" s="32">
        <f t="shared" si="69"/>
        <v>1.0546107351307112</v>
      </c>
    </row>
    <row r="4425" spans="1:5" x14ac:dyDescent="0.25">
      <c r="A4425" s="17">
        <v>333</v>
      </c>
      <c r="B4425" s="31">
        <v>47437</v>
      </c>
      <c r="C4425" s="32">
        <f>INDEX('Input Data'!$B:$B,A4425)/2+IF(A4425&lt;&gt;A4426,100,0)</f>
        <v>1.1875</v>
      </c>
      <c r="D4425" s="33">
        <f>INDEX('ZCB Curve - Payment Dates'!$D$2:$D$246,MATCH(B4425,'ZCB Curve - Payment Dates'!$A$2:$A$246,0))</f>
        <v>0.86758824089536279</v>
      </c>
      <c r="E4425" s="32">
        <f t="shared" si="69"/>
        <v>1.0302610360632434</v>
      </c>
    </row>
    <row r="4426" spans="1:5" x14ac:dyDescent="0.25">
      <c r="A4426" s="17">
        <v>333</v>
      </c>
      <c r="B4426" s="31">
        <v>47618</v>
      </c>
      <c r="C4426" s="32">
        <f>INDEX('Input Data'!$B:$B,A4426)/2+IF(A4426&lt;&gt;A4427,100,0)</f>
        <v>1.1875</v>
      </c>
      <c r="D4426" s="33">
        <f>INDEX('ZCB Curve - Payment Dates'!$D$2:$D$246,MATCH(B4426,'ZCB Curve - Payment Dates'!$A$2:$A$246,0))</f>
        <v>0.84787416911783064</v>
      </c>
      <c r="E4426" s="32">
        <f t="shared" si="69"/>
        <v>1.006850575827424</v>
      </c>
    </row>
    <row r="4427" spans="1:5" x14ac:dyDescent="0.25">
      <c r="A4427" s="17">
        <v>333</v>
      </c>
      <c r="B4427" s="31">
        <v>47802</v>
      </c>
      <c r="C4427" s="32">
        <f>INDEX('Input Data'!$B:$B,A4427)/2+IF(A4427&lt;&gt;A4428,100,0)</f>
        <v>1.1875</v>
      </c>
      <c r="D4427" s="33">
        <f>INDEX('ZCB Curve - Payment Dates'!$D$2:$D$246,MATCH(B4427,'ZCB Curve - Payment Dates'!$A$2:$A$246,0))</f>
        <v>0.82827715028796722</v>
      </c>
      <c r="E4427" s="32">
        <f t="shared" si="69"/>
        <v>0.98357911596696113</v>
      </c>
    </row>
    <row r="4428" spans="1:5" x14ac:dyDescent="0.25">
      <c r="A4428" s="17">
        <v>333</v>
      </c>
      <c r="B4428" s="31">
        <v>47983</v>
      </c>
      <c r="C4428" s="32">
        <f>INDEX('Input Data'!$B:$B,A4428)/2+IF(A4428&lt;&gt;A4429,100,0)</f>
        <v>1.1875</v>
      </c>
      <c r="D4428" s="33">
        <f>INDEX('ZCB Curve - Payment Dates'!$D$2:$D$246,MATCH(B4428,'ZCB Curve - Payment Dates'!$A$2:$A$246,0))</f>
        <v>0.80939067484273564</v>
      </c>
      <c r="E4428" s="32">
        <f t="shared" si="69"/>
        <v>0.96115142637574857</v>
      </c>
    </row>
    <row r="4429" spans="1:5" x14ac:dyDescent="0.25">
      <c r="A4429" s="17">
        <v>333</v>
      </c>
      <c r="B4429" s="31">
        <v>48167</v>
      </c>
      <c r="C4429" s="32">
        <f>INDEX('Input Data'!$B:$B,A4429)/2+IF(A4429&lt;&gt;A4430,100,0)</f>
        <v>1.1875</v>
      </c>
      <c r="D4429" s="33">
        <f>INDEX('ZCB Curve - Payment Dates'!$D$2:$D$246,MATCH(B4429,'ZCB Curve - Payment Dates'!$A$2:$A$246,0))</f>
        <v>0.79053567842581962</v>
      </c>
      <c r="E4429" s="32">
        <f t="shared" si="69"/>
        <v>0.93876111813066077</v>
      </c>
    </row>
    <row r="4430" spans="1:5" x14ac:dyDescent="0.25">
      <c r="A4430" s="17">
        <v>333</v>
      </c>
      <c r="B4430" s="31">
        <v>48349</v>
      </c>
      <c r="C4430" s="32">
        <f>INDEX('Input Data'!$B:$B,A4430)/2+IF(A4430&lt;&gt;A4431,100,0)</f>
        <v>1.1875</v>
      </c>
      <c r="D4430" s="33">
        <f>INDEX('ZCB Curve - Payment Dates'!$D$2:$D$246,MATCH(B4430,'ZCB Curve - Payment Dates'!$A$2:$A$246,0))</f>
        <v>0.77217305702007488</v>
      </c>
      <c r="E4430" s="32">
        <f t="shared" si="69"/>
        <v>0.91695550521133895</v>
      </c>
    </row>
    <row r="4431" spans="1:5" x14ac:dyDescent="0.25">
      <c r="A4431" s="17">
        <v>333</v>
      </c>
      <c r="B4431" s="31">
        <v>48533</v>
      </c>
      <c r="C4431" s="32">
        <f>INDEX('Input Data'!$B:$B,A4431)/2+IF(A4431&lt;&gt;A4432,100,0)</f>
        <v>1.1875</v>
      </c>
      <c r="D4431" s="33">
        <f>INDEX('ZCB Curve - Payment Dates'!$D$2:$D$246,MATCH(B4431,'ZCB Curve - Payment Dates'!$A$2:$A$246,0))</f>
        <v>0.75384766072076514</v>
      </c>
      <c r="E4431" s="32">
        <f t="shared" si="69"/>
        <v>0.89519409710590858</v>
      </c>
    </row>
    <row r="4432" spans="1:5" x14ac:dyDescent="0.25">
      <c r="A4432" s="17">
        <v>333</v>
      </c>
      <c r="B4432" s="31">
        <v>48714</v>
      </c>
      <c r="C4432" s="32">
        <f>INDEX('Input Data'!$B:$B,A4432)/2+IF(A4432&lt;&gt;A4433,100,0)</f>
        <v>1.1875</v>
      </c>
      <c r="D4432" s="33">
        <f>INDEX('ZCB Curve - Payment Dates'!$D$2:$D$246,MATCH(B4432,'ZCB Curve - Payment Dates'!$A$2:$A$246,0))</f>
        <v>0.73601491848746747</v>
      </c>
      <c r="E4432" s="32">
        <f t="shared" si="69"/>
        <v>0.87401771570386766</v>
      </c>
    </row>
    <row r="4433" spans="1:5" x14ac:dyDescent="0.25">
      <c r="A4433" s="17">
        <v>333</v>
      </c>
      <c r="B4433" s="31">
        <v>48898</v>
      </c>
      <c r="C4433" s="32">
        <f>INDEX('Input Data'!$B:$B,A4433)/2+IF(A4433&lt;&gt;A4434,100,0)</f>
        <v>1.1875</v>
      </c>
      <c r="D4433" s="33">
        <f>INDEX('ZCB Curve - Payment Dates'!$D$2:$D$246,MATCH(B4433,'ZCB Curve - Payment Dates'!$A$2:$A$246,0))</f>
        <v>0.71805338140354003</v>
      </c>
      <c r="E4433" s="32">
        <f t="shared" si="69"/>
        <v>0.85268839041670375</v>
      </c>
    </row>
    <row r="4434" spans="1:5" x14ac:dyDescent="0.25">
      <c r="A4434" s="17">
        <v>333</v>
      </c>
      <c r="B4434" s="31">
        <v>49079</v>
      </c>
      <c r="C4434" s="32">
        <f>INDEX('Input Data'!$B:$B,A4434)/2+IF(A4434&lt;&gt;A4435,100,0)</f>
        <v>1.1875</v>
      </c>
      <c r="D4434" s="33">
        <f>INDEX('ZCB Curve - Payment Dates'!$D$2:$D$246,MATCH(B4434,'ZCB Curve - Payment Dates'!$A$2:$A$246,0))</f>
        <v>0.70052630492471468</v>
      </c>
      <c r="E4434" s="32">
        <f t="shared" si="69"/>
        <v>0.83187498709809871</v>
      </c>
    </row>
    <row r="4435" spans="1:5" x14ac:dyDescent="0.25">
      <c r="A4435" s="17">
        <v>333</v>
      </c>
      <c r="B4435" s="31">
        <v>49263</v>
      </c>
      <c r="C4435" s="32">
        <f>INDEX('Input Data'!$B:$B,A4435)/2+IF(A4435&lt;&gt;A4436,100,0)</f>
        <v>1.1875</v>
      </c>
      <c r="D4435" s="33">
        <f>INDEX('ZCB Curve - Payment Dates'!$D$2:$D$246,MATCH(B4435,'ZCB Curve - Payment Dates'!$A$2:$A$246,0))</f>
        <v>0.68284221202539863</v>
      </c>
      <c r="E4435" s="32">
        <f t="shared" si="69"/>
        <v>0.81087512678016083</v>
      </c>
    </row>
    <row r="4436" spans="1:5" x14ac:dyDescent="0.25">
      <c r="A4436" s="17">
        <v>333</v>
      </c>
      <c r="B4436" s="31">
        <v>49444</v>
      </c>
      <c r="C4436" s="32">
        <f>INDEX('Input Data'!$B:$B,A4436)/2+IF(A4436&lt;&gt;A4437,100,0)</f>
        <v>1.1875</v>
      </c>
      <c r="D4436" s="33">
        <f>INDEX('ZCB Curve - Payment Dates'!$D$2:$D$246,MATCH(B4436,'ZCB Curve - Payment Dates'!$A$2:$A$246,0))</f>
        <v>0.66557347415228496</v>
      </c>
      <c r="E4436" s="32">
        <f t="shared" si="69"/>
        <v>0.7903685005558384</v>
      </c>
    </row>
    <row r="4437" spans="1:5" x14ac:dyDescent="0.25">
      <c r="A4437" s="17">
        <v>333</v>
      </c>
      <c r="B4437" s="31">
        <v>49628</v>
      </c>
      <c r="C4437" s="32">
        <f>INDEX('Input Data'!$B:$B,A4437)/2+IF(A4437&lt;&gt;A4438,100,0)</f>
        <v>1.1875</v>
      </c>
      <c r="D4437" s="33">
        <f>INDEX('ZCB Curve - Payment Dates'!$D$2:$D$246,MATCH(B4437,'ZCB Curve - Payment Dates'!$A$2:$A$246,0))</f>
        <v>0.64815361918127823</v>
      </c>
      <c r="E4437" s="32">
        <f t="shared" si="69"/>
        <v>0.76968242277776788</v>
      </c>
    </row>
    <row r="4438" spans="1:5" x14ac:dyDescent="0.25">
      <c r="A4438" s="17">
        <v>333</v>
      </c>
      <c r="B4438" s="31">
        <v>49810</v>
      </c>
      <c r="C4438" s="32">
        <f>INDEX('Input Data'!$B:$B,A4438)/2+IF(A4438&lt;&gt;A4439,100,0)</f>
        <v>1.1875</v>
      </c>
      <c r="D4438" s="33">
        <f>INDEX('ZCB Curve - Payment Dates'!$D$2:$D$246,MATCH(B4438,'ZCB Curve - Payment Dates'!$A$2:$A$246,0))</f>
        <v>0.63106457078577471</v>
      </c>
      <c r="E4438" s="32">
        <f t="shared" si="69"/>
        <v>0.74938917780810743</v>
      </c>
    </row>
    <row r="4439" spans="1:5" x14ac:dyDescent="0.25">
      <c r="A4439" s="17">
        <v>333</v>
      </c>
      <c r="B4439" s="31">
        <v>49994</v>
      </c>
      <c r="C4439" s="32">
        <f>INDEX('Input Data'!$B:$B,A4439)/2+IF(A4439&lt;&gt;A4440,100,0)</f>
        <v>1.1875</v>
      </c>
      <c r="D4439" s="33">
        <f>INDEX('ZCB Curve - Payment Dates'!$D$2:$D$246,MATCH(B4439,'ZCB Curve - Payment Dates'!$A$2:$A$246,0))</f>
        <v>0.61395227923184648</v>
      </c>
      <c r="E4439" s="32">
        <f t="shared" si="69"/>
        <v>0.7290683315878177</v>
      </c>
    </row>
    <row r="4440" spans="1:5" x14ac:dyDescent="0.25">
      <c r="A4440" s="17">
        <v>333</v>
      </c>
      <c r="B4440" s="31">
        <v>50175</v>
      </c>
      <c r="C4440" s="32">
        <f>INDEX('Input Data'!$B:$B,A4440)/2+IF(A4440&lt;&gt;A4441,100,0)</f>
        <v>1.1875</v>
      </c>
      <c r="D4440" s="33">
        <f>INDEX('ZCB Curve - Payment Dates'!$D$2:$D$246,MATCH(B4440,'ZCB Curve - Payment Dates'!$A$2:$A$246,0))</f>
        <v>0.5972963482314616</v>
      </c>
      <c r="E4440" s="32">
        <f t="shared" si="69"/>
        <v>0.70928941352486063</v>
      </c>
    </row>
    <row r="4441" spans="1:5" x14ac:dyDescent="0.25">
      <c r="A4441" s="17">
        <v>333</v>
      </c>
      <c r="B4441" s="31">
        <v>50359</v>
      </c>
      <c r="C4441" s="32">
        <f>INDEX('Input Data'!$B:$B,A4441)/2+IF(A4441&lt;&gt;A4442,100,0)</f>
        <v>1.1875</v>
      </c>
      <c r="D4441" s="33">
        <f>INDEX('ZCB Curve - Payment Dates'!$D$2:$D$246,MATCH(B4441,'ZCB Curve - Payment Dates'!$A$2:$A$246,0))</f>
        <v>0.58056812006155756</v>
      </c>
      <c r="E4441" s="32">
        <f t="shared" si="69"/>
        <v>0.68942464257309966</v>
      </c>
    </row>
    <row r="4442" spans="1:5" x14ac:dyDescent="0.25">
      <c r="A4442" s="17">
        <v>333</v>
      </c>
      <c r="B4442" s="31">
        <v>50540</v>
      </c>
      <c r="C4442" s="32">
        <f>INDEX('Input Data'!$B:$B,A4442)/2+IF(A4442&lt;&gt;A4443,100,0)</f>
        <v>1.1875</v>
      </c>
      <c r="D4442" s="33">
        <f>INDEX('ZCB Curve - Payment Dates'!$D$2:$D$246,MATCH(B4442,'ZCB Curve - Payment Dates'!$A$2:$A$246,0))</f>
        <v>0.56433491315969797</v>
      </c>
      <c r="E4442" s="32">
        <f t="shared" si="69"/>
        <v>0.6701477093771413</v>
      </c>
    </row>
    <row r="4443" spans="1:5" x14ac:dyDescent="0.25">
      <c r="A4443" s="17">
        <v>333</v>
      </c>
      <c r="B4443" s="31">
        <v>50724</v>
      </c>
      <c r="C4443" s="32">
        <f>INDEX('Input Data'!$B:$B,A4443)/2+IF(A4443&lt;&gt;A4444,100,0)</f>
        <v>1.1875</v>
      </c>
      <c r="D4443" s="33">
        <f>INDEX('ZCB Curve - Payment Dates'!$D$2:$D$246,MATCH(B4443,'ZCB Curve - Payment Dates'!$A$2:$A$246,0))</f>
        <v>0.54808398139057424</v>
      </c>
      <c r="E4443" s="32">
        <f t="shared" si="69"/>
        <v>0.65084972790130691</v>
      </c>
    </row>
    <row r="4444" spans="1:5" x14ac:dyDescent="0.25">
      <c r="A4444" s="17">
        <v>333</v>
      </c>
      <c r="B4444" s="31">
        <v>50905</v>
      </c>
      <c r="C4444" s="32">
        <f>INDEX('Input Data'!$B:$B,A4444)/2+IF(A4444&lt;&gt;A4445,100,0)</f>
        <v>1.1875</v>
      </c>
      <c r="D4444" s="33">
        <f>INDEX('ZCB Curve - Payment Dates'!$D$2:$D$246,MATCH(B4444,'ZCB Curve - Payment Dates'!$A$2:$A$246,0))</f>
        <v>0.5323673246083096</v>
      </c>
      <c r="E4444" s="32">
        <f t="shared" si="69"/>
        <v>0.63218619797236764</v>
      </c>
    </row>
    <row r="4445" spans="1:5" x14ac:dyDescent="0.25">
      <c r="A4445" s="17">
        <v>333</v>
      </c>
      <c r="B4445" s="31">
        <v>51089</v>
      </c>
      <c r="C4445" s="32">
        <f>INDEX('Input Data'!$B:$B,A4445)/2+IF(A4445&lt;&gt;A4446,100,0)</f>
        <v>1.1875</v>
      </c>
      <c r="D4445" s="33">
        <f>INDEX('ZCB Curve - Payment Dates'!$D$2:$D$246,MATCH(B4445,'ZCB Curve - Payment Dates'!$A$2:$A$246,0))</f>
        <v>0.51668806431098135</v>
      </c>
      <c r="E4445" s="32">
        <f t="shared" si="69"/>
        <v>0.61356707636929031</v>
      </c>
    </row>
    <row r="4446" spans="1:5" x14ac:dyDescent="0.25">
      <c r="A4446" s="17">
        <v>333</v>
      </c>
      <c r="B4446" s="31">
        <v>51271</v>
      </c>
      <c r="C4446" s="32">
        <f>INDEX('Input Data'!$B:$B,A4446)/2+IF(A4446&lt;&gt;A4447,100,0)</f>
        <v>1.1875</v>
      </c>
      <c r="D4446" s="33">
        <f>INDEX('ZCB Curve - Payment Dates'!$D$2:$D$246,MATCH(B4446,'ZCB Curve - Payment Dates'!$A$2:$A$246,0))</f>
        <v>0.50149590020417278</v>
      </c>
      <c r="E4446" s="32">
        <f t="shared" si="69"/>
        <v>0.59552638149245518</v>
      </c>
    </row>
    <row r="4447" spans="1:5" x14ac:dyDescent="0.25">
      <c r="A4447" s="17">
        <v>333</v>
      </c>
      <c r="B4447" s="31">
        <v>51455</v>
      </c>
      <c r="C4447" s="32">
        <f>INDEX('Input Data'!$B:$B,A4447)/2+IF(A4447&lt;&gt;A4448,100,0)</f>
        <v>1.1875</v>
      </c>
      <c r="D4447" s="33">
        <f>INDEX('ZCB Curve - Payment Dates'!$D$2:$D$246,MATCH(B4447,'ZCB Curve - Payment Dates'!$A$2:$A$246,0))</f>
        <v>0.48647538074270091</v>
      </c>
      <c r="E4447" s="32">
        <f t="shared" si="69"/>
        <v>0.57768951463195739</v>
      </c>
    </row>
    <row r="4448" spans="1:5" x14ac:dyDescent="0.25">
      <c r="A4448" s="17">
        <v>333</v>
      </c>
      <c r="B4448" s="31">
        <v>51636</v>
      </c>
      <c r="C4448" s="32">
        <f>INDEX('Input Data'!$B:$B,A4448)/2+IF(A4448&lt;&gt;A4449,100,0)</f>
        <v>1.1875</v>
      </c>
      <c r="D4448" s="33">
        <f>INDEX('ZCB Curve - Payment Dates'!$D$2:$D$246,MATCH(B4448,'ZCB Curve - Payment Dates'!$A$2:$A$246,0))</f>
        <v>0.47204918703719451</v>
      </c>
      <c r="E4448" s="32">
        <f t="shared" si="69"/>
        <v>0.56055840960666847</v>
      </c>
    </row>
    <row r="4449" spans="1:5" x14ac:dyDescent="0.25">
      <c r="A4449" s="17">
        <v>333</v>
      </c>
      <c r="B4449" s="31">
        <v>51820</v>
      </c>
      <c r="C4449" s="32">
        <f>INDEX('Input Data'!$B:$B,A4449)/2+IF(A4449&lt;&gt;A4450,100,0)</f>
        <v>1.1875</v>
      </c>
      <c r="D4449" s="33">
        <f>INDEX('ZCB Curve - Payment Dates'!$D$2:$D$246,MATCH(B4449,'ZCB Curve - Payment Dates'!$A$2:$A$246,0))</f>
        <v>0.45775548669345245</v>
      </c>
      <c r="E4449" s="32">
        <f t="shared" si="69"/>
        <v>0.54358464044847477</v>
      </c>
    </row>
    <row r="4450" spans="1:5" x14ac:dyDescent="0.25">
      <c r="A4450" s="17">
        <v>333</v>
      </c>
      <c r="B4450" s="31">
        <v>52001</v>
      </c>
      <c r="C4450" s="32">
        <f>INDEX('Input Data'!$B:$B,A4450)/2+IF(A4450&lt;&gt;A4451,100,0)</f>
        <v>1.1875</v>
      </c>
      <c r="D4450" s="33">
        <f>INDEX('ZCB Curve - Payment Dates'!$D$2:$D$246,MATCH(B4450,'ZCB Curve - Payment Dates'!$A$2:$A$246,0))</f>
        <v>0.44407192118484318</v>
      </c>
      <c r="E4450" s="32">
        <f t="shared" si="69"/>
        <v>0.52733540640700127</v>
      </c>
    </row>
    <row r="4451" spans="1:5" x14ac:dyDescent="0.25">
      <c r="A4451" s="17">
        <v>333</v>
      </c>
      <c r="B4451" s="31">
        <v>52185</v>
      </c>
      <c r="C4451" s="32">
        <f>INDEX('Input Data'!$B:$B,A4451)/2+IF(A4451&lt;&gt;A4452,100,0)</f>
        <v>1.1875</v>
      </c>
      <c r="D4451" s="33">
        <f>INDEX('ZCB Curve - Payment Dates'!$D$2:$D$246,MATCH(B4451,'ZCB Curve - Payment Dates'!$A$2:$A$246,0))</f>
        <v>0.43055647946672393</v>
      </c>
      <c r="E4451" s="32">
        <f t="shared" si="69"/>
        <v>0.51128581936673467</v>
      </c>
    </row>
    <row r="4452" spans="1:5" x14ac:dyDescent="0.25">
      <c r="A4452" s="17">
        <v>333</v>
      </c>
      <c r="B4452" s="31">
        <v>52366</v>
      </c>
      <c r="C4452" s="32">
        <f>INDEX('Input Data'!$B:$B,A4452)/2+IF(A4452&lt;&gt;A4453,100,0)</f>
        <v>1.1875</v>
      </c>
      <c r="D4452" s="33">
        <f>INDEX('ZCB Curve - Payment Dates'!$D$2:$D$246,MATCH(B4452,'ZCB Curve - Payment Dates'!$A$2:$A$246,0))</f>
        <v>0.41765686229470528</v>
      </c>
      <c r="E4452" s="32">
        <f t="shared" si="69"/>
        <v>0.49596752397496252</v>
      </c>
    </row>
    <row r="4453" spans="1:5" x14ac:dyDescent="0.25">
      <c r="A4453" s="17">
        <v>333</v>
      </c>
      <c r="B4453" s="31">
        <v>52550</v>
      </c>
      <c r="C4453" s="32">
        <f>INDEX('Input Data'!$B:$B,A4453)/2+IF(A4453&lt;&gt;A4454,100,0)</f>
        <v>1.1875</v>
      </c>
      <c r="D4453" s="33">
        <f>INDEX('ZCB Curve - Payment Dates'!$D$2:$D$246,MATCH(B4453,'ZCB Curve - Payment Dates'!$A$2:$A$246,0))</f>
        <v>0.40495237741553414</v>
      </c>
      <c r="E4453" s="32">
        <f t="shared" si="69"/>
        <v>0.48088094818094679</v>
      </c>
    </row>
    <row r="4454" spans="1:5" x14ac:dyDescent="0.25">
      <c r="A4454" s="17">
        <v>333</v>
      </c>
      <c r="B4454" s="31">
        <v>52732</v>
      </c>
      <c r="C4454" s="32">
        <f>INDEX('Input Data'!$B:$B,A4454)/2+IF(A4454&lt;&gt;A4455,100,0)</f>
        <v>1.1875</v>
      </c>
      <c r="D4454" s="33">
        <f>INDEX('ZCB Curve - Payment Dates'!$D$2:$D$246,MATCH(B4454,'ZCB Curve - Payment Dates'!$A$2:$A$246,0))</f>
        <v>0.3927952920896523</v>
      </c>
      <c r="E4454" s="32">
        <f t="shared" si="69"/>
        <v>0.46644440935646209</v>
      </c>
    </row>
    <row r="4455" spans="1:5" x14ac:dyDescent="0.25">
      <c r="A4455" s="17">
        <v>333</v>
      </c>
      <c r="B4455" s="31">
        <v>52916</v>
      </c>
      <c r="C4455" s="32">
        <f>INDEX('Input Data'!$B:$B,A4455)/2+IF(A4455&lt;&gt;A4456,100,0)</f>
        <v>1.1875</v>
      </c>
      <c r="D4455" s="33">
        <f>INDEX('ZCB Curve - Payment Dates'!$D$2:$D$246,MATCH(B4455,'ZCB Curve - Payment Dates'!$A$2:$A$246,0))</f>
        <v>0.38091684361752687</v>
      </c>
      <c r="E4455" s="32">
        <f t="shared" si="69"/>
        <v>0.45233875179581318</v>
      </c>
    </row>
    <row r="4456" spans="1:5" x14ac:dyDescent="0.25">
      <c r="A4456" s="17">
        <v>333</v>
      </c>
      <c r="B4456" s="31">
        <v>53097</v>
      </c>
      <c r="C4456" s="32">
        <f>INDEX('Input Data'!$B:$B,A4456)/2+IF(A4456&lt;&gt;A4457,100,0)</f>
        <v>1.1875</v>
      </c>
      <c r="D4456" s="33">
        <f>INDEX('ZCB Curve - Payment Dates'!$D$2:$D$246,MATCH(B4456,'ZCB Curve - Payment Dates'!$A$2:$A$246,0))</f>
        <v>0.36964331092783359</v>
      </c>
      <c r="E4456" s="32">
        <f t="shared" si="69"/>
        <v>0.4389514317268024</v>
      </c>
    </row>
    <row r="4457" spans="1:5" x14ac:dyDescent="0.25">
      <c r="A4457" s="17">
        <v>333</v>
      </c>
      <c r="B4457" s="31">
        <v>53281</v>
      </c>
      <c r="C4457" s="32">
        <f>INDEX('Input Data'!$B:$B,A4457)/2+IF(A4457&lt;&gt;A4458,100,0)</f>
        <v>1.1875</v>
      </c>
      <c r="D4457" s="33">
        <f>INDEX('ZCB Curve - Payment Dates'!$D$2:$D$246,MATCH(B4457,'ZCB Curve - Payment Dates'!$A$2:$A$246,0))</f>
        <v>0.35859090372935404</v>
      </c>
      <c r="E4457" s="32">
        <f t="shared" si="69"/>
        <v>0.42582669817860791</v>
      </c>
    </row>
    <row r="4458" spans="1:5" x14ac:dyDescent="0.25">
      <c r="A4458" s="17">
        <v>333</v>
      </c>
      <c r="B4458" s="31">
        <v>53462</v>
      </c>
      <c r="C4458" s="32">
        <f>INDEX('Input Data'!$B:$B,A4458)/2+IF(A4458&lt;&gt;A4459,100,0)</f>
        <v>1.1875</v>
      </c>
      <c r="D4458" s="33">
        <f>INDEX('ZCB Curve - Payment Dates'!$D$2:$D$246,MATCH(B4458,'ZCB Curve - Payment Dates'!$A$2:$A$246,0))</f>
        <v>0.34812465854380154</v>
      </c>
      <c r="E4458" s="32">
        <f t="shared" si="69"/>
        <v>0.41339803202076431</v>
      </c>
    </row>
    <row r="4459" spans="1:5" x14ac:dyDescent="0.25">
      <c r="A4459" s="17">
        <v>333</v>
      </c>
      <c r="B4459" s="31">
        <v>53646</v>
      </c>
      <c r="C4459" s="32">
        <f>INDEX('Input Data'!$B:$B,A4459)/2+IF(A4459&lt;&gt;A4460,100,0)</f>
        <v>1.1875</v>
      </c>
      <c r="D4459" s="33">
        <f>INDEX('ZCB Curve - Payment Dates'!$D$2:$D$246,MATCH(B4459,'ZCB Curve - Payment Dates'!$A$2:$A$246,0))</f>
        <v>0.33788528510382887</v>
      </c>
      <c r="E4459" s="32">
        <f t="shared" si="69"/>
        <v>0.40123877606079678</v>
      </c>
    </row>
    <row r="4460" spans="1:5" x14ac:dyDescent="0.25">
      <c r="A4460" s="17">
        <v>333</v>
      </c>
      <c r="B4460" s="31">
        <v>53827</v>
      </c>
      <c r="C4460" s="32">
        <f>INDEX('Input Data'!$B:$B,A4460)/2+IF(A4460&lt;&gt;A4461,100,0)</f>
        <v>1.1875</v>
      </c>
      <c r="D4460" s="33">
        <f>INDEX('ZCB Curve - Payment Dates'!$D$2:$D$246,MATCH(B4460,'ZCB Curve - Payment Dates'!$A$2:$A$246,0))</f>
        <v>0.32820827061914198</v>
      </c>
      <c r="E4460" s="32">
        <f t="shared" si="69"/>
        <v>0.3897473213602311</v>
      </c>
    </row>
    <row r="4461" spans="1:5" x14ac:dyDescent="0.25">
      <c r="A4461" s="17">
        <v>333</v>
      </c>
      <c r="B4461" s="31">
        <v>54011</v>
      </c>
      <c r="C4461" s="32">
        <f>INDEX('Input Data'!$B:$B,A4461)/2+IF(A4461&lt;&gt;A4462,100,0)</f>
        <v>1.1875</v>
      </c>
      <c r="D4461" s="33">
        <f>INDEX('ZCB Curve - Payment Dates'!$D$2:$D$246,MATCH(B4461,'ZCB Curve - Payment Dates'!$A$2:$A$246,0))</f>
        <v>0.31875888330253388</v>
      </c>
      <c r="E4461" s="32">
        <f t="shared" si="69"/>
        <v>0.37852617392175897</v>
      </c>
    </row>
    <row r="4462" spans="1:5" x14ac:dyDescent="0.25">
      <c r="A4462" s="17">
        <v>333</v>
      </c>
      <c r="B4462" s="31">
        <v>54193</v>
      </c>
      <c r="C4462" s="32">
        <f>INDEX('Input Data'!$B:$B,A4462)/2+IF(A4462&lt;&gt;A4463,100,0)</f>
        <v>1.1875</v>
      </c>
      <c r="D4462" s="33">
        <f>INDEX('ZCB Curve - Payment Dates'!$D$2:$D$246,MATCH(B4462,'ZCB Curve - Payment Dates'!$A$2:$A$246,0))</f>
        <v>0.30979516521120642</v>
      </c>
      <c r="E4462" s="32">
        <f t="shared" si="69"/>
        <v>0.36788175868830764</v>
      </c>
    </row>
    <row r="4463" spans="1:5" x14ac:dyDescent="0.25">
      <c r="A4463" s="17">
        <v>333</v>
      </c>
      <c r="B4463" s="31">
        <v>54377</v>
      </c>
      <c r="C4463" s="32">
        <f>INDEX('Input Data'!$B:$B,A4463)/2+IF(A4463&lt;&gt;A4464,100,0)</f>
        <v>1.1875</v>
      </c>
      <c r="D4463" s="33">
        <f>INDEX('ZCB Curve - Payment Dates'!$D$2:$D$246,MATCH(B4463,'ZCB Curve - Payment Dates'!$A$2:$A$246,0))</f>
        <v>0.30110901062008694</v>
      </c>
      <c r="E4463" s="32">
        <f t="shared" si="69"/>
        <v>0.35756695011135325</v>
      </c>
    </row>
    <row r="4464" spans="1:5" x14ac:dyDescent="0.25">
      <c r="A4464" s="17">
        <v>333</v>
      </c>
      <c r="B4464" s="31">
        <v>54558</v>
      </c>
      <c r="C4464" s="32">
        <f>INDEX('Input Data'!$B:$B,A4464)/2+IF(A4464&lt;&gt;A4465,100,0)</f>
        <v>1.1875</v>
      </c>
      <c r="D4464" s="33">
        <f>INDEX('ZCB Curve - Payment Dates'!$D$2:$D$246,MATCH(B4464,'ZCB Curve - Payment Dates'!$A$2:$A$246,0))</f>
        <v>0.29292467059800714</v>
      </c>
      <c r="E4464" s="32">
        <f t="shared" si="69"/>
        <v>0.3478480463351335</v>
      </c>
    </row>
    <row r="4465" spans="1:5" x14ac:dyDescent="0.25">
      <c r="A4465" s="17">
        <v>333</v>
      </c>
      <c r="B4465" s="31">
        <v>54742</v>
      </c>
      <c r="C4465" s="32">
        <f>INDEX('Input Data'!$B:$B,A4465)/2+IF(A4465&lt;&gt;A4466,100,0)</f>
        <v>1.1875</v>
      </c>
      <c r="D4465" s="33">
        <f>INDEX('ZCB Curve - Payment Dates'!$D$2:$D$246,MATCH(B4465,'ZCB Curve - Payment Dates'!$A$2:$A$246,0))</f>
        <v>0.28496204444064566</v>
      </c>
      <c r="E4465" s="32">
        <f t="shared" si="69"/>
        <v>0.33839242777326672</v>
      </c>
    </row>
    <row r="4466" spans="1:5" x14ac:dyDescent="0.25">
      <c r="A4466" s="17">
        <v>333</v>
      </c>
      <c r="B4466" s="31">
        <v>54923</v>
      </c>
      <c r="C4466" s="32">
        <f>INDEX('Input Data'!$B:$B,A4466)/2+IF(A4466&lt;&gt;A4467,100,0)</f>
        <v>1.1875</v>
      </c>
      <c r="D4466" s="33">
        <f>INDEX('ZCB Curve - Payment Dates'!$D$2:$D$246,MATCH(B4466,'ZCB Curve - Payment Dates'!$A$2:$A$246,0))</f>
        <v>0.27747061478742291</v>
      </c>
      <c r="E4466" s="32">
        <f t="shared" si="69"/>
        <v>0.32949635506006469</v>
      </c>
    </row>
    <row r="4467" spans="1:5" x14ac:dyDescent="0.25">
      <c r="A4467" s="17">
        <v>333</v>
      </c>
      <c r="B4467" s="31">
        <v>55107</v>
      </c>
      <c r="C4467" s="32">
        <f>INDEX('Input Data'!$B:$B,A4467)/2+IF(A4467&lt;&gt;A4468,100,0)</f>
        <v>1.1875</v>
      </c>
      <c r="D4467" s="33">
        <f>INDEX('ZCB Curve - Payment Dates'!$D$2:$D$246,MATCH(B4467,'ZCB Curve - Payment Dates'!$A$2:$A$246,0))</f>
        <v>0.2701926092917406</v>
      </c>
      <c r="E4467" s="32">
        <f t="shared" si="69"/>
        <v>0.32085372353394198</v>
      </c>
    </row>
    <row r="4468" spans="1:5" x14ac:dyDescent="0.25">
      <c r="A4468" s="17">
        <v>333</v>
      </c>
      <c r="B4468" s="31">
        <v>55288</v>
      </c>
      <c r="C4468" s="32">
        <f>INDEX('Input Data'!$B:$B,A4468)/2+IF(A4468&lt;&gt;A4469,100,0)</f>
        <v>101.1875</v>
      </c>
      <c r="D4468" s="33">
        <f>INDEX('ZCB Curve - Payment Dates'!$D$2:$D$246,MATCH(B4468,'ZCB Curve - Payment Dates'!$A$2:$A$246,0))</f>
        <v>0.26335484985695851</v>
      </c>
      <c r="E4468" s="32">
        <f t="shared" si="69"/>
        <v>26.64821886990099</v>
      </c>
    </row>
    <row r="4469" spans="1:5" x14ac:dyDescent="0.25">
      <c r="A4469" s="17">
        <v>334</v>
      </c>
      <c r="B4469" s="31">
        <v>46433</v>
      </c>
      <c r="C4469" s="32">
        <f>INDEX('Input Data'!$B:$B,A4469)/2+IF(A4469&lt;&gt;A4470,100,0)</f>
        <v>1</v>
      </c>
      <c r="D4469" s="33">
        <f>INDEX('ZCB Curve - Payment Dates'!$D$2:$D$246,MATCH(B4469,'ZCB Curve - Payment Dates'!$A$2:$A$246,0))</f>
        <v>0.98242671792446301</v>
      </c>
      <c r="E4469" s="32">
        <f t="shared" si="69"/>
        <v>0.98242671792446301</v>
      </c>
    </row>
    <row r="4470" spans="1:5" x14ac:dyDescent="0.25">
      <c r="A4470" s="17">
        <v>334</v>
      </c>
      <c r="B4470" s="31">
        <v>46614</v>
      </c>
      <c r="C4470" s="32">
        <f>INDEX('Input Data'!$B:$B,A4470)/2+IF(A4470&lt;&gt;A4471,100,0)</f>
        <v>1</v>
      </c>
      <c r="D4470" s="33">
        <f>INDEX('ZCB Curve - Payment Dates'!$D$2:$D$246,MATCH(B4470,'ZCB Curve - Payment Dates'!$A$2:$A$246,0))</f>
        <v>0.96187948164765535</v>
      </c>
      <c r="E4470" s="32">
        <f t="shared" si="69"/>
        <v>0.96187948164765535</v>
      </c>
    </row>
    <row r="4471" spans="1:5" x14ac:dyDescent="0.25">
      <c r="A4471" s="17">
        <v>334</v>
      </c>
      <c r="B4471" s="31">
        <v>46798</v>
      </c>
      <c r="C4471" s="32">
        <f>INDEX('Input Data'!$B:$B,A4471)/2+IF(A4471&lt;&gt;A4472,100,0)</f>
        <v>1</v>
      </c>
      <c r="D4471" s="33">
        <f>INDEX('ZCB Curve - Payment Dates'!$D$2:$D$246,MATCH(B4471,'ZCB Curve - Payment Dates'!$A$2:$A$246,0))</f>
        <v>0.94049096132648802</v>
      </c>
      <c r="E4471" s="32">
        <f t="shared" si="69"/>
        <v>0.94049096132648802</v>
      </c>
    </row>
    <row r="4472" spans="1:5" x14ac:dyDescent="0.25">
      <c r="A4472" s="17">
        <v>334</v>
      </c>
      <c r="B4472" s="31">
        <v>46980</v>
      </c>
      <c r="C4472" s="32">
        <f>INDEX('Input Data'!$B:$B,A4472)/2+IF(A4472&lt;&gt;A4473,100,0)</f>
        <v>1</v>
      </c>
      <c r="D4472" s="33">
        <f>INDEX('ZCB Curve - Payment Dates'!$D$2:$D$246,MATCH(B4472,'ZCB Curve - Payment Dates'!$A$2:$A$246,0))</f>
        <v>0.91931844130238327</v>
      </c>
      <c r="E4472" s="32">
        <f t="shared" si="69"/>
        <v>0.91931844130238327</v>
      </c>
    </row>
    <row r="4473" spans="1:5" x14ac:dyDescent="0.25">
      <c r="A4473" s="17">
        <v>334</v>
      </c>
      <c r="B4473" s="31">
        <v>47164</v>
      </c>
      <c r="C4473" s="32">
        <f>INDEX('Input Data'!$B:$B,A4473)/2+IF(A4473&lt;&gt;A4474,100,0)</f>
        <v>1</v>
      </c>
      <c r="D4473" s="33">
        <f>INDEX('ZCB Curve - Payment Dates'!$D$2:$D$246,MATCH(B4473,'ZCB Curve - Payment Dates'!$A$2:$A$246,0))</f>
        <v>0.89817430058086534</v>
      </c>
      <c r="E4473" s="32">
        <f t="shared" si="69"/>
        <v>0.89817430058086534</v>
      </c>
    </row>
    <row r="4474" spans="1:5" x14ac:dyDescent="0.25">
      <c r="A4474" s="17">
        <v>334</v>
      </c>
      <c r="B4474" s="31">
        <v>47345</v>
      </c>
      <c r="C4474" s="32">
        <f>INDEX('Input Data'!$B:$B,A4474)/2+IF(A4474&lt;&gt;A4475,100,0)</f>
        <v>1</v>
      </c>
      <c r="D4474" s="33">
        <f>INDEX('ZCB Curve - Payment Dates'!$D$2:$D$246,MATCH(B4474,'ZCB Curve - Payment Dates'!$A$2:$A$246,0))</f>
        <v>0.87778421628860481</v>
      </c>
      <c r="E4474" s="32">
        <f t="shared" si="69"/>
        <v>0.87778421628860481</v>
      </c>
    </row>
    <row r="4475" spans="1:5" x14ac:dyDescent="0.25">
      <c r="A4475" s="17">
        <v>334</v>
      </c>
      <c r="B4475" s="31">
        <v>47529</v>
      </c>
      <c r="C4475" s="32">
        <f>INDEX('Input Data'!$B:$B,A4475)/2+IF(A4475&lt;&gt;A4476,100,0)</f>
        <v>1</v>
      </c>
      <c r="D4475" s="33">
        <f>INDEX('ZCB Curve - Payment Dates'!$D$2:$D$246,MATCH(B4475,'ZCB Curve - Payment Dates'!$A$2:$A$246,0))</f>
        <v>0.85751015570959666</v>
      </c>
      <c r="E4475" s="32">
        <f t="shared" si="69"/>
        <v>0.85751015570959666</v>
      </c>
    </row>
    <row r="4476" spans="1:5" x14ac:dyDescent="0.25">
      <c r="A4476" s="17">
        <v>334</v>
      </c>
      <c r="B4476" s="31">
        <v>47710</v>
      </c>
      <c r="C4476" s="32">
        <f>INDEX('Input Data'!$B:$B,A4476)/2+IF(A4476&lt;&gt;A4477,100,0)</f>
        <v>1</v>
      </c>
      <c r="D4476" s="33">
        <f>INDEX('ZCB Curve - Payment Dates'!$D$2:$D$246,MATCH(B4476,'ZCB Curve - Payment Dates'!$A$2:$A$246,0))</f>
        <v>0.83802423748211174</v>
      </c>
      <c r="E4476" s="32">
        <f t="shared" si="69"/>
        <v>0.83802423748211174</v>
      </c>
    </row>
    <row r="4477" spans="1:5" x14ac:dyDescent="0.25">
      <c r="A4477" s="17">
        <v>334</v>
      </c>
      <c r="B4477" s="31">
        <v>47894</v>
      </c>
      <c r="C4477" s="32">
        <f>INDEX('Input Data'!$B:$B,A4477)/2+IF(A4477&lt;&gt;A4478,100,0)</f>
        <v>1</v>
      </c>
      <c r="D4477" s="33">
        <f>INDEX('ZCB Curve - Payment Dates'!$D$2:$D$246,MATCH(B4477,'ZCB Curve - Payment Dates'!$A$2:$A$246,0))</f>
        <v>0.8186305474741673</v>
      </c>
      <c r="E4477" s="32">
        <f t="shared" si="69"/>
        <v>0.8186305474741673</v>
      </c>
    </row>
    <row r="4478" spans="1:5" x14ac:dyDescent="0.25">
      <c r="A4478" s="17">
        <v>334</v>
      </c>
      <c r="B4478" s="31">
        <v>48075</v>
      </c>
      <c r="C4478" s="32">
        <f>INDEX('Input Data'!$B:$B,A4478)/2+IF(A4478&lt;&gt;A4479,100,0)</f>
        <v>1</v>
      </c>
      <c r="D4478" s="33">
        <f>INDEX('ZCB Curve - Payment Dates'!$D$2:$D$246,MATCH(B4478,'ZCB Curve - Payment Dates'!$A$2:$A$246,0))</f>
        <v>0.7999252334775927</v>
      </c>
      <c r="E4478" s="32">
        <f t="shared" si="69"/>
        <v>0.7999252334775927</v>
      </c>
    </row>
    <row r="4479" spans="1:5" x14ac:dyDescent="0.25">
      <c r="A4479" s="17">
        <v>334</v>
      </c>
      <c r="B4479" s="31">
        <v>48259</v>
      </c>
      <c r="C4479" s="32">
        <f>INDEX('Input Data'!$B:$B,A4479)/2+IF(A4479&lt;&gt;A4480,100,0)</f>
        <v>1</v>
      </c>
      <c r="D4479" s="33">
        <f>INDEX('ZCB Curve - Payment Dates'!$D$2:$D$246,MATCH(B4479,'ZCB Curve - Payment Dates'!$A$2:$A$246,0))</f>
        <v>0.78121887027612602</v>
      </c>
      <c r="E4479" s="32">
        <f t="shared" si="69"/>
        <v>0.78121887027612602</v>
      </c>
    </row>
    <row r="4480" spans="1:5" x14ac:dyDescent="0.25">
      <c r="A4480" s="17">
        <v>334</v>
      </c>
      <c r="B4480" s="31">
        <v>48441</v>
      </c>
      <c r="C4480" s="32">
        <f>INDEX('Input Data'!$B:$B,A4480)/2+IF(A4480&lt;&gt;A4481,100,0)</f>
        <v>1</v>
      </c>
      <c r="D4480" s="33">
        <f>INDEX('ZCB Curve - Payment Dates'!$D$2:$D$246,MATCH(B4480,'ZCB Curve - Payment Dates'!$A$2:$A$246,0))</f>
        <v>0.76298123459017864</v>
      </c>
      <c r="E4480" s="32">
        <f t="shared" si="69"/>
        <v>0.76298123459017864</v>
      </c>
    </row>
    <row r="4481" spans="1:5" x14ac:dyDescent="0.25">
      <c r="A4481" s="17">
        <v>334</v>
      </c>
      <c r="B4481" s="31">
        <v>48625</v>
      </c>
      <c r="C4481" s="32">
        <f>INDEX('Input Data'!$B:$B,A4481)/2+IF(A4481&lt;&gt;A4482,100,0)</f>
        <v>1</v>
      </c>
      <c r="D4481" s="33">
        <f>INDEX('ZCB Curve - Payment Dates'!$D$2:$D$246,MATCH(B4481,'ZCB Curve - Payment Dates'!$A$2:$A$246,0))</f>
        <v>0.74476011611938586</v>
      </c>
      <c r="E4481" s="32">
        <f t="shared" si="69"/>
        <v>0.74476011611938586</v>
      </c>
    </row>
    <row r="4482" spans="1:5" x14ac:dyDescent="0.25">
      <c r="A4482" s="17">
        <v>334</v>
      </c>
      <c r="B4482" s="31">
        <v>48806</v>
      </c>
      <c r="C4482" s="32">
        <f>INDEX('Input Data'!$B:$B,A4482)/2+IF(A4482&lt;&gt;A4483,100,0)</f>
        <v>1</v>
      </c>
      <c r="D4482" s="33">
        <f>INDEX('ZCB Curve - Payment Dates'!$D$2:$D$246,MATCH(B4482,'ZCB Curve - Payment Dates'!$A$2:$A$246,0))</f>
        <v>0.72701302496114584</v>
      </c>
      <c r="E4482" s="32">
        <f t="shared" ref="E4482:E4545" si="70">C4482*D4482</f>
        <v>0.72701302496114584</v>
      </c>
    </row>
    <row r="4483" spans="1:5" x14ac:dyDescent="0.25">
      <c r="A4483" s="17">
        <v>334</v>
      </c>
      <c r="B4483" s="31">
        <v>48990</v>
      </c>
      <c r="C4483" s="32">
        <f>INDEX('Input Data'!$B:$B,A4483)/2+IF(A4483&lt;&gt;A4484,100,0)</f>
        <v>1</v>
      </c>
      <c r="D4483" s="33">
        <f>INDEX('ZCB Curve - Payment Dates'!$D$2:$D$246,MATCH(B4483,'ZCB Curve - Payment Dates'!$A$2:$A$246,0))</f>
        <v>0.70912647031380449</v>
      </c>
      <c r="E4483" s="32">
        <f t="shared" si="70"/>
        <v>0.70912647031380449</v>
      </c>
    </row>
    <row r="4484" spans="1:5" x14ac:dyDescent="0.25">
      <c r="A4484" s="17">
        <v>334</v>
      </c>
      <c r="B4484" s="31">
        <v>49171</v>
      </c>
      <c r="C4484" s="32">
        <f>INDEX('Input Data'!$B:$B,A4484)/2+IF(A4484&lt;&gt;A4485,100,0)</f>
        <v>1</v>
      </c>
      <c r="D4484" s="33">
        <f>INDEX('ZCB Curve - Payment Dates'!$D$2:$D$246,MATCH(B4484,'ZCB Curve - Payment Dates'!$A$2:$A$246,0))</f>
        <v>0.6916661505723215</v>
      </c>
      <c r="E4484" s="32">
        <f t="shared" si="70"/>
        <v>0.6916661505723215</v>
      </c>
    </row>
    <row r="4485" spans="1:5" x14ac:dyDescent="0.25">
      <c r="A4485" s="17">
        <v>334</v>
      </c>
      <c r="B4485" s="31">
        <v>49355</v>
      </c>
      <c r="C4485" s="32">
        <f>INDEX('Input Data'!$B:$B,A4485)/2+IF(A4485&lt;&gt;A4486,100,0)</f>
        <v>1</v>
      </c>
      <c r="D4485" s="33">
        <f>INDEX('ZCB Curve - Payment Dates'!$D$2:$D$246,MATCH(B4485,'ZCB Curve - Payment Dates'!$A$2:$A$246,0))</f>
        <v>0.674047377898778</v>
      </c>
      <c r="E4485" s="32">
        <f t="shared" si="70"/>
        <v>0.674047377898778</v>
      </c>
    </row>
    <row r="4486" spans="1:5" x14ac:dyDescent="0.25">
      <c r="A4486" s="17">
        <v>334</v>
      </c>
      <c r="B4486" s="31">
        <v>49536</v>
      </c>
      <c r="C4486" s="32">
        <f>INDEX('Input Data'!$B:$B,A4486)/2+IF(A4486&lt;&gt;A4487,100,0)</f>
        <v>1</v>
      </c>
      <c r="D4486" s="33">
        <f>INDEX('ZCB Curve - Payment Dates'!$D$2:$D$246,MATCH(B4486,'ZCB Curve - Payment Dates'!$A$2:$A$246,0))</f>
        <v>0.65684432300638129</v>
      </c>
      <c r="E4486" s="32">
        <f t="shared" si="70"/>
        <v>0.65684432300638129</v>
      </c>
    </row>
    <row r="4487" spans="1:5" x14ac:dyDescent="0.25">
      <c r="A4487" s="17">
        <v>334</v>
      </c>
      <c r="B4487" s="31">
        <v>49720</v>
      </c>
      <c r="C4487" s="32">
        <f>INDEX('Input Data'!$B:$B,A4487)/2+IF(A4487&lt;&gt;A4488,100,0)</f>
        <v>1</v>
      </c>
      <c r="D4487" s="33">
        <f>INDEX('ZCB Curve - Payment Dates'!$D$2:$D$246,MATCH(B4487,'ZCB Curve - Payment Dates'!$A$2:$A$246,0))</f>
        <v>0.63949604524993764</v>
      </c>
      <c r="E4487" s="32">
        <f t="shared" si="70"/>
        <v>0.63949604524993764</v>
      </c>
    </row>
    <row r="4488" spans="1:5" x14ac:dyDescent="0.25">
      <c r="A4488" s="17">
        <v>334</v>
      </c>
      <c r="B4488" s="31">
        <v>49902</v>
      </c>
      <c r="C4488" s="32">
        <f>INDEX('Input Data'!$B:$B,A4488)/2+IF(A4488&lt;&gt;A4489,100,0)</f>
        <v>1</v>
      </c>
      <c r="D4488" s="33">
        <f>INDEX('ZCB Curve - Payment Dates'!$D$2:$D$246,MATCH(B4488,'ZCB Curve - Payment Dates'!$A$2:$A$246,0))</f>
        <v>0.62248862376822711</v>
      </c>
      <c r="E4488" s="32">
        <f t="shared" si="70"/>
        <v>0.62248862376822711</v>
      </c>
    </row>
    <row r="4489" spans="1:5" x14ac:dyDescent="0.25">
      <c r="A4489" s="17">
        <v>334</v>
      </c>
      <c r="B4489" s="31">
        <v>50086</v>
      </c>
      <c r="C4489" s="32">
        <f>INDEX('Input Data'!$B:$B,A4489)/2+IF(A4489&lt;&gt;A4490,100,0)</f>
        <v>1</v>
      </c>
      <c r="D4489" s="33">
        <f>INDEX('ZCB Curve - Payment Dates'!$D$2:$D$246,MATCH(B4489,'ZCB Curve - Payment Dates'!$A$2:$A$246,0))</f>
        <v>0.60546490876014969</v>
      </c>
      <c r="E4489" s="32">
        <f t="shared" si="70"/>
        <v>0.60546490876014969</v>
      </c>
    </row>
    <row r="4490" spans="1:5" x14ac:dyDescent="0.25">
      <c r="A4490" s="17">
        <v>334</v>
      </c>
      <c r="B4490" s="31">
        <v>50267</v>
      </c>
      <c r="C4490" s="32">
        <f>INDEX('Input Data'!$B:$B,A4490)/2+IF(A4490&lt;&gt;A4491,100,0)</f>
        <v>1</v>
      </c>
      <c r="D4490" s="33">
        <f>INDEX('ZCB Curve - Payment Dates'!$D$2:$D$246,MATCH(B4490,'ZCB Curve - Payment Dates'!$A$2:$A$246,0))</f>
        <v>0.58890683803346977</v>
      </c>
      <c r="E4490" s="32">
        <f t="shared" si="70"/>
        <v>0.58890683803346977</v>
      </c>
    </row>
    <row r="4491" spans="1:5" x14ac:dyDescent="0.25">
      <c r="A4491" s="17">
        <v>334</v>
      </c>
      <c r="B4491" s="31">
        <v>50451</v>
      </c>
      <c r="C4491" s="32">
        <f>INDEX('Input Data'!$B:$B,A4491)/2+IF(A4491&lt;&gt;A4492,100,0)</f>
        <v>1</v>
      </c>
      <c r="D4491" s="33">
        <f>INDEX('ZCB Curve - Payment Dates'!$D$2:$D$246,MATCH(B4491,'ZCB Curve - Payment Dates'!$A$2:$A$246,0))</f>
        <v>0.57228983695479263</v>
      </c>
      <c r="E4491" s="32">
        <f t="shared" si="70"/>
        <v>0.57228983695479263</v>
      </c>
    </row>
    <row r="4492" spans="1:5" x14ac:dyDescent="0.25">
      <c r="A4492" s="17">
        <v>334</v>
      </c>
      <c r="B4492" s="31">
        <v>50632</v>
      </c>
      <c r="C4492" s="32">
        <f>INDEX('Input Data'!$B:$B,A4492)/2+IF(A4492&lt;&gt;A4493,100,0)</f>
        <v>1</v>
      </c>
      <c r="D4492" s="33">
        <f>INDEX('ZCB Curve - Payment Dates'!$D$2:$D$246,MATCH(B4492,'ZCB Curve - Payment Dates'!$A$2:$A$246,0))</f>
        <v>0.55617795699202288</v>
      </c>
      <c r="E4492" s="32">
        <f t="shared" si="70"/>
        <v>0.55617795699202288</v>
      </c>
    </row>
    <row r="4493" spans="1:5" x14ac:dyDescent="0.25">
      <c r="A4493" s="17">
        <v>334</v>
      </c>
      <c r="B4493" s="31">
        <v>50816</v>
      </c>
      <c r="C4493" s="32">
        <f>INDEX('Input Data'!$B:$B,A4493)/2+IF(A4493&lt;&gt;A4494,100,0)</f>
        <v>1</v>
      </c>
      <c r="D4493" s="33">
        <f>INDEX('ZCB Curve - Payment Dates'!$D$2:$D$246,MATCH(B4493,'ZCB Curve - Payment Dates'!$A$2:$A$246,0))</f>
        <v>0.54006240951211237</v>
      </c>
      <c r="E4493" s="32">
        <f t="shared" si="70"/>
        <v>0.54006240951211237</v>
      </c>
    </row>
    <row r="4494" spans="1:5" x14ac:dyDescent="0.25">
      <c r="A4494" s="17">
        <v>334</v>
      </c>
      <c r="B4494" s="31">
        <v>50997</v>
      </c>
      <c r="C4494" s="32">
        <f>INDEX('Input Data'!$B:$B,A4494)/2+IF(A4494&lt;&gt;A4495,100,0)</f>
        <v>1</v>
      </c>
      <c r="D4494" s="33">
        <f>INDEX('ZCB Curve - Payment Dates'!$D$2:$D$246,MATCH(B4494,'ZCB Curve - Payment Dates'!$A$2:$A$246,0))</f>
        <v>0.52449040173194583</v>
      </c>
      <c r="E4494" s="32">
        <f t="shared" si="70"/>
        <v>0.52449040173194583</v>
      </c>
    </row>
    <row r="4495" spans="1:5" x14ac:dyDescent="0.25">
      <c r="A4495" s="17">
        <v>334</v>
      </c>
      <c r="B4495" s="31">
        <v>51181</v>
      </c>
      <c r="C4495" s="32">
        <f>INDEX('Input Data'!$B:$B,A4495)/2+IF(A4495&lt;&gt;A4496,100,0)</f>
        <v>1</v>
      </c>
      <c r="D4495" s="33">
        <f>INDEX('ZCB Curve - Payment Dates'!$D$2:$D$246,MATCH(B4495,'ZCB Curve - Payment Dates'!$A$2:$A$246,0))</f>
        <v>0.5089691698468306</v>
      </c>
      <c r="E4495" s="32">
        <f t="shared" si="70"/>
        <v>0.5089691698468306</v>
      </c>
    </row>
    <row r="4496" spans="1:5" x14ac:dyDescent="0.25">
      <c r="A4496" s="17">
        <v>334</v>
      </c>
      <c r="B4496" s="31">
        <v>51363</v>
      </c>
      <c r="C4496" s="32">
        <f>INDEX('Input Data'!$B:$B,A4496)/2+IF(A4496&lt;&gt;A4497,100,0)</f>
        <v>1</v>
      </c>
      <c r="D4496" s="33">
        <f>INDEX('ZCB Curve - Payment Dates'!$D$2:$D$246,MATCH(B4496,'ZCB Curve - Payment Dates'!$A$2:$A$246,0))</f>
        <v>0.49394036022330806</v>
      </c>
      <c r="E4496" s="32">
        <f t="shared" si="70"/>
        <v>0.49394036022330806</v>
      </c>
    </row>
    <row r="4497" spans="1:5" x14ac:dyDescent="0.25">
      <c r="A4497" s="17">
        <v>334</v>
      </c>
      <c r="B4497" s="31">
        <v>51547</v>
      </c>
      <c r="C4497" s="32">
        <f>INDEX('Input Data'!$B:$B,A4497)/2+IF(A4497&lt;&gt;A4498,100,0)</f>
        <v>1</v>
      </c>
      <c r="D4497" s="33">
        <f>INDEX('ZCB Curve - Payment Dates'!$D$2:$D$246,MATCH(B4497,'ZCB Curve - Payment Dates'!$A$2:$A$246,0))</f>
        <v>0.47909718957588998</v>
      </c>
      <c r="E4497" s="32">
        <f t="shared" si="70"/>
        <v>0.47909718957588998</v>
      </c>
    </row>
    <row r="4498" spans="1:5" x14ac:dyDescent="0.25">
      <c r="A4498" s="17">
        <v>334</v>
      </c>
      <c r="B4498" s="31">
        <v>51728</v>
      </c>
      <c r="C4498" s="32">
        <f>INDEX('Input Data'!$B:$B,A4498)/2+IF(A4498&lt;&gt;A4499,100,0)</f>
        <v>1</v>
      </c>
      <c r="D4498" s="33">
        <f>INDEX('ZCB Curve - Payment Dates'!$D$2:$D$246,MATCH(B4498,'ZCB Curve - Payment Dates'!$A$2:$A$246,0))</f>
        <v>0.46485329459616059</v>
      </c>
      <c r="E4498" s="32">
        <f t="shared" si="70"/>
        <v>0.46485329459616059</v>
      </c>
    </row>
    <row r="4499" spans="1:5" x14ac:dyDescent="0.25">
      <c r="A4499" s="17">
        <v>334</v>
      </c>
      <c r="B4499" s="31">
        <v>51912</v>
      </c>
      <c r="C4499" s="32">
        <f>INDEX('Input Data'!$B:$B,A4499)/2+IF(A4499&lt;&gt;A4500,100,0)</f>
        <v>1</v>
      </c>
      <c r="D4499" s="33">
        <f>INDEX('ZCB Curve - Payment Dates'!$D$2:$D$246,MATCH(B4499,'ZCB Curve - Payment Dates'!$A$2:$A$246,0))</f>
        <v>0.45075168915212815</v>
      </c>
      <c r="E4499" s="32">
        <f t="shared" si="70"/>
        <v>0.45075168915212815</v>
      </c>
    </row>
    <row r="4500" spans="1:5" x14ac:dyDescent="0.25">
      <c r="A4500" s="17">
        <v>334</v>
      </c>
      <c r="B4500" s="31">
        <v>52093</v>
      </c>
      <c r="C4500" s="32">
        <f>INDEX('Input Data'!$B:$B,A4500)/2+IF(A4500&lt;&gt;A4501,100,0)</f>
        <v>1</v>
      </c>
      <c r="D4500" s="33">
        <f>INDEX('ZCB Curve - Payment Dates'!$D$2:$D$246,MATCH(B4500,'ZCB Curve - Payment Dates'!$A$2:$A$246,0))</f>
        <v>0.43726259018094221</v>
      </c>
      <c r="E4500" s="32">
        <f t="shared" si="70"/>
        <v>0.43726259018094221</v>
      </c>
    </row>
    <row r="4501" spans="1:5" x14ac:dyDescent="0.25">
      <c r="A4501" s="17">
        <v>334</v>
      </c>
      <c r="B4501" s="31">
        <v>52277</v>
      </c>
      <c r="C4501" s="32">
        <f>INDEX('Input Data'!$B:$B,A4501)/2+IF(A4501&lt;&gt;A4502,100,0)</f>
        <v>1</v>
      </c>
      <c r="D4501" s="33">
        <f>INDEX('ZCB Curve - Payment Dates'!$D$2:$D$246,MATCH(B4501,'ZCB Curve - Payment Dates'!$A$2:$A$246,0))</f>
        <v>0.4239492285351204</v>
      </c>
      <c r="E4501" s="32">
        <f t="shared" si="70"/>
        <v>0.4239492285351204</v>
      </c>
    </row>
    <row r="4502" spans="1:5" x14ac:dyDescent="0.25">
      <c r="A4502" s="17">
        <v>334</v>
      </c>
      <c r="B4502" s="31">
        <v>52458</v>
      </c>
      <c r="C4502" s="32">
        <f>INDEX('Input Data'!$B:$B,A4502)/2+IF(A4502&lt;&gt;A4503,100,0)</f>
        <v>1</v>
      </c>
      <c r="D4502" s="33">
        <f>INDEX('ZCB Curve - Payment Dates'!$D$2:$D$246,MATCH(B4502,'ZCB Curve - Payment Dates'!$A$2:$A$246,0))</f>
        <v>0.4112516019468152</v>
      </c>
      <c r="E4502" s="32">
        <f t="shared" si="70"/>
        <v>0.4112516019468152</v>
      </c>
    </row>
    <row r="4503" spans="1:5" x14ac:dyDescent="0.25">
      <c r="A4503" s="17">
        <v>334</v>
      </c>
      <c r="B4503" s="31">
        <v>52642</v>
      </c>
      <c r="C4503" s="32">
        <f>INDEX('Input Data'!$B:$B,A4503)/2+IF(A4503&lt;&gt;A4504,100,0)</f>
        <v>1</v>
      </c>
      <c r="D4503" s="33">
        <f>INDEX('ZCB Curve - Payment Dates'!$D$2:$D$246,MATCH(B4503,'ZCB Curve - Payment Dates'!$A$2:$A$246,0))</f>
        <v>0.39875459879352759</v>
      </c>
      <c r="E4503" s="32">
        <f t="shared" si="70"/>
        <v>0.39875459879352759</v>
      </c>
    </row>
    <row r="4504" spans="1:5" x14ac:dyDescent="0.25">
      <c r="A4504" s="17">
        <v>334</v>
      </c>
      <c r="B4504" s="31">
        <v>52824</v>
      </c>
      <c r="C4504" s="32">
        <f>INDEX('Input Data'!$B:$B,A4504)/2+IF(A4504&lt;&gt;A4505,100,0)</f>
        <v>1</v>
      </c>
      <c r="D4504" s="33">
        <f>INDEX('ZCB Curve - Payment Dates'!$D$2:$D$246,MATCH(B4504,'ZCB Curve - Payment Dates'!$A$2:$A$246,0))</f>
        <v>0.38680384560622083</v>
      </c>
      <c r="E4504" s="32">
        <f t="shared" si="70"/>
        <v>0.38680384560622083</v>
      </c>
    </row>
    <row r="4505" spans="1:5" x14ac:dyDescent="0.25">
      <c r="A4505" s="17">
        <v>334</v>
      </c>
      <c r="B4505" s="31">
        <v>53008</v>
      </c>
      <c r="C4505" s="32">
        <f>INDEX('Input Data'!$B:$B,A4505)/2+IF(A4505&lt;&gt;A4506,100,0)</f>
        <v>1</v>
      </c>
      <c r="D4505" s="33">
        <f>INDEX('ZCB Curve - Payment Dates'!$D$2:$D$246,MATCH(B4505,'ZCB Curve - Payment Dates'!$A$2:$A$246,0))</f>
        <v>0.37513648791915083</v>
      </c>
      <c r="E4505" s="32">
        <f t="shared" si="70"/>
        <v>0.37513648791915083</v>
      </c>
    </row>
    <row r="4506" spans="1:5" x14ac:dyDescent="0.25">
      <c r="A4506" s="17">
        <v>334</v>
      </c>
      <c r="B4506" s="31">
        <v>53189</v>
      </c>
      <c r="C4506" s="32">
        <f>INDEX('Input Data'!$B:$B,A4506)/2+IF(A4506&lt;&gt;A4507,100,0)</f>
        <v>1</v>
      </c>
      <c r="D4506" s="33">
        <f>INDEX('ZCB Curve - Payment Dates'!$D$2:$D$246,MATCH(B4506,'ZCB Curve - Payment Dates'!$A$2:$A$246,0))</f>
        <v>0.36406533257851953</v>
      </c>
      <c r="E4506" s="32">
        <f t="shared" si="70"/>
        <v>0.36406533257851953</v>
      </c>
    </row>
    <row r="4507" spans="1:5" x14ac:dyDescent="0.25">
      <c r="A4507" s="17">
        <v>334</v>
      </c>
      <c r="B4507" s="31">
        <v>53373</v>
      </c>
      <c r="C4507" s="32">
        <f>INDEX('Input Data'!$B:$B,A4507)/2+IF(A4507&lt;&gt;A4508,100,0)</f>
        <v>1</v>
      </c>
      <c r="D4507" s="33">
        <f>INDEX('ZCB Curve - Payment Dates'!$D$2:$D$246,MATCH(B4507,'ZCB Curve - Payment Dates'!$A$2:$A$246,0))</f>
        <v>0.35322166892031259</v>
      </c>
      <c r="E4507" s="32">
        <f t="shared" si="70"/>
        <v>0.35322166892031259</v>
      </c>
    </row>
    <row r="4508" spans="1:5" x14ac:dyDescent="0.25">
      <c r="A4508" s="17">
        <v>334</v>
      </c>
      <c r="B4508" s="31">
        <v>53554</v>
      </c>
      <c r="C4508" s="32">
        <f>INDEX('Input Data'!$B:$B,A4508)/2+IF(A4508&lt;&gt;A4509,100,0)</f>
        <v>1</v>
      </c>
      <c r="D4508" s="33">
        <f>INDEX('ZCB Curve - Payment Dates'!$D$2:$D$246,MATCH(B4508,'ZCB Curve - Payment Dates'!$A$2:$A$246,0))</f>
        <v>0.34295436226619208</v>
      </c>
      <c r="E4508" s="32">
        <f t="shared" si="70"/>
        <v>0.34295436226619208</v>
      </c>
    </row>
    <row r="4509" spans="1:5" x14ac:dyDescent="0.25">
      <c r="A4509" s="17">
        <v>334</v>
      </c>
      <c r="B4509" s="31">
        <v>53738</v>
      </c>
      <c r="C4509" s="32">
        <f>INDEX('Input Data'!$B:$B,A4509)/2+IF(A4509&lt;&gt;A4510,100,0)</f>
        <v>1</v>
      </c>
      <c r="D4509" s="33">
        <f>INDEX('ZCB Curve - Payment Dates'!$D$2:$D$246,MATCH(B4509,'ZCB Curve - Payment Dates'!$A$2:$A$246,0))</f>
        <v>0.33291860450360972</v>
      </c>
      <c r="E4509" s="32">
        <f t="shared" si="70"/>
        <v>0.33291860450360972</v>
      </c>
    </row>
    <row r="4510" spans="1:5" x14ac:dyDescent="0.25">
      <c r="A4510" s="17">
        <v>334</v>
      </c>
      <c r="B4510" s="31">
        <v>53919</v>
      </c>
      <c r="C4510" s="32">
        <f>INDEX('Input Data'!$B:$B,A4510)/2+IF(A4510&lt;&gt;A4511,100,0)</f>
        <v>1</v>
      </c>
      <c r="D4510" s="33">
        <f>INDEX('ZCB Curve - Payment Dates'!$D$2:$D$246,MATCH(B4510,'ZCB Curve - Payment Dates'!$A$2:$A$246,0))</f>
        <v>0.32343468195091313</v>
      </c>
      <c r="E4510" s="32">
        <f t="shared" si="70"/>
        <v>0.32343468195091313</v>
      </c>
    </row>
    <row r="4511" spans="1:5" x14ac:dyDescent="0.25">
      <c r="A4511" s="17">
        <v>334</v>
      </c>
      <c r="B4511" s="31">
        <v>54103</v>
      </c>
      <c r="C4511" s="32">
        <f>INDEX('Input Data'!$B:$B,A4511)/2+IF(A4511&lt;&gt;A4512,100,0)</f>
        <v>1</v>
      </c>
      <c r="D4511" s="33">
        <f>INDEX('ZCB Curve - Payment Dates'!$D$2:$D$246,MATCH(B4511,'ZCB Curve - Payment Dates'!$A$2:$A$246,0))</f>
        <v>0.31418167147949361</v>
      </c>
      <c r="E4511" s="32">
        <f t="shared" si="70"/>
        <v>0.31418167147949361</v>
      </c>
    </row>
    <row r="4512" spans="1:5" x14ac:dyDescent="0.25">
      <c r="A4512" s="17">
        <v>334</v>
      </c>
      <c r="B4512" s="31">
        <v>54285</v>
      </c>
      <c r="C4512" s="32">
        <f>INDEX('Input Data'!$B:$B,A4512)/2+IF(A4512&lt;&gt;A4513,100,0)</f>
        <v>1</v>
      </c>
      <c r="D4512" s="33">
        <f>INDEX('ZCB Curve - Payment Dates'!$D$2:$D$246,MATCH(B4512,'ZCB Curve - Payment Dates'!$A$2:$A$246,0))</f>
        <v>0.30540618878290843</v>
      </c>
      <c r="E4512" s="32">
        <f t="shared" si="70"/>
        <v>0.30540618878290843</v>
      </c>
    </row>
    <row r="4513" spans="1:5" x14ac:dyDescent="0.25">
      <c r="A4513" s="17">
        <v>334</v>
      </c>
      <c r="B4513" s="31">
        <v>54469</v>
      </c>
      <c r="C4513" s="32">
        <f>INDEX('Input Data'!$B:$B,A4513)/2+IF(A4513&lt;&gt;A4514,100,0)</f>
        <v>1</v>
      </c>
      <c r="D4513" s="33">
        <f>INDEX('ZCB Curve - Payment Dates'!$D$2:$D$246,MATCH(B4513,'ZCB Curve - Payment Dates'!$A$2:$A$246,0))</f>
        <v>0.29690423521941833</v>
      </c>
      <c r="E4513" s="32">
        <f t="shared" si="70"/>
        <v>0.29690423521941833</v>
      </c>
    </row>
    <row r="4514" spans="1:5" x14ac:dyDescent="0.25">
      <c r="A4514" s="17">
        <v>334</v>
      </c>
      <c r="B4514" s="31">
        <v>54650</v>
      </c>
      <c r="C4514" s="32">
        <f>INDEX('Input Data'!$B:$B,A4514)/2+IF(A4514&lt;&gt;A4515,100,0)</f>
        <v>1</v>
      </c>
      <c r="D4514" s="33">
        <f>INDEX('ZCB Curve - Payment Dates'!$D$2:$D$246,MATCH(B4514,'ZCB Curve - Payment Dates'!$A$2:$A$246,0))</f>
        <v>0.2888997564491238</v>
      </c>
      <c r="E4514" s="32">
        <f t="shared" si="70"/>
        <v>0.2888997564491238</v>
      </c>
    </row>
    <row r="4515" spans="1:5" x14ac:dyDescent="0.25">
      <c r="A4515" s="17">
        <v>334</v>
      </c>
      <c r="B4515" s="31">
        <v>54834</v>
      </c>
      <c r="C4515" s="32">
        <f>INDEX('Input Data'!$B:$B,A4515)/2+IF(A4515&lt;&gt;A4516,100,0)</f>
        <v>1</v>
      </c>
      <c r="D4515" s="33">
        <f>INDEX('ZCB Curve - Payment Dates'!$D$2:$D$246,MATCH(B4515,'ZCB Curve - Payment Dates'!$A$2:$A$246,0))</f>
        <v>0.28111189964037164</v>
      </c>
      <c r="E4515" s="32">
        <f t="shared" si="70"/>
        <v>0.28111189964037164</v>
      </c>
    </row>
    <row r="4516" spans="1:5" x14ac:dyDescent="0.25">
      <c r="A4516" s="17">
        <v>334</v>
      </c>
      <c r="B4516" s="31">
        <v>55015</v>
      </c>
      <c r="C4516" s="32">
        <f>INDEX('Input Data'!$B:$B,A4516)/2+IF(A4516&lt;&gt;A4517,100,0)</f>
        <v>1</v>
      </c>
      <c r="D4516" s="33">
        <f>INDEX('ZCB Curve - Payment Dates'!$D$2:$D$246,MATCH(B4516,'ZCB Curve - Payment Dates'!$A$2:$A$246,0))</f>
        <v>0.27379046078597996</v>
      </c>
      <c r="E4516" s="32">
        <f t="shared" si="70"/>
        <v>0.27379046078597996</v>
      </c>
    </row>
    <row r="4517" spans="1:5" x14ac:dyDescent="0.25">
      <c r="A4517" s="17">
        <v>334</v>
      </c>
      <c r="B4517" s="31">
        <v>55199</v>
      </c>
      <c r="C4517" s="32">
        <f>INDEX('Input Data'!$B:$B,A4517)/2+IF(A4517&lt;&gt;A4518,100,0)</f>
        <v>1</v>
      </c>
      <c r="D4517" s="33">
        <f>INDEX('ZCB Curve - Payment Dates'!$D$2:$D$246,MATCH(B4517,'ZCB Curve - Payment Dates'!$A$2:$A$246,0))</f>
        <v>0.26667724322397307</v>
      </c>
      <c r="E4517" s="32">
        <f t="shared" si="70"/>
        <v>0.26667724322397307</v>
      </c>
    </row>
    <row r="4518" spans="1:5" x14ac:dyDescent="0.25">
      <c r="A4518" s="17">
        <v>334</v>
      </c>
      <c r="B4518" s="31">
        <v>55380</v>
      </c>
      <c r="C4518" s="32">
        <f>INDEX('Input Data'!$B:$B,A4518)/2+IF(A4518&lt;&gt;A4519,100,0)</f>
        <v>101</v>
      </c>
      <c r="D4518" s="33">
        <f>INDEX('ZCB Curve - Payment Dates'!$D$2:$D$246,MATCH(B4518,'ZCB Curve - Payment Dates'!$A$2:$A$246,0))</f>
        <v>0.25999926234228898</v>
      </c>
      <c r="E4518" s="32">
        <f t="shared" si="70"/>
        <v>26.259925496571189</v>
      </c>
    </row>
    <row r="4519" spans="1:5" x14ac:dyDescent="0.25">
      <c r="A4519" s="17">
        <v>335</v>
      </c>
      <c r="B4519" s="31">
        <v>46341</v>
      </c>
      <c r="C4519" s="32">
        <f>INDEX('Input Data'!$B:$B,A4519)/2+IF(A4519&lt;&gt;A4520,100,0)</f>
        <v>0.9375</v>
      </c>
      <c r="D4519" s="33">
        <f>INDEX('ZCB Curve - Payment Dates'!$D$2:$D$246,MATCH(B4519,'ZCB Curve - Payment Dates'!$A$2:$A$246,0))</f>
        <v>0.99245367292309439</v>
      </c>
      <c r="E4519" s="32">
        <f t="shared" si="70"/>
        <v>0.93042531836540099</v>
      </c>
    </row>
    <row r="4520" spans="1:5" x14ac:dyDescent="0.25">
      <c r="A4520" s="17">
        <v>335</v>
      </c>
      <c r="B4520" s="31">
        <v>46522</v>
      </c>
      <c r="C4520" s="32">
        <f>INDEX('Input Data'!$B:$B,A4520)/2+IF(A4520&lt;&gt;A4521,100,0)</f>
        <v>0.9375</v>
      </c>
      <c r="D4520" s="33">
        <f>INDEX('ZCB Curve - Payment Dates'!$D$2:$D$246,MATCH(B4520,'ZCB Curve - Payment Dates'!$A$2:$A$246,0))</f>
        <v>0.97242179559611874</v>
      </c>
      <c r="E4520" s="32">
        <f t="shared" si="70"/>
        <v>0.91164543337136128</v>
      </c>
    </row>
    <row r="4521" spans="1:5" x14ac:dyDescent="0.25">
      <c r="A4521" s="17">
        <v>335</v>
      </c>
      <c r="B4521" s="31">
        <v>46706</v>
      </c>
      <c r="C4521" s="32">
        <f>INDEX('Input Data'!$B:$B,A4521)/2+IF(A4521&lt;&gt;A4522,100,0)</f>
        <v>0.9375</v>
      </c>
      <c r="D4521" s="33">
        <f>INDEX('ZCB Curve - Payment Dates'!$D$2:$D$246,MATCH(B4521,'ZCB Curve - Payment Dates'!$A$2:$A$246,0))</f>
        <v>0.95121018311627348</v>
      </c>
      <c r="E4521" s="32">
        <f t="shared" si="70"/>
        <v>0.89175954667150636</v>
      </c>
    </row>
    <row r="4522" spans="1:5" x14ac:dyDescent="0.25">
      <c r="A4522" s="17">
        <v>335</v>
      </c>
      <c r="B4522" s="31">
        <v>46888</v>
      </c>
      <c r="C4522" s="32">
        <f>INDEX('Input Data'!$B:$B,A4522)/2+IF(A4522&lt;&gt;A4523,100,0)</f>
        <v>0.9375</v>
      </c>
      <c r="D4522" s="33">
        <f>INDEX('ZCB Curve - Payment Dates'!$D$2:$D$246,MATCH(B4522,'ZCB Curve - Payment Dates'!$A$2:$A$246,0))</f>
        <v>0.93000025435083566</v>
      </c>
      <c r="E4522" s="32">
        <f t="shared" si="70"/>
        <v>0.87187523845390846</v>
      </c>
    </row>
    <row r="4523" spans="1:5" x14ac:dyDescent="0.25">
      <c r="A4523" s="17">
        <v>335</v>
      </c>
      <c r="B4523" s="31">
        <v>47072</v>
      </c>
      <c r="C4523" s="32">
        <f>INDEX('Input Data'!$B:$B,A4523)/2+IF(A4523&lt;&gt;A4524,100,0)</f>
        <v>0.9375</v>
      </c>
      <c r="D4523" s="33">
        <f>INDEX('ZCB Curve - Payment Dates'!$D$2:$D$246,MATCH(B4523,'ZCB Curve - Payment Dates'!$A$2:$A$246,0))</f>
        <v>0.90870125167038918</v>
      </c>
      <c r="E4523" s="32">
        <f t="shared" si="70"/>
        <v>0.8519074234409898</v>
      </c>
    </row>
    <row r="4524" spans="1:5" x14ac:dyDescent="0.25">
      <c r="A4524" s="17">
        <v>335</v>
      </c>
      <c r="B4524" s="31">
        <v>47253</v>
      </c>
      <c r="C4524" s="32">
        <f>INDEX('Input Data'!$B:$B,A4524)/2+IF(A4524&lt;&gt;A4525,100,0)</f>
        <v>0.9375</v>
      </c>
      <c r="D4524" s="33">
        <f>INDEX('ZCB Curve - Payment Dates'!$D$2:$D$246,MATCH(B4524,'ZCB Curve - Payment Dates'!$A$2:$A$246,0))</f>
        <v>0.88809325063638844</v>
      </c>
      <c r="E4524" s="32">
        <f t="shared" si="70"/>
        <v>0.83258742247161421</v>
      </c>
    </row>
    <row r="4525" spans="1:5" x14ac:dyDescent="0.25">
      <c r="A4525" s="17">
        <v>335</v>
      </c>
      <c r="B4525" s="31">
        <v>47437</v>
      </c>
      <c r="C4525" s="32">
        <f>INDEX('Input Data'!$B:$B,A4525)/2+IF(A4525&lt;&gt;A4526,100,0)</f>
        <v>0.9375</v>
      </c>
      <c r="D4525" s="33">
        <f>INDEX('ZCB Curve - Payment Dates'!$D$2:$D$246,MATCH(B4525,'ZCB Curve - Payment Dates'!$A$2:$A$246,0))</f>
        <v>0.86758824089536279</v>
      </c>
      <c r="E4525" s="32">
        <f t="shared" si="70"/>
        <v>0.81336397583940268</v>
      </c>
    </row>
    <row r="4526" spans="1:5" x14ac:dyDescent="0.25">
      <c r="A4526" s="17">
        <v>335</v>
      </c>
      <c r="B4526" s="31">
        <v>47618</v>
      </c>
      <c r="C4526" s="32">
        <f>INDEX('Input Data'!$B:$B,A4526)/2+IF(A4526&lt;&gt;A4527,100,0)</f>
        <v>0.9375</v>
      </c>
      <c r="D4526" s="33">
        <f>INDEX('ZCB Curve - Payment Dates'!$D$2:$D$246,MATCH(B4526,'ZCB Curve - Payment Dates'!$A$2:$A$246,0))</f>
        <v>0.84787416911783064</v>
      </c>
      <c r="E4526" s="32">
        <f t="shared" si="70"/>
        <v>0.79488203354796627</v>
      </c>
    </row>
    <row r="4527" spans="1:5" x14ac:dyDescent="0.25">
      <c r="A4527" s="17">
        <v>335</v>
      </c>
      <c r="B4527" s="31">
        <v>47802</v>
      </c>
      <c r="C4527" s="32">
        <f>INDEX('Input Data'!$B:$B,A4527)/2+IF(A4527&lt;&gt;A4528,100,0)</f>
        <v>0.9375</v>
      </c>
      <c r="D4527" s="33">
        <f>INDEX('ZCB Curve - Payment Dates'!$D$2:$D$246,MATCH(B4527,'ZCB Curve - Payment Dates'!$A$2:$A$246,0))</f>
        <v>0.82827715028796722</v>
      </c>
      <c r="E4527" s="32">
        <f t="shared" si="70"/>
        <v>0.77650982839496929</v>
      </c>
    </row>
    <row r="4528" spans="1:5" x14ac:dyDescent="0.25">
      <c r="A4528" s="17">
        <v>335</v>
      </c>
      <c r="B4528" s="31">
        <v>47983</v>
      </c>
      <c r="C4528" s="32">
        <f>INDEX('Input Data'!$B:$B,A4528)/2+IF(A4528&lt;&gt;A4529,100,0)</f>
        <v>0.9375</v>
      </c>
      <c r="D4528" s="33">
        <f>INDEX('ZCB Curve - Payment Dates'!$D$2:$D$246,MATCH(B4528,'ZCB Curve - Payment Dates'!$A$2:$A$246,0))</f>
        <v>0.80939067484273564</v>
      </c>
      <c r="E4528" s="32">
        <f t="shared" si="70"/>
        <v>0.75880375766506469</v>
      </c>
    </row>
    <row r="4529" spans="1:5" x14ac:dyDescent="0.25">
      <c r="A4529" s="17">
        <v>335</v>
      </c>
      <c r="B4529" s="31">
        <v>48167</v>
      </c>
      <c r="C4529" s="32">
        <f>INDEX('Input Data'!$B:$B,A4529)/2+IF(A4529&lt;&gt;A4530,100,0)</f>
        <v>0.9375</v>
      </c>
      <c r="D4529" s="33">
        <f>INDEX('ZCB Curve - Payment Dates'!$D$2:$D$246,MATCH(B4529,'ZCB Curve - Payment Dates'!$A$2:$A$246,0))</f>
        <v>0.79053567842581962</v>
      </c>
      <c r="E4529" s="32">
        <f t="shared" si="70"/>
        <v>0.74112719852420594</v>
      </c>
    </row>
    <row r="4530" spans="1:5" x14ac:dyDescent="0.25">
      <c r="A4530" s="17">
        <v>335</v>
      </c>
      <c r="B4530" s="31">
        <v>48349</v>
      </c>
      <c r="C4530" s="32">
        <f>INDEX('Input Data'!$B:$B,A4530)/2+IF(A4530&lt;&gt;A4531,100,0)</f>
        <v>0.9375</v>
      </c>
      <c r="D4530" s="33">
        <f>INDEX('ZCB Curve - Payment Dates'!$D$2:$D$246,MATCH(B4530,'ZCB Curve - Payment Dates'!$A$2:$A$246,0))</f>
        <v>0.77217305702007488</v>
      </c>
      <c r="E4530" s="32">
        <f t="shared" si="70"/>
        <v>0.72391224095632023</v>
      </c>
    </row>
    <row r="4531" spans="1:5" x14ac:dyDescent="0.25">
      <c r="A4531" s="17">
        <v>335</v>
      </c>
      <c r="B4531" s="31">
        <v>48533</v>
      </c>
      <c r="C4531" s="32">
        <f>INDEX('Input Data'!$B:$B,A4531)/2+IF(A4531&lt;&gt;A4532,100,0)</f>
        <v>0.9375</v>
      </c>
      <c r="D4531" s="33">
        <f>INDEX('ZCB Curve - Payment Dates'!$D$2:$D$246,MATCH(B4531,'ZCB Curve - Payment Dates'!$A$2:$A$246,0))</f>
        <v>0.75384766072076514</v>
      </c>
      <c r="E4531" s="32">
        <f t="shared" si="70"/>
        <v>0.7067321819257173</v>
      </c>
    </row>
    <row r="4532" spans="1:5" x14ac:dyDescent="0.25">
      <c r="A4532" s="17">
        <v>335</v>
      </c>
      <c r="B4532" s="31">
        <v>48714</v>
      </c>
      <c r="C4532" s="32">
        <f>INDEX('Input Data'!$B:$B,A4532)/2+IF(A4532&lt;&gt;A4533,100,0)</f>
        <v>0.9375</v>
      </c>
      <c r="D4532" s="33">
        <f>INDEX('ZCB Curve - Payment Dates'!$D$2:$D$246,MATCH(B4532,'ZCB Curve - Payment Dates'!$A$2:$A$246,0))</f>
        <v>0.73601491848746747</v>
      </c>
      <c r="E4532" s="32">
        <f t="shared" si="70"/>
        <v>0.69001398608200071</v>
      </c>
    </row>
    <row r="4533" spans="1:5" x14ac:dyDescent="0.25">
      <c r="A4533" s="17">
        <v>335</v>
      </c>
      <c r="B4533" s="31">
        <v>48898</v>
      </c>
      <c r="C4533" s="32">
        <f>INDEX('Input Data'!$B:$B,A4533)/2+IF(A4533&lt;&gt;A4534,100,0)</f>
        <v>0.9375</v>
      </c>
      <c r="D4533" s="33">
        <f>INDEX('ZCB Curve - Payment Dates'!$D$2:$D$246,MATCH(B4533,'ZCB Curve - Payment Dates'!$A$2:$A$246,0))</f>
        <v>0.71805338140354003</v>
      </c>
      <c r="E4533" s="32">
        <f t="shared" si="70"/>
        <v>0.67317504506581882</v>
      </c>
    </row>
    <row r="4534" spans="1:5" x14ac:dyDescent="0.25">
      <c r="A4534" s="17">
        <v>335</v>
      </c>
      <c r="B4534" s="31">
        <v>49079</v>
      </c>
      <c r="C4534" s="32">
        <f>INDEX('Input Data'!$B:$B,A4534)/2+IF(A4534&lt;&gt;A4535,100,0)</f>
        <v>0.9375</v>
      </c>
      <c r="D4534" s="33">
        <f>INDEX('ZCB Curve - Payment Dates'!$D$2:$D$246,MATCH(B4534,'ZCB Curve - Payment Dates'!$A$2:$A$246,0))</f>
        <v>0.70052630492471468</v>
      </c>
      <c r="E4534" s="32">
        <f t="shared" si="70"/>
        <v>0.65674341086692001</v>
      </c>
    </row>
    <row r="4535" spans="1:5" x14ac:dyDescent="0.25">
      <c r="A4535" s="17">
        <v>335</v>
      </c>
      <c r="B4535" s="31">
        <v>49263</v>
      </c>
      <c r="C4535" s="32">
        <f>INDEX('Input Data'!$B:$B,A4535)/2+IF(A4535&lt;&gt;A4536,100,0)</f>
        <v>0.9375</v>
      </c>
      <c r="D4535" s="33">
        <f>INDEX('ZCB Curve - Payment Dates'!$D$2:$D$246,MATCH(B4535,'ZCB Curve - Payment Dates'!$A$2:$A$246,0))</f>
        <v>0.68284221202539863</v>
      </c>
      <c r="E4535" s="32">
        <f t="shared" si="70"/>
        <v>0.6401645737738112</v>
      </c>
    </row>
    <row r="4536" spans="1:5" x14ac:dyDescent="0.25">
      <c r="A4536" s="17">
        <v>335</v>
      </c>
      <c r="B4536" s="31">
        <v>49444</v>
      </c>
      <c r="C4536" s="32">
        <f>INDEX('Input Data'!$B:$B,A4536)/2+IF(A4536&lt;&gt;A4537,100,0)</f>
        <v>0.9375</v>
      </c>
      <c r="D4536" s="33">
        <f>INDEX('ZCB Curve - Payment Dates'!$D$2:$D$246,MATCH(B4536,'ZCB Curve - Payment Dates'!$A$2:$A$246,0))</f>
        <v>0.66557347415228496</v>
      </c>
      <c r="E4536" s="32">
        <f t="shared" si="70"/>
        <v>0.62397513201776711</v>
      </c>
    </row>
    <row r="4537" spans="1:5" x14ac:dyDescent="0.25">
      <c r="A4537" s="17">
        <v>335</v>
      </c>
      <c r="B4537" s="31">
        <v>49628</v>
      </c>
      <c r="C4537" s="32">
        <f>INDEX('Input Data'!$B:$B,A4537)/2+IF(A4537&lt;&gt;A4538,100,0)</f>
        <v>0.9375</v>
      </c>
      <c r="D4537" s="33">
        <f>INDEX('ZCB Curve - Payment Dates'!$D$2:$D$246,MATCH(B4537,'ZCB Curve - Payment Dates'!$A$2:$A$246,0))</f>
        <v>0.64815361918127823</v>
      </c>
      <c r="E4537" s="32">
        <f t="shared" si="70"/>
        <v>0.60764401798244838</v>
      </c>
    </row>
    <row r="4538" spans="1:5" x14ac:dyDescent="0.25">
      <c r="A4538" s="17">
        <v>335</v>
      </c>
      <c r="B4538" s="31">
        <v>49810</v>
      </c>
      <c r="C4538" s="32">
        <f>INDEX('Input Data'!$B:$B,A4538)/2+IF(A4538&lt;&gt;A4539,100,0)</f>
        <v>0.9375</v>
      </c>
      <c r="D4538" s="33">
        <f>INDEX('ZCB Curve - Payment Dates'!$D$2:$D$246,MATCH(B4538,'ZCB Curve - Payment Dates'!$A$2:$A$246,0))</f>
        <v>0.63106457078577471</v>
      </c>
      <c r="E4538" s="32">
        <f t="shared" si="70"/>
        <v>0.59162303511166381</v>
      </c>
    </row>
    <row r="4539" spans="1:5" x14ac:dyDescent="0.25">
      <c r="A4539" s="17">
        <v>335</v>
      </c>
      <c r="B4539" s="31">
        <v>49994</v>
      </c>
      <c r="C4539" s="32">
        <f>INDEX('Input Data'!$B:$B,A4539)/2+IF(A4539&lt;&gt;A4540,100,0)</f>
        <v>0.9375</v>
      </c>
      <c r="D4539" s="33">
        <f>INDEX('ZCB Curve - Payment Dates'!$D$2:$D$246,MATCH(B4539,'ZCB Curve - Payment Dates'!$A$2:$A$246,0))</f>
        <v>0.61395227923184648</v>
      </c>
      <c r="E4539" s="32">
        <f t="shared" si="70"/>
        <v>0.57558026177985611</v>
      </c>
    </row>
    <row r="4540" spans="1:5" x14ac:dyDescent="0.25">
      <c r="A4540" s="17">
        <v>335</v>
      </c>
      <c r="B4540" s="31">
        <v>50175</v>
      </c>
      <c r="C4540" s="32">
        <f>INDEX('Input Data'!$B:$B,A4540)/2+IF(A4540&lt;&gt;A4541,100,0)</f>
        <v>0.9375</v>
      </c>
      <c r="D4540" s="33">
        <f>INDEX('ZCB Curve - Payment Dates'!$D$2:$D$246,MATCH(B4540,'ZCB Curve - Payment Dates'!$A$2:$A$246,0))</f>
        <v>0.5972963482314616</v>
      </c>
      <c r="E4540" s="32">
        <f t="shared" si="70"/>
        <v>0.55996532646699526</v>
      </c>
    </row>
    <row r="4541" spans="1:5" x14ac:dyDescent="0.25">
      <c r="A4541" s="17">
        <v>335</v>
      </c>
      <c r="B4541" s="31">
        <v>50359</v>
      </c>
      <c r="C4541" s="32">
        <f>INDEX('Input Data'!$B:$B,A4541)/2+IF(A4541&lt;&gt;A4542,100,0)</f>
        <v>0.9375</v>
      </c>
      <c r="D4541" s="33">
        <f>INDEX('ZCB Curve - Payment Dates'!$D$2:$D$246,MATCH(B4541,'ZCB Curve - Payment Dates'!$A$2:$A$246,0))</f>
        <v>0.58056812006155756</v>
      </c>
      <c r="E4541" s="32">
        <f t="shared" si="70"/>
        <v>0.54428261255771027</v>
      </c>
    </row>
    <row r="4542" spans="1:5" x14ac:dyDescent="0.25">
      <c r="A4542" s="17">
        <v>335</v>
      </c>
      <c r="B4542" s="31">
        <v>50540</v>
      </c>
      <c r="C4542" s="32">
        <f>INDEX('Input Data'!$B:$B,A4542)/2+IF(A4542&lt;&gt;A4543,100,0)</f>
        <v>0.9375</v>
      </c>
      <c r="D4542" s="33">
        <f>INDEX('ZCB Curve - Payment Dates'!$D$2:$D$246,MATCH(B4542,'ZCB Curve - Payment Dates'!$A$2:$A$246,0))</f>
        <v>0.56433491315969797</v>
      </c>
      <c r="E4542" s="32">
        <f t="shared" si="70"/>
        <v>0.52906398108721686</v>
      </c>
    </row>
    <row r="4543" spans="1:5" x14ac:dyDescent="0.25">
      <c r="A4543" s="17">
        <v>335</v>
      </c>
      <c r="B4543" s="31">
        <v>50724</v>
      </c>
      <c r="C4543" s="32">
        <f>INDEX('Input Data'!$B:$B,A4543)/2+IF(A4543&lt;&gt;A4544,100,0)</f>
        <v>0.9375</v>
      </c>
      <c r="D4543" s="33">
        <f>INDEX('ZCB Curve - Payment Dates'!$D$2:$D$246,MATCH(B4543,'ZCB Curve - Payment Dates'!$A$2:$A$246,0))</f>
        <v>0.54808398139057424</v>
      </c>
      <c r="E4543" s="32">
        <f t="shared" si="70"/>
        <v>0.51382873255366335</v>
      </c>
    </row>
    <row r="4544" spans="1:5" x14ac:dyDescent="0.25">
      <c r="A4544" s="17">
        <v>335</v>
      </c>
      <c r="B4544" s="31">
        <v>50905</v>
      </c>
      <c r="C4544" s="32">
        <f>INDEX('Input Data'!$B:$B,A4544)/2+IF(A4544&lt;&gt;A4545,100,0)</f>
        <v>0.9375</v>
      </c>
      <c r="D4544" s="33">
        <f>INDEX('ZCB Curve - Payment Dates'!$D$2:$D$246,MATCH(B4544,'ZCB Curve - Payment Dates'!$A$2:$A$246,0))</f>
        <v>0.5323673246083096</v>
      </c>
      <c r="E4544" s="32">
        <f t="shared" si="70"/>
        <v>0.49909436682029024</v>
      </c>
    </row>
    <row r="4545" spans="1:5" x14ac:dyDescent="0.25">
      <c r="A4545" s="17">
        <v>335</v>
      </c>
      <c r="B4545" s="31">
        <v>51089</v>
      </c>
      <c r="C4545" s="32">
        <f>INDEX('Input Data'!$B:$B,A4545)/2+IF(A4545&lt;&gt;A4546,100,0)</f>
        <v>0.9375</v>
      </c>
      <c r="D4545" s="33">
        <f>INDEX('ZCB Curve - Payment Dates'!$D$2:$D$246,MATCH(B4545,'ZCB Curve - Payment Dates'!$A$2:$A$246,0))</f>
        <v>0.51668806431098135</v>
      </c>
      <c r="E4545" s="32">
        <f t="shared" si="70"/>
        <v>0.484395060291545</v>
      </c>
    </row>
    <row r="4546" spans="1:5" x14ac:dyDescent="0.25">
      <c r="A4546" s="17">
        <v>335</v>
      </c>
      <c r="B4546" s="31">
        <v>51271</v>
      </c>
      <c r="C4546" s="32">
        <f>INDEX('Input Data'!$B:$B,A4546)/2+IF(A4546&lt;&gt;A4547,100,0)</f>
        <v>0.9375</v>
      </c>
      <c r="D4546" s="33">
        <f>INDEX('ZCB Curve - Payment Dates'!$D$2:$D$246,MATCH(B4546,'ZCB Curve - Payment Dates'!$A$2:$A$246,0))</f>
        <v>0.50149590020417278</v>
      </c>
      <c r="E4546" s="32">
        <f t="shared" ref="E4546:E4609" si="71">C4546*D4546</f>
        <v>0.47015240644141199</v>
      </c>
    </row>
    <row r="4547" spans="1:5" x14ac:dyDescent="0.25">
      <c r="A4547" s="17">
        <v>335</v>
      </c>
      <c r="B4547" s="31">
        <v>51455</v>
      </c>
      <c r="C4547" s="32">
        <f>INDEX('Input Data'!$B:$B,A4547)/2+IF(A4547&lt;&gt;A4548,100,0)</f>
        <v>0.9375</v>
      </c>
      <c r="D4547" s="33">
        <f>INDEX('ZCB Curve - Payment Dates'!$D$2:$D$246,MATCH(B4547,'ZCB Curve - Payment Dates'!$A$2:$A$246,0))</f>
        <v>0.48647538074270091</v>
      </c>
      <c r="E4547" s="32">
        <f t="shared" si="71"/>
        <v>0.45607066944628211</v>
      </c>
    </row>
    <row r="4548" spans="1:5" x14ac:dyDescent="0.25">
      <c r="A4548" s="17">
        <v>335</v>
      </c>
      <c r="B4548" s="31">
        <v>51636</v>
      </c>
      <c r="C4548" s="32">
        <f>INDEX('Input Data'!$B:$B,A4548)/2+IF(A4548&lt;&gt;A4549,100,0)</f>
        <v>0.9375</v>
      </c>
      <c r="D4548" s="33">
        <f>INDEX('ZCB Curve - Payment Dates'!$D$2:$D$246,MATCH(B4548,'ZCB Curve - Payment Dates'!$A$2:$A$246,0))</f>
        <v>0.47204918703719451</v>
      </c>
      <c r="E4548" s="32">
        <f t="shared" si="71"/>
        <v>0.44254611284736983</v>
      </c>
    </row>
    <row r="4549" spans="1:5" x14ac:dyDescent="0.25">
      <c r="A4549" s="17">
        <v>335</v>
      </c>
      <c r="B4549" s="31">
        <v>51820</v>
      </c>
      <c r="C4549" s="32">
        <f>INDEX('Input Data'!$B:$B,A4549)/2+IF(A4549&lt;&gt;A4550,100,0)</f>
        <v>0.9375</v>
      </c>
      <c r="D4549" s="33">
        <f>INDEX('ZCB Curve - Payment Dates'!$D$2:$D$246,MATCH(B4549,'ZCB Curve - Payment Dates'!$A$2:$A$246,0))</f>
        <v>0.45775548669345245</v>
      </c>
      <c r="E4549" s="32">
        <f t="shared" si="71"/>
        <v>0.42914576877511168</v>
      </c>
    </row>
    <row r="4550" spans="1:5" x14ac:dyDescent="0.25">
      <c r="A4550" s="17">
        <v>335</v>
      </c>
      <c r="B4550" s="31">
        <v>52001</v>
      </c>
      <c r="C4550" s="32">
        <f>INDEX('Input Data'!$B:$B,A4550)/2+IF(A4550&lt;&gt;A4551,100,0)</f>
        <v>0.9375</v>
      </c>
      <c r="D4550" s="33">
        <f>INDEX('ZCB Curve - Payment Dates'!$D$2:$D$246,MATCH(B4550,'ZCB Curve - Payment Dates'!$A$2:$A$246,0))</f>
        <v>0.44407192118484318</v>
      </c>
      <c r="E4550" s="32">
        <f t="shared" si="71"/>
        <v>0.41631742611079048</v>
      </c>
    </row>
    <row r="4551" spans="1:5" x14ac:dyDescent="0.25">
      <c r="A4551" s="17">
        <v>335</v>
      </c>
      <c r="B4551" s="31">
        <v>52185</v>
      </c>
      <c r="C4551" s="32">
        <f>INDEX('Input Data'!$B:$B,A4551)/2+IF(A4551&lt;&gt;A4552,100,0)</f>
        <v>0.9375</v>
      </c>
      <c r="D4551" s="33">
        <f>INDEX('ZCB Curve - Payment Dates'!$D$2:$D$246,MATCH(B4551,'ZCB Curve - Payment Dates'!$A$2:$A$246,0))</f>
        <v>0.43055647946672393</v>
      </c>
      <c r="E4551" s="32">
        <f t="shared" si="71"/>
        <v>0.40364669950005366</v>
      </c>
    </row>
    <row r="4552" spans="1:5" x14ac:dyDescent="0.25">
      <c r="A4552" s="17">
        <v>335</v>
      </c>
      <c r="B4552" s="31">
        <v>52366</v>
      </c>
      <c r="C4552" s="32">
        <f>INDEX('Input Data'!$B:$B,A4552)/2+IF(A4552&lt;&gt;A4553,100,0)</f>
        <v>0.9375</v>
      </c>
      <c r="D4552" s="33">
        <f>INDEX('ZCB Curve - Payment Dates'!$D$2:$D$246,MATCH(B4552,'ZCB Curve - Payment Dates'!$A$2:$A$246,0))</f>
        <v>0.41765686229470528</v>
      </c>
      <c r="E4552" s="32">
        <f t="shared" si="71"/>
        <v>0.39155330840128622</v>
      </c>
    </row>
    <row r="4553" spans="1:5" x14ac:dyDescent="0.25">
      <c r="A4553" s="17">
        <v>335</v>
      </c>
      <c r="B4553" s="31">
        <v>52550</v>
      </c>
      <c r="C4553" s="32">
        <f>INDEX('Input Data'!$B:$B,A4553)/2+IF(A4553&lt;&gt;A4554,100,0)</f>
        <v>0.9375</v>
      </c>
      <c r="D4553" s="33">
        <f>INDEX('ZCB Curve - Payment Dates'!$D$2:$D$246,MATCH(B4553,'ZCB Curve - Payment Dates'!$A$2:$A$246,0))</f>
        <v>0.40495237741553414</v>
      </c>
      <c r="E4553" s="32">
        <f t="shared" si="71"/>
        <v>0.37964285382706325</v>
      </c>
    </row>
    <row r="4554" spans="1:5" x14ac:dyDescent="0.25">
      <c r="A4554" s="17">
        <v>335</v>
      </c>
      <c r="B4554" s="31">
        <v>52732</v>
      </c>
      <c r="C4554" s="32">
        <f>INDEX('Input Data'!$B:$B,A4554)/2+IF(A4554&lt;&gt;A4555,100,0)</f>
        <v>0.9375</v>
      </c>
      <c r="D4554" s="33">
        <f>INDEX('ZCB Curve - Payment Dates'!$D$2:$D$246,MATCH(B4554,'ZCB Curve - Payment Dates'!$A$2:$A$246,0))</f>
        <v>0.3927952920896523</v>
      </c>
      <c r="E4554" s="32">
        <f t="shared" si="71"/>
        <v>0.36824558633404902</v>
      </c>
    </row>
    <row r="4555" spans="1:5" x14ac:dyDescent="0.25">
      <c r="A4555" s="17">
        <v>335</v>
      </c>
      <c r="B4555" s="31">
        <v>52916</v>
      </c>
      <c r="C4555" s="32">
        <f>INDEX('Input Data'!$B:$B,A4555)/2+IF(A4555&lt;&gt;A4556,100,0)</f>
        <v>0.9375</v>
      </c>
      <c r="D4555" s="33">
        <f>INDEX('ZCB Curve - Payment Dates'!$D$2:$D$246,MATCH(B4555,'ZCB Curve - Payment Dates'!$A$2:$A$246,0))</f>
        <v>0.38091684361752687</v>
      </c>
      <c r="E4555" s="32">
        <f t="shared" si="71"/>
        <v>0.35710954089143143</v>
      </c>
    </row>
    <row r="4556" spans="1:5" x14ac:dyDescent="0.25">
      <c r="A4556" s="17">
        <v>335</v>
      </c>
      <c r="B4556" s="31">
        <v>53097</v>
      </c>
      <c r="C4556" s="32">
        <f>INDEX('Input Data'!$B:$B,A4556)/2+IF(A4556&lt;&gt;A4557,100,0)</f>
        <v>0.9375</v>
      </c>
      <c r="D4556" s="33">
        <f>INDEX('ZCB Curve - Payment Dates'!$D$2:$D$246,MATCH(B4556,'ZCB Curve - Payment Dates'!$A$2:$A$246,0))</f>
        <v>0.36964331092783359</v>
      </c>
      <c r="E4556" s="32">
        <f t="shared" si="71"/>
        <v>0.34654060399484399</v>
      </c>
    </row>
    <row r="4557" spans="1:5" x14ac:dyDescent="0.25">
      <c r="A4557" s="17">
        <v>335</v>
      </c>
      <c r="B4557" s="31">
        <v>53281</v>
      </c>
      <c r="C4557" s="32">
        <f>INDEX('Input Data'!$B:$B,A4557)/2+IF(A4557&lt;&gt;A4558,100,0)</f>
        <v>0.9375</v>
      </c>
      <c r="D4557" s="33">
        <f>INDEX('ZCB Curve - Payment Dates'!$D$2:$D$246,MATCH(B4557,'ZCB Curve - Payment Dates'!$A$2:$A$246,0))</f>
        <v>0.35859090372935404</v>
      </c>
      <c r="E4557" s="32">
        <f t="shared" si="71"/>
        <v>0.33617897224626941</v>
      </c>
    </row>
    <row r="4558" spans="1:5" x14ac:dyDescent="0.25">
      <c r="A4558" s="17">
        <v>335</v>
      </c>
      <c r="B4558" s="31">
        <v>53462</v>
      </c>
      <c r="C4558" s="32">
        <f>INDEX('Input Data'!$B:$B,A4558)/2+IF(A4558&lt;&gt;A4559,100,0)</f>
        <v>0.9375</v>
      </c>
      <c r="D4558" s="33">
        <f>INDEX('ZCB Curve - Payment Dates'!$D$2:$D$246,MATCH(B4558,'ZCB Curve - Payment Dates'!$A$2:$A$246,0))</f>
        <v>0.34812465854380154</v>
      </c>
      <c r="E4558" s="32">
        <f t="shared" si="71"/>
        <v>0.32636686738481396</v>
      </c>
    </row>
    <row r="4559" spans="1:5" x14ac:dyDescent="0.25">
      <c r="A4559" s="17">
        <v>335</v>
      </c>
      <c r="B4559" s="31">
        <v>53646</v>
      </c>
      <c r="C4559" s="32">
        <f>INDEX('Input Data'!$B:$B,A4559)/2+IF(A4559&lt;&gt;A4560,100,0)</f>
        <v>0.9375</v>
      </c>
      <c r="D4559" s="33">
        <f>INDEX('ZCB Curve - Payment Dates'!$D$2:$D$246,MATCH(B4559,'ZCB Curve - Payment Dates'!$A$2:$A$246,0))</f>
        <v>0.33788528510382887</v>
      </c>
      <c r="E4559" s="32">
        <f t="shared" si="71"/>
        <v>0.31676745478483959</v>
      </c>
    </row>
    <row r="4560" spans="1:5" x14ac:dyDescent="0.25">
      <c r="A4560" s="17">
        <v>335</v>
      </c>
      <c r="B4560" s="31">
        <v>53827</v>
      </c>
      <c r="C4560" s="32">
        <f>INDEX('Input Data'!$B:$B,A4560)/2+IF(A4560&lt;&gt;A4561,100,0)</f>
        <v>0.9375</v>
      </c>
      <c r="D4560" s="33">
        <f>INDEX('ZCB Curve - Payment Dates'!$D$2:$D$246,MATCH(B4560,'ZCB Curve - Payment Dates'!$A$2:$A$246,0))</f>
        <v>0.32820827061914198</v>
      </c>
      <c r="E4560" s="32">
        <f t="shared" si="71"/>
        <v>0.30769525370544559</v>
      </c>
    </row>
    <row r="4561" spans="1:5" x14ac:dyDescent="0.25">
      <c r="A4561" s="17">
        <v>335</v>
      </c>
      <c r="B4561" s="31">
        <v>54011</v>
      </c>
      <c r="C4561" s="32">
        <f>INDEX('Input Data'!$B:$B,A4561)/2+IF(A4561&lt;&gt;A4562,100,0)</f>
        <v>0.9375</v>
      </c>
      <c r="D4561" s="33">
        <f>INDEX('ZCB Curve - Payment Dates'!$D$2:$D$246,MATCH(B4561,'ZCB Curve - Payment Dates'!$A$2:$A$246,0))</f>
        <v>0.31875888330253388</v>
      </c>
      <c r="E4561" s="32">
        <f t="shared" si="71"/>
        <v>0.2988364530961255</v>
      </c>
    </row>
    <row r="4562" spans="1:5" x14ac:dyDescent="0.25">
      <c r="A4562" s="17">
        <v>335</v>
      </c>
      <c r="B4562" s="31">
        <v>54193</v>
      </c>
      <c r="C4562" s="32">
        <f>INDEX('Input Data'!$B:$B,A4562)/2+IF(A4562&lt;&gt;A4563,100,0)</f>
        <v>0.9375</v>
      </c>
      <c r="D4562" s="33">
        <f>INDEX('ZCB Curve - Payment Dates'!$D$2:$D$246,MATCH(B4562,'ZCB Curve - Payment Dates'!$A$2:$A$246,0))</f>
        <v>0.30979516521120642</v>
      </c>
      <c r="E4562" s="32">
        <f t="shared" si="71"/>
        <v>0.290432967385506</v>
      </c>
    </row>
    <row r="4563" spans="1:5" x14ac:dyDescent="0.25">
      <c r="A4563" s="17">
        <v>335</v>
      </c>
      <c r="B4563" s="31">
        <v>54377</v>
      </c>
      <c r="C4563" s="32">
        <f>INDEX('Input Data'!$B:$B,A4563)/2+IF(A4563&lt;&gt;A4564,100,0)</f>
        <v>0.9375</v>
      </c>
      <c r="D4563" s="33">
        <f>INDEX('ZCB Curve - Payment Dates'!$D$2:$D$246,MATCH(B4563,'ZCB Curve - Payment Dates'!$A$2:$A$246,0))</f>
        <v>0.30110901062008694</v>
      </c>
      <c r="E4563" s="32">
        <f t="shared" si="71"/>
        <v>0.28228969745633148</v>
      </c>
    </row>
    <row r="4564" spans="1:5" x14ac:dyDescent="0.25">
      <c r="A4564" s="17">
        <v>335</v>
      </c>
      <c r="B4564" s="31">
        <v>54558</v>
      </c>
      <c r="C4564" s="32">
        <f>INDEX('Input Data'!$B:$B,A4564)/2+IF(A4564&lt;&gt;A4565,100,0)</f>
        <v>0.9375</v>
      </c>
      <c r="D4564" s="33">
        <f>INDEX('ZCB Curve - Payment Dates'!$D$2:$D$246,MATCH(B4564,'ZCB Curve - Payment Dates'!$A$2:$A$246,0))</f>
        <v>0.29292467059800714</v>
      </c>
      <c r="E4564" s="32">
        <f t="shared" si="71"/>
        <v>0.27461687868563167</v>
      </c>
    </row>
    <row r="4565" spans="1:5" x14ac:dyDescent="0.25">
      <c r="A4565" s="17">
        <v>335</v>
      </c>
      <c r="B4565" s="31">
        <v>54742</v>
      </c>
      <c r="C4565" s="32">
        <f>INDEX('Input Data'!$B:$B,A4565)/2+IF(A4565&lt;&gt;A4566,100,0)</f>
        <v>0.9375</v>
      </c>
      <c r="D4565" s="33">
        <f>INDEX('ZCB Curve - Payment Dates'!$D$2:$D$246,MATCH(B4565,'ZCB Curve - Payment Dates'!$A$2:$A$246,0))</f>
        <v>0.28496204444064566</v>
      </c>
      <c r="E4565" s="32">
        <f t="shared" si="71"/>
        <v>0.26715191666310528</v>
      </c>
    </row>
    <row r="4566" spans="1:5" x14ac:dyDescent="0.25">
      <c r="A4566" s="17">
        <v>335</v>
      </c>
      <c r="B4566" s="31">
        <v>54923</v>
      </c>
      <c r="C4566" s="32">
        <f>INDEX('Input Data'!$B:$B,A4566)/2+IF(A4566&lt;&gt;A4567,100,0)</f>
        <v>0.9375</v>
      </c>
      <c r="D4566" s="33">
        <f>INDEX('ZCB Curve - Payment Dates'!$D$2:$D$246,MATCH(B4566,'ZCB Curve - Payment Dates'!$A$2:$A$246,0))</f>
        <v>0.27747061478742291</v>
      </c>
      <c r="E4566" s="32">
        <f t="shared" si="71"/>
        <v>0.26012870136320898</v>
      </c>
    </row>
    <row r="4567" spans="1:5" x14ac:dyDescent="0.25">
      <c r="A4567" s="17">
        <v>335</v>
      </c>
      <c r="B4567" s="31">
        <v>55107</v>
      </c>
      <c r="C4567" s="32">
        <f>INDEX('Input Data'!$B:$B,A4567)/2+IF(A4567&lt;&gt;A4568,100,0)</f>
        <v>0.9375</v>
      </c>
      <c r="D4567" s="33">
        <f>INDEX('ZCB Curve - Payment Dates'!$D$2:$D$246,MATCH(B4567,'ZCB Curve - Payment Dates'!$A$2:$A$246,0))</f>
        <v>0.2701926092917406</v>
      </c>
      <c r="E4567" s="32">
        <f t="shared" si="71"/>
        <v>0.25330557121100683</v>
      </c>
    </row>
    <row r="4568" spans="1:5" x14ac:dyDescent="0.25">
      <c r="A4568" s="17">
        <v>335</v>
      </c>
      <c r="B4568" s="31">
        <v>55288</v>
      </c>
      <c r="C4568" s="32">
        <f>INDEX('Input Data'!$B:$B,A4568)/2+IF(A4568&lt;&gt;A4569,100,0)</f>
        <v>0.9375</v>
      </c>
      <c r="D4568" s="33">
        <f>INDEX('ZCB Curve - Payment Dates'!$D$2:$D$246,MATCH(B4568,'ZCB Curve - Payment Dates'!$A$2:$A$246,0))</f>
        <v>0.26335484985695851</v>
      </c>
      <c r="E4568" s="32">
        <f t="shared" si="71"/>
        <v>0.24689517174089859</v>
      </c>
    </row>
    <row r="4569" spans="1:5" x14ac:dyDescent="0.25">
      <c r="A4569" s="17">
        <v>335</v>
      </c>
      <c r="B4569" s="31">
        <v>55472</v>
      </c>
      <c r="C4569" s="32">
        <f>INDEX('Input Data'!$B:$B,A4569)/2+IF(A4569&lt;&gt;A4570,100,0)</f>
        <v>100.9375</v>
      </c>
      <c r="D4569" s="33">
        <f>INDEX('ZCB Curve - Payment Dates'!$D$2:$D$246,MATCH(B4569,'ZCB Curve - Payment Dates'!$A$2:$A$246,0))</f>
        <v>0.25672095505458636</v>
      </c>
      <c r="E4569" s="32">
        <f t="shared" si="71"/>
        <v>25.912771400822312</v>
      </c>
    </row>
    <row r="4570" spans="1:5" x14ac:dyDescent="0.25">
      <c r="A4570" s="17">
        <v>336</v>
      </c>
      <c r="B4570" s="31">
        <v>46433</v>
      </c>
      <c r="C4570" s="32">
        <f>INDEX('Input Data'!$B:$B,A4570)/2+IF(A4570&lt;&gt;A4571,100,0)</f>
        <v>1.125</v>
      </c>
      <c r="D4570" s="33">
        <f>INDEX('ZCB Curve - Payment Dates'!$D$2:$D$246,MATCH(B4570,'ZCB Curve - Payment Dates'!$A$2:$A$246,0))</f>
        <v>0.98242671792446301</v>
      </c>
      <c r="E4570" s="32">
        <f t="shared" si="71"/>
        <v>1.1052300576650209</v>
      </c>
    </row>
    <row r="4571" spans="1:5" x14ac:dyDescent="0.25">
      <c r="A4571" s="17">
        <v>336</v>
      </c>
      <c r="B4571" s="31">
        <v>46614</v>
      </c>
      <c r="C4571" s="32">
        <f>INDEX('Input Data'!$B:$B,A4571)/2+IF(A4571&lt;&gt;A4572,100,0)</f>
        <v>1.125</v>
      </c>
      <c r="D4571" s="33">
        <f>INDEX('ZCB Curve - Payment Dates'!$D$2:$D$246,MATCH(B4571,'ZCB Curve - Payment Dates'!$A$2:$A$246,0))</f>
        <v>0.96187948164765535</v>
      </c>
      <c r="E4571" s="32">
        <f t="shared" si="71"/>
        <v>1.0821144168536123</v>
      </c>
    </row>
    <row r="4572" spans="1:5" x14ac:dyDescent="0.25">
      <c r="A4572" s="17">
        <v>336</v>
      </c>
      <c r="B4572" s="31">
        <v>46798</v>
      </c>
      <c r="C4572" s="32">
        <f>INDEX('Input Data'!$B:$B,A4572)/2+IF(A4572&lt;&gt;A4573,100,0)</f>
        <v>1.125</v>
      </c>
      <c r="D4572" s="33">
        <f>INDEX('ZCB Curve - Payment Dates'!$D$2:$D$246,MATCH(B4572,'ZCB Curve - Payment Dates'!$A$2:$A$246,0))</f>
        <v>0.94049096132648802</v>
      </c>
      <c r="E4572" s="32">
        <f t="shared" si="71"/>
        <v>1.0580523314922989</v>
      </c>
    </row>
    <row r="4573" spans="1:5" x14ac:dyDescent="0.25">
      <c r="A4573" s="17">
        <v>336</v>
      </c>
      <c r="B4573" s="31">
        <v>46980</v>
      </c>
      <c r="C4573" s="32">
        <f>INDEX('Input Data'!$B:$B,A4573)/2+IF(A4573&lt;&gt;A4574,100,0)</f>
        <v>1.125</v>
      </c>
      <c r="D4573" s="33">
        <f>INDEX('ZCB Curve - Payment Dates'!$D$2:$D$246,MATCH(B4573,'ZCB Curve - Payment Dates'!$A$2:$A$246,0))</f>
        <v>0.91931844130238327</v>
      </c>
      <c r="E4573" s="32">
        <f t="shared" si="71"/>
        <v>1.0342332464651811</v>
      </c>
    </row>
    <row r="4574" spans="1:5" x14ac:dyDescent="0.25">
      <c r="A4574" s="17">
        <v>336</v>
      </c>
      <c r="B4574" s="31">
        <v>47164</v>
      </c>
      <c r="C4574" s="32">
        <f>INDEX('Input Data'!$B:$B,A4574)/2+IF(A4574&lt;&gt;A4575,100,0)</f>
        <v>1.125</v>
      </c>
      <c r="D4574" s="33">
        <f>INDEX('ZCB Curve - Payment Dates'!$D$2:$D$246,MATCH(B4574,'ZCB Curve - Payment Dates'!$A$2:$A$246,0))</f>
        <v>0.89817430058086534</v>
      </c>
      <c r="E4574" s="32">
        <f t="shared" si="71"/>
        <v>1.0104460881534736</v>
      </c>
    </row>
    <row r="4575" spans="1:5" x14ac:dyDescent="0.25">
      <c r="A4575" s="17">
        <v>336</v>
      </c>
      <c r="B4575" s="31">
        <v>47345</v>
      </c>
      <c r="C4575" s="32">
        <f>INDEX('Input Data'!$B:$B,A4575)/2+IF(A4575&lt;&gt;A4576,100,0)</f>
        <v>1.125</v>
      </c>
      <c r="D4575" s="33">
        <f>INDEX('ZCB Curve - Payment Dates'!$D$2:$D$246,MATCH(B4575,'ZCB Curve - Payment Dates'!$A$2:$A$246,0))</f>
        <v>0.87778421628860481</v>
      </c>
      <c r="E4575" s="32">
        <f t="shared" si="71"/>
        <v>0.98750724332468043</v>
      </c>
    </row>
    <row r="4576" spans="1:5" x14ac:dyDescent="0.25">
      <c r="A4576" s="17">
        <v>336</v>
      </c>
      <c r="B4576" s="31">
        <v>47529</v>
      </c>
      <c r="C4576" s="32">
        <f>INDEX('Input Data'!$B:$B,A4576)/2+IF(A4576&lt;&gt;A4577,100,0)</f>
        <v>1.125</v>
      </c>
      <c r="D4576" s="33">
        <f>INDEX('ZCB Curve - Payment Dates'!$D$2:$D$246,MATCH(B4576,'ZCB Curve - Payment Dates'!$A$2:$A$246,0))</f>
        <v>0.85751015570959666</v>
      </c>
      <c r="E4576" s="32">
        <f t="shared" si="71"/>
        <v>0.96469892517329625</v>
      </c>
    </row>
    <row r="4577" spans="1:5" x14ac:dyDescent="0.25">
      <c r="A4577" s="17">
        <v>336</v>
      </c>
      <c r="B4577" s="31">
        <v>47710</v>
      </c>
      <c r="C4577" s="32">
        <f>INDEX('Input Data'!$B:$B,A4577)/2+IF(A4577&lt;&gt;A4578,100,0)</f>
        <v>1.125</v>
      </c>
      <c r="D4577" s="33">
        <f>INDEX('ZCB Curve - Payment Dates'!$D$2:$D$246,MATCH(B4577,'ZCB Curve - Payment Dates'!$A$2:$A$246,0))</f>
        <v>0.83802423748211174</v>
      </c>
      <c r="E4577" s="32">
        <f t="shared" si="71"/>
        <v>0.94277726716737575</v>
      </c>
    </row>
    <row r="4578" spans="1:5" x14ac:dyDescent="0.25">
      <c r="A4578" s="17">
        <v>336</v>
      </c>
      <c r="B4578" s="31">
        <v>47894</v>
      </c>
      <c r="C4578" s="32">
        <f>INDEX('Input Data'!$B:$B,A4578)/2+IF(A4578&lt;&gt;A4579,100,0)</f>
        <v>1.125</v>
      </c>
      <c r="D4578" s="33">
        <f>INDEX('ZCB Curve - Payment Dates'!$D$2:$D$246,MATCH(B4578,'ZCB Curve - Payment Dates'!$A$2:$A$246,0))</f>
        <v>0.8186305474741673</v>
      </c>
      <c r="E4578" s="32">
        <f t="shared" si="71"/>
        <v>0.92095936590843819</v>
      </c>
    </row>
    <row r="4579" spans="1:5" x14ac:dyDescent="0.25">
      <c r="A4579" s="17">
        <v>336</v>
      </c>
      <c r="B4579" s="31">
        <v>48075</v>
      </c>
      <c r="C4579" s="32">
        <f>INDEX('Input Data'!$B:$B,A4579)/2+IF(A4579&lt;&gt;A4580,100,0)</f>
        <v>1.125</v>
      </c>
      <c r="D4579" s="33">
        <f>INDEX('ZCB Curve - Payment Dates'!$D$2:$D$246,MATCH(B4579,'ZCB Curve - Payment Dates'!$A$2:$A$246,0))</f>
        <v>0.7999252334775927</v>
      </c>
      <c r="E4579" s="32">
        <f t="shared" si="71"/>
        <v>0.8999158876622918</v>
      </c>
    </row>
    <row r="4580" spans="1:5" x14ac:dyDescent="0.25">
      <c r="A4580" s="17">
        <v>336</v>
      </c>
      <c r="B4580" s="31">
        <v>48259</v>
      </c>
      <c r="C4580" s="32">
        <f>INDEX('Input Data'!$B:$B,A4580)/2+IF(A4580&lt;&gt;A4581,100,0)</f>
        <v>1.125</v>
      </c>
      <c r="D4580" s="33">
        <f>INDEX('ZCB Curve - Payment Dates'!$D$2:$D$246,MATCH(B4580,'ZCB Curve - Payment Dates'!$A$2:$A$246,0))</f>
        <v>0.78121887027612602</v>
      </c>
      <c r="E4580" s="32">
        <f t="shared" si="71"/>
        <v>0.87887122906064175</v>
      </c>
    </row>
    <row r="4581" spans="1:5" x14ac:dyDescent="0.25">
      <c r="A4581" s="17">
        <v>336</v>
      </c>
      <c r="B4581" s="31">
        <v>48441</v>
      </c>
      <c r="C4581" s="32">
        <f>INDEX('Input Data'!$B:$B,A4581)/2+IF(A4581&lt;&gt;A4582,100,0)</f>
        <v>1.125</v>
      </c>
      <c r="D4581" s="33">
        <f>INDEX('ZCB Curve - Payment Dates'!$D$2:$D$246,MATCH(B4581,'ZCB Curve - Payment Dates'!$A$2:$A$246,0))</f>
        <v>0.76298123459017864</v>
      </c>
      <c r="E4581" s="32">
        <f t="shared" si="71"/>
        <v>0.85835388891395092</v>
      </c>
    </row>
    <row r="4582" spans="1:5" x14ac:dyDescent="0.25">
      <c r="A4582" s="17">
        <v>336</v>
      </c>
      <c r="B4582" s="31">
        <v>48625</v>
      </c>
      <c r="C4582" s="32">
        <f>INDEX('Input Data'!$B:$B,A4582)/2+IF(A4582&lt;&gt;A4583,100,0)</f>
        <v>1.125</v>
      </c>
      <c r="D4582" s="33">
        <f>INDEX('ZCB Curve - Payment Dates'!$D$2:$D$246,MATCH(B4582,'ZCB Curve - Payment Dates'!$A$2:$A$246,0))</f>
        <v>0.74476011611938586</v>
      </c>
      <c r="E4582" s="32">
        <f t="shared" si="71"/>
        <v>0.83785513063430905</v>
      </c>
    </row>
    <row r="4583" spans="1:5" x14ac:dyDescent="0.25">
      <c r="A4583" s="17">
        <v>336</v>
      </c>
      <c r="B4583" s="31">
        <v>48806</v>
      </c>
      <c r="C4583" s="32">
        <f>INDEX('Input Data'!$B:$B,A4583)/2+IF(A4583&lt;&gt;A4584,100,0)</f>
        <v>1.125</v>
      </c>
      <c r="D4583" s="33">
        <f>INDEX('ZCB Curve - Payment Dates'!$D$2:$D$246,MATCH(B4583,'ZCB Curve - Payment Dates'!$A$2:$A$246,0))</f>
        <v>0.72701302496114584</v>
      </c>
      <c r="E4583" s="32">
        <f t="shared" si="71"/>
        <v>0.81788965308128903</v>
      </c>
    </row>
    <row r="4584" spans="1:5" x14ac:dyDescent="0.25">
      <c r="A4584" s="17">
        <v>336</v>
      </c>
      <c r="B4584" s="31">
        <v>48990</v>
      </c>
      <c r="C4584" s="32">
        <f>INDEX('Input Data'!$B:$B,A4584)/2+IF(A4584&lt;&gt;A4585,100,0)</f>
        <v>1.125</v>
      </c>
      <c r="D4584" s="33">
        <f>INDEX('ZCB Curve - Payment Dates'!$D$2:$D$246,MATCH(B4584,'ZCB Curve - Payment Dates'!$A$2:$A$246,0))</f>
        <v>0.70912647031380449</v>
      </c>
      <c r="E4584" s="32">
        <f t="shared" si="71"/>
        <v>0.79776727910303002</v>
      </c>
    </row>
    <row r="4585" spans="1:5" x14ac:dyDescent="0.25">
      <c r="A4585" s="17">
        <v>336</v>
      </c>
      <c r="B4585" s="31">
        <v>49171</v>
      </c>
      <c r="C4585" s="32">
        <f>INDEX('Input Data'!$B:$B,A4585)/2+IF(A4585&lt;&gt;A4586,100,0)</f>
        <v>1.125</v>
      </c>
      <c r="D4585" s="33">
        <f>INDEX('ZCB Curve - Payment Dates'!$D$2:$D$246,MATCH(B4585,'ZCB Curve - Payment Dates'!$A$2:$A$246,0))</f>
        <v>0.6916661505723215</v>
      </c>
      <c r="E4585" s="32">
        <f t="shared" si="71"/>
        <v>0.77812441939386168</v>
      </c>
    </row>
    <row r="4586" spans="1:5" x14ac:dyDescent="0.25">
      <c r="A4586" s="17">
        <v>336</v>
      </c>
      <c r="B4586" s="31">
        <v>49355</v>
      </c>
      <c r="C4586" s="32">
        <f>INDEX('Input Data'!$B:$B,A4586)/2+IF(A4586&lt;&gt;A4587,100,0)</f>
        <v>1.125</v>
      </c>
      <c r="D4586" s="33">
        <f>INDEX('ZCB Curve - Payment Dates'!$D$2:$D$246,MATCH(B4586,'ZCB Curve - Payment Dates'!$A$2:$A$246,0))</f>
        <v>0.674047377898778</v>
      </c>
      <c r="E4586" s="32">
        <f t="shared" si="71"/>
        <v>0.75830330013612524</v>
      </c>
    </row>
    <row r="4587" spans="1:5" x14ac:dyDescent="0.25">
      <c r="A4587" s="17">
        <v>336</v>
      </c>
      <c r="B4587" s="31">
        <v>49536</v>
      </c>
      <c r="C4587" s="32">
        <f>INDEX('Input Data'!$B:$B,A4587)/2+IF(A4587&lt;&gt;A4588,100,0)</f>
        <v>1.125</v>
      </c>
      <c r="D4587" s="33">
        <f>INDEX('ZCB Curve - Payment Dates'!$D$2:$D$246,MATCH(B4587,'ZCB Curve - Payment Dates'!$A$2:$A$246,0))</f>
        <v>0.65684432300638129</v>
      </c>
      <c r="E4587" s="32">
        <f t="shared" si="71"/>
        <v>0.73894986338217894</v>
      </c>
    </row>
    <row r="4588" spans="1:5" x14ac:dyDescent="0.25">
      <c r="A4588" s="17">
        <v>336</v>
      </c>
      <c r="B4588" s="31">
        <v>49720</v>
      </c>
      <c r="C4588" s="32">
        <f>INDEX('Input Data'!$B:$B,A4588)/2+IF(A4588&lt;&gt;A4589,100,0)</f>
        <v>1.125</v>
      </c>
      <c r="D4588" s="33">
        <f>INDEX('ZCB Curve - Payment Dates'!$D$2:$D$246,MATCH(B4588,'ZCB Curve - Payment Dates'!$A$2:$A$246,0))</f>
        <v>0.63949604524993764</v>
      </c>
      <c r="E4588" s="32">
        <f t="shared" si="71"/>
        <v>0.71943305090617982</v>
      </c>
    </row>
    <row r="4589" spans="1:5" x14ac:dyDescent="0.25">
      <c r="A4589" s="17">
        <v>336</v>
      </c>
      <c r="B4589" s="31">
        <v>49902</v>
      </c>
      <c r="C4589" s="32">
        <f>INDEX('Input Data'!$B:$B,A4589)/2+IF(A4589&lt;&gt;A4590,100,0)</f>
        <v>1.125</v>
      </c>
      <c r="D4589" s="33">
        <f>INDEX('ZCB Curve - Payment Dates'!$D$2:$D$246,MATCH(B4589,'ZCB Curve - Payment Dates'!$A$2:$A$246,0))</f>
        <v>0.62248862376822711</v>
      </c>
      <c r="E4589" s="32">
        <f t="shared" si="71"/>
        <v>0.70029970173925549</v>
      </c>
    </row>
    <row r="4590" spans="1:5" x14ac:dyDescent="0.25">
      <c r="A4590" s="17">
        <v>336</v>
      </c>
      <c r="B4590" s="31">
        <v>50086</v>
      </c>
      <c r="C4590" s="32">
        <f>INDEX('Input Data'!$B:$B,A4590)/2+IF(A4590&lt;&gt;A4591,100,0)</f>
        <v>1.125</v>
      </c>
      <c r="D4590" s="33">
        <f>INDEX('ZCB Curve - Payment Dates'!$D$2:$D$246,MATCH(B4590,'ZCB Curve - Payment Dates'!$A$2:$A$246,0))</f>
        <v>0.60546490876014969</v>
      </c>
      <c r="E4590" s="32">
        <f t="shared" si="71"/>
        <v>0.68114802235516836</v>
      </c>
    </row>
    <row r="4591" spans="1:5" x14ac:dyDescent="0.25">
      <c r="A4591" s="17">
        <v>336</v>
      </c>
      <c r="B4591" s="31">
        <v>50267</v>
      </c>
      <c r="C4591" s="32">
        <f>INDEX('Input Data'!$B:$B,A4591)/2+IF(A4591&lt;&gt;A4592,100,0)</f>
        <v>1.125</v>
      </c>
      <c r="D4591" s="33">
        <f>INDEX('ZCB Curve - Payment Dates'!$D$2:$D$246,MATCH(B4591,'ZCB Curve - Payment Dates'!$A$2:$A$246,0))</f>
        <v>0.58890683803346977</v>
      </c>
      <c r="E4591" s="32">
        <f t="shared" si="71"/>
        <v>0.66252019278765351</v>
      </c>
    </row>
    <row r="4592" spans="1:5" x14ac:dyDescent="0.25">
      <c r="A4592" s="17">
        <v>336</v>
      </c>
      <c r="B4592" s="31">
        <v>50451</v>
      </c>
      <c r="C4592" s="32">
        <f>INDEX('Input Data'!$B:$B,A4592)/2+IF(A4592&lt;&gt;A4593,100,0)</f>
        <v>1.125</v>
      </c>
      <c r="D4592" s="33">
        <f>INDEX('ZCB Curve - Payment Dates'!$D$2:$D$246,MATCH(B4592,'ZCB Curve - Payment Dates'!$A$2:$A$246,0))</f>
        <v>0.57228983695479263</v>
      </c>
      <c r="E4592" s="32">
        <f t="shared" si="71"/>
        <v>0.64382606657414176</v>
      </c>
    </row>
    <row r="4593" spans="1:5" x14ac:dyDescent="0.25">
      <c r="A4593" s="17">
        <v>336</v>
      </c>
      <c r="B4593" s="31">
        <v>50632</v>
      </c>
      <c r="C4593" s="32">
        <f>INDEX('Input Data'!$B:$B,A4593)/2+IF(A4593&lt;&gt;A4594,100,0)</f>
        <v>1.125</v>
      </c>
      <c r="D4593" s="33">
        <f>INDEX('ZCB Curve - Payment Dates'!$D$2:$D$246,MATCH(B4593,'ZCB Curve - Payment Dates'!$A$2:$A$246,0))</f>
        <v>0.55617795699202288</v>
      </c>
      <c r="E4593" s="32">
        <f t="shared" si="71"/>
        <v>0.6257002016160258</v>
      </c>
    </row>
    <row r="4594" spans="1:5" x14ac:dyDescent="0.25">
      <c r="A4594" s="17">
        <v>336</v>
      </c>
      <c r="B4594" s="31">
        <v>50816</v>
      </c>
      <c r="C4594" s="32">
        <f>INDEX('Input Data'!$B:$B,A4594)/2+IF(A4594&lt;&gt;A4595,100,0)</f>
        <v>1.125</v>
      </c>
      <c r="D4594" s="33">
        <f>INDEX('ZCB Curve - Payment Dates'!$D$2:$D$246,MATCH(B4594,'ZCB Curve - Payment Dates'!$A$2:$A$246,0))</f>
        <v>0.54006240951211237</v>
      </c>
      <c r="E4594" s="32">
        <f t="shared" si="71"/>
        <v>0.60757021070112638</v>
      </c>
    </row>
    <row r="4595" spans="1:5" x14ac:dyDescent="0.25">
      <c r="A4595" s="17">
        <v>336</v>
      </c>
      <c r="B4595" s="31">
        <v>50997</v>
      </c>
      <c r="C4595" s="32">
        <f>INDEX('Input Data'!$B:$B,A4595)/2+IF(A4595&lt;&gt;A4596,100,0)</f>
        <v>1.125</v>
      </c>
      <c r="D4595" s="33">
        <f>INDEX('ZCB Curve - Payment Dates'!$D$2:$D$246,MATCH(B4595,'ZCB Curve - Payment Dates'!$A$2:$A$246,0))</f>
        <v>0.52449040173194583</v>
      </c>
      <c r="E4595" s="32">
        <f t="shared" si="71"/>
        <v>0.59005170194843903</v>
      </c>
    </row>
    <row r="4596" spans="1:5" x14ac:dyDescent="0.25">
      <c r="A4596" s="17">
        <v>336</v>
      </c>
      <c r="B4596" s="31">
        <v>51181</v>
      </c>
      <c r="C4596" s="32">
        <f>INDEX('Input Data'!$B:$B,A4596)/2+IF(A4596&lt;&gt;A4597,100,0)</f>
        <v>1.125</v>
      </c>
      <c r="D4596" s="33">
        <f>INDEX('ZCB Curve - Payment Dates'!$D$2:$D$246,MATCH(B4596,'ZCB Curve - Payment Dates'!$A$2:$A$246,0))</f>
        <v>0.5089691698468306</v>
      </c>
      <c r="E4596" s="32">
        <f t="shared" si="71"/>
        <v>0.5725903160776844</v>
      </c>
    </row>
    <row r="4597" spans="1:5" x14ac:dyDescent="0.25">
      <c r="A4597" s="17">
        <v>336</v>
      </c>
      <c r="B4597" s="31">
        <v>51363</v>
      </c>
      <c r="C4597" s="32">
        <f>INDEX('Input Data'!$B:$B,A4597)/2+IF(A4597&lt;&gt;A4598,100,0)</f>
        <v>1.125</v>
      </c>
      <c r="D4597" s="33">
        <f>INDEX('ZCB Curve - Payment Dates'!$D$2:$D$246,MATCH(B4597,'ZCB Curve - Payment Dates'!$A$2:$A$246,0))</f>
        <v>0.49394036022330806</v>
      </c>
      <c r="E4597" s="32">
        <f t="shared" si="71"/>
        <v>0.55568290525122155</v>
      </c>
    </row>
    <row r="4598" spans="1:5" x14ac:dyDescent="0.25">
      <c r="A4598" s="17">
        <v>336</v>
      </c>
      <c r="B4598" s="31">
        <v>51547</v>
      </c>
      <c r="C4598" s="32">
        <f>INDEX('Input Data'!$B:$B,A4598)/2+IF(A4598&lt;&gt;A4599,100,0)</f>
        <v>1.125</v>
      </c>
      <c r="D4598" s="33">
        <f>INDEX('ZCB Curve - Payment Dates'!$D$2:$D$246,MATCH(B4598,'ZCB Curve - Payment Dates'!$A$2:$A$246,0))</f>
        <v>0.47909718957588998</v>
      </c>
      <c r="E4598" s="32">
        <f t="shared" si="71"/>
        <v>0.53898433827287628</v>
      </c>
    </row>
    <row r="4599" spans="1:5" x14ac:dyDescent="0.25">
      <c r="A4599" s="17">
        <v>336</v>
      </c>
      <c r="B4599" s="31">
        <v>51728</v>
      </c>
      <c r="C4599" s="32">
        <f>INDEX('Input Data'!$B:$B,A4599)/2+IF(A4599&lt;&gt;A4600,100,0)</f>
        <v>1.125</v>
      </c>
      <c r="D4599" s="33">
        <f>INDEX('ZCB Curve - Payment Dates'!$D$2:$D$246,MATCH(B4599,'ZCB Curve - Payment Dates'!$A$2:$A$246,0))</f>
        <v>0.46485329459616059</v>
      </c>
      <c r="E4599" s="32">
        <f t="shared" si="71"/>
        <v>0.52295995642068072</v>
      </c>
    </row>
    <row r="4600" spans="1:5" x14ac:dyDescent="0.25">
      <c r="A4600" s="17">
        <v>336</v>
      </c>
      <c r="B4600" s="31">
        <v>51912</v>
      </c>
      <c r="C4600" s="32">
        <f>INDEX('Input Data'!$B:$B,A4600)/2+IF(A4600&lt;&gt;A4601,100,0)</f>
        <v>1.125</v>
      </c>
      <c r="D4600" s="33">
        <f>INDEX('ZCB Curve - Payment Dates'!$D$2:$D$246,MATCH(B4600,'ZCB Curve - Payment Dates'!$A$2:$A$246,0))</f>
        <v>0.45075168915212815</v>
      </c>
      <c r="E4600" s="32">
        <f t="shared" si="71"/>
        <v>0.50709565029614412</v>
      </c>
    </row>
    <row r="4601" spans="1:5" x14ac:dyDescent="0.25">
      <c r="A4601" s="17">
        <v>336</v>
      </c>
      <c r="B4601" s="31">
        <v>52093</v>
      </c>
      <c r="C4601" s="32">
        <f>INDEX('Input Data'!$B:$B,A4601)/2+IF(A4601&lt;&gt;A4602,100,0)</f>
        <v>1.125</v>
      </c>
      <c r="D4601" s="33">
        <f>INDEX('ZCB Curve - Payment Dates'!$D$2:$D$246,MATCH(B4601,'ZCB Curve - Payment Dates'!$A$2:$A$246,0))</f>
        <v>0.43726259018094221</v>
      </c>
      <c r="E4601" s="32">
        <f t="shared" si="71"/>
        <v>0.49192041395356001</v>
      </c>
    </row>
    <row r="4602" spans="1:5" x14ac:dyDescent="0.25">
      <c r="A4602" s="17">
        <v>336</v>
      </c>
      <c r="B4602" s="31">
        <v>52277</v>
      </c>
      <c r="C4602" s="32">
        <f>INDEX('Input Data'!$B:$B,A4602)/2+IF(A4602&lt;&gt;A4603,100,0)</f>
        <v>1.125</v>
      </c>
      <c r="D4602" s="33">
        <f>INDEX('ZCB Curve - Payment Dates'!$D$2:$D$246,MATCH(B4602,'ZCB Curve - Payment Dates'!$A$2:$A$246,0))</f>
        <v>0.4239492285351204</v>
      </c>
      <c r="E4602" s="32">
        <f t="shared" si="71"/>
        <v>0.47694288210201047</v>
      </c>
    </row>
    <row r="4603" spans="1:5" x14ac:dyDescent="0.25">
      <c r="A4603" s="17">
        <v>336</v>
      </c>
      <c r="B4603" s="31">
        <v>52458</v>
      </c>
      <c r="C4603" s="32">
        <f>INDEX('Input Data'!$B:$B,A4603)/2+IF(A4603&lt;&gt;A4604,100,0)</f>
        <v>1.125</v>
      </c>
      <c r="D4603" s="33">
        <f>INDEX('ZCB Curve - Payment Dates'!$D$2:$D$246,MATCH(B4603,'ZCB Curve - Payment Dates'!$A$2:$A$246,0))</f>
        <v>0.4112516019468152</v>
      </c>
      <c r="E4603" s="32">
        <f t="shared" si="71"/>
        <v>0.46265805219016709</v>
      </c>
    </row>
    <row r="4604" spans="1:5" x14ac:dyDescent="0.25">
      <c r="A4604" s="17">
        <v>336</v>
      </c>
      <c r="B4604" s="31">
        <v>52642</v>
      </c>
      <c r="C4604" s="32">
        <f>INDEX('Input Data'!$B:$B,A4604)/2+IF(A4604&lt;&gt;A4605,100,0)</f>
        <v>1.125</v>
      </c>
      <c r="D4604" s="33">
        <f>INDEX('ZCB Curve - Payment Dates'!$D$2:$D$246,MATCH(B4604,'ZCB Curve - Payment Dates'!$A$2:$A$246,0))</f>
        <v>0.39875459879352759</v>
      </c>
      <c r="E4604" s="32">
        <f t="shared" si="71"/>
        <v>0.44859892364271853</v>
      </c>
    </row>
    <row r="4605" spans="1:5" x14ac:dyDescent="0.25">
      <c r="A4605" s="17">
        <v>336</v>
      </c>
      <c r="B4605" s="31">
        <v>52824</v>
      </c>
      <c r="C4605" s="32">
        <f>INDEX('Input Data'!$B:$B,A4605)/2+IF(A4605&lt;&gt;A4606,100,0)</f>
        <v>1.125</v>
      </c>
      <c r="D4605" s="33">
        <f>INDEX('ZCB Curve - Payment Dates'!$D$2:$D$246,MATCH(B4605,'ZCB Curve - Payment Dates'!$A$2:$A$246,0))</f>
        <v>0.38680384560622083</v>
      </c>
      <c r="E4605" s="32">
        <f t="shared" si="71"/>
        <v>0.43515432630699846</v>
      </c>
    </row>
    <row r="4606" spans="1:5" x14ac:dyDescent="0.25">
      <c r="A4606" s="17">
        <v>336</v>
      </c>
      <c r="B4606" s="31">
        <v>53008</v>
      </c>
      <c r="C4606" s="32">
        <f>INDEX('Input Data'!$B:$B,A4606)/2+IF(A4606&lt;&gt;A4607,100,0)</f>
        <v>1.125</v>
      </c>
      <c r="D4606" s="33">
        <f>INDEX('ZCB Curve - Payment Dates'!$D$2:$D$246,MATCH(B4606,'ZCB Curve - Payment Dates'!$A$2:$A$246,0))</f>
        <v>0.37513648791915083</v>
      </c>
      <c r="E4606" s="32">
        <f t="shared" si="71"/>
        <v>0.42202854890904468</v>
      </c>
    </row>
    <row r="4607" spans="1:5" x14ac:dyDescent="0.25">
      <c r="A4607" s="17">
        <v>336</v>
      </c>
      <c r="B4607" s="31">
        <v>53189</v>
      </c>
      <c r="C4607" s="32">
        <f>INDEX('Input Data'!$B:$B,A4607)/2+IF(A4607&lt;&gt;A4608,100,0)</f>
        <v>1.125</v>
      </c>
      <c r="D4607" s="33">
        <f>INDEX('ZCB Curve - Payment Dates'!$D$2:$D$246,MATCH(B4607,'ZCB Curve - Payment Dates'!$A$2:$A$246,0))</f>
        <v>0.36406533257851953</v>
      </c>
      <c r="E4607" s="32">
        <f t="shared" si="71"/>
        <v>0.40957349915083446</v>
      </c>
    </row>
    <row r="4608" spans="1:5" x14ac:dyDescent="0.25">
      <c r="A4608" s="17">
        <v>336</v>
      </c>
      <c r="B4608" s="31">
        <v>53373</v>
      </c>
      <c r="C4608" s="32">
        <f>INDEX('Input Data'!$B:$B,A4608)/2+IF(A4608&lt;&gt;A4609,100,0)</f>
        <v>1.125</v>
      </c>
      <c r="D4608" s="33">
        <f>INDEX('ZCB Curve - Payment Dates'!$D$2:$D$246,MATCH(B4608,'ZCB Curve - Payment Dates'!$A$2:$A$246,0))</f>
        <v>0.35322166892031259</v>
      </c>
      <c r="E4608" s="32">
        <f t="shared" si="71"/>
        <v>0.39737437753535165</v>
      </c>
    </row>
    <row r="4609" spans="1:5" x14ac:dyDescent="0.25">
      <c r="A4609" s="17">
        <v>336</v>
      </c>
      <c r="B4609" s="31">
        <v>53554</v>
      </c>
      <c r="C4609" s="32">
        <f>INDEX('Input Data'!$B:$B,A4609)/2+IF(A4609&lt;&gt;A4610,100,0)</f>
        <v>1.125</v>
      </c>
      <c r="D4609" s="33">
        <f>INDEX('ZCB Curve - Payment Dates'!$D$2:$D$246,MATCH(B4609,'ZCB Curve - Payment Dates'!$A$2:$A$246,0))</f>
        <v>0.34295436226619208</v>
      </c>
      <c r="E4609" s="32">
        <f t="shared" si="71"/>
        <v>0.38582365754946607</v>
      </c>
    </row>
    <row r="4610" spans="1:5" x14ac:dyDescent="0.25">
      <c r="A4610" s="17">
        <v>336</v>
      </c>
      <c r="B4610" s="31">
        <v>53738</v>
      </c>
      <c r="C4610" s="32">
        <f>INDEX('Input Data'!$B:$B,A4610)/2+IF(A4610&lt;&gt;A4611,100,0)</f>
        <v>1.125</v>
      </c>
      <c r="D4610" s="33">
        <f>INDEX('ZCB Curve - Payment Dates'!$D$2:$D$246,MATCH(B4610,'ZCB Curve - Payment Dates'!$A$2:$A$246,0))</f>
        <v>0.33291860450360972</v>
      </c>
      <c r="E4610" s="32">
        <f t="shared" ref="E4610:E4673" si="72">C4610*D4610</f>
        <v>0.37453343006656092</v>
      </c>
    </row>
    <row r="4611" spans="1:5" x14ac:dyDescent="0.25">
      <c r="A4611" s="17">
        <v>336</v>
      </c>
      <c r="B4611" s="31">
        <v>53919</v>
      </c>
      <c r="C4611" s="32">
        <f>INDEX('Input Data'!$B:$B,A4611)/2+IF(A4611&lt;&gt;A4612,100,0)</f>
        <v>1.125</v>
      </c>
      <c r="D4611" s="33">
        <f>INDEX('ZCB Curve - Payment Dates'!$D$2:$D$246,MATCH(B4611,'ZCB Curve - Payment Dates'!$A$2:$A$246,0))</f>
        <v>0.32343468195091313</v>
      </c>
      <c r="E4611" s="32">
        <f t="shared" si="72"/>
        <v>0.36386401719477729</v>
      </c>
    </row>
    <row r="4612" spans="1:5" x14ac:dyDescent="0.25">
      <c r="A4612" s="17">
        <v>336</v>
      </c>
      <c r="B4612" s="31">
        <v>54103</v>
      </c>
      <c r="C4612" s="32">
        <f>INDEX('Input Data'!$B:$B,A4612)/2+IF(A4612&lt;&gt;A4613,100,0)</f>
        <v>1.125</v>
      </c>
      <c r="D4612" s="33">
        <f>INDEX('ZCB Curve - Payment Dates'!$D$2:$D$246,MATCH(B4612,'ZCB Curve - Payment Dates'!$A$2:$A$246,0))</f>
        <v>0.31418167147949361</v>
      </c>
      <c r="E4612" s="32">
        <f t="shared" si="72"/>
        <v>0.35345438041443034</v>
      </c>
    </row>
    <row r="4613" spans="1:5" x14ac:dyDescent="0.25">
      <c r="A4613" s="17">
        <v>336</v>
      </c>
      <c r="B4613" s="31">
        <v>54285</v>
      </c>
      <c r="C4613" s="32">
        <f>INDEX('Input Data'!$B:$B,A4613)/2+IF(A4613&lt;&gt;A4614,100,0)</f>
        <v>1.125</v>
      </c>
      <c r="D4613" s="33">
        <f>INDEX('ZCB Curve - Payment Dates'!$D$2:$D$246,MATCH(B4613,'ZCB Curve - Payment Dates'!$A$2:$A$246,0))</f>
        <v>0.30540618878290843</v>
      </c>
      <c r="E4613" s="32">
        <f t="shared" si="72"/>
        <v>0.34358196238077199</v>
      </c>
    </row>
    <row r="4614" spans="1:5" x14ac:dyDescent="0.25">
      <c r="A4614" s="17">
        <v>336</v>
      </c>
      <c r="B4614" s="31">
        <v>54469</v>
      </c>
      <c r="C4614" s="32">
        <f>INDEX('Input Data'!$B:$B,A4614)/2+IF(A4614&lt;&gt;A4615,100,0)</f>
        <v>1.125</v>
      </c>
      <c r="D4614" s="33">
        <f>INDEX('ZCB Curve - Payment Dates'!$D$2:$D$246,MATCH(B4614,'ZCB Curve - Payment Dates'!$A$2:$A$246,0))</f>
        <v>0.29690423521941833</v>
      </c>
      <c r="E4614" s="32">
        <f t="shared" si="72"/>
        <v>0.33401726462184561</v>
      </c>
    </row>
    <row r="4615" spans="1:5" x14ac:dyDescent="0.25">
      <c r="A4615" s="17">
        <v>336</v>
      </c>
      <c r="B4615" s="31">
        <v>54650</v>
      </c>
      <c r="C4615" s="32">
        <f>INDEX('Input Data'!$B:$B,A4615)/2+IF(A4615&lt;&gt;A4616,100,0)</f>
        <v>1.125</v>
      </c>
      <c r="D4615" s="33">
        <f>INDEX('ZCB Curve - Payment Dates'!$D$2:$D$246,MATCH(B4615,'ZCB Curve - Payment Dates'!$A$2:$A$246,0))</f>
        <v>0.2888997564491238</v>
      </c>
      <c r="E4615" s="32">
        <f t="shared" si="72"/>
        <v>0.32501222600526425</v>
      </c>
    </row>
    <row r="4616" spans="1:5" x14ac:dyDescent="0.25">
      <c r="A4616" s="17">
        <v>336</v>
      </c>
      <c r="B4616" s="31">
        <v>54834</v>
      </c>
      <c r="C4616" s="32">
        <f>INDEX('Input Data'!$B:$B,A4616)/2+IF(A4616&lt;&gt;A4617,100,0)</f>
        <v>1.125</v>
      </c>
      <c r="D4616" s="33">
        <f>INDEX('ZCB Curve - Payment Dates'!$D$2:$D$246,MATCH(B4616,'ZCB Curve - Payment Dates'!$A$2:$A$246,0))</f>
        <v>0.28111189964037164</v>
      </c>
      <c r="E4616" s="32">
        <f t="shared" si="72"/>
        <v>0.3162508870954181</v>
      </c>
    </row>
    <row r="4617" spans="1:5" x14ac:dyDescent="0.25">
      <c r="A4617" s="17">
        <v>336</v>
      </c>
      <c r="B4617" s="31">
        <v>55015</v>
      </c>
      <c r="C4617" s="32">
        <f>INDEX('Input Data'!$B:$B,A4617)/2+IF(A4617&lt;&gt;A4618,100,0)</f>
        <v>1.125</v>
      </c>
      <c r="D4617" s="33">
        <f>INDEX('ZCB Curve - Payment Dates'!$D$2:$D$246,MATCH(B4617,'ZCB Curve - Payment Dates'!$A$2:$A$246,0))</f>
        <v>0.27379046078597996</v>
      </c>
      <c r="E4617" s="32">
        <f t="shared" si="72"/>
        <v>0.30801426838422746</v>
      </c>
    </row>
    <row r="4618" spans="1:5" x14ac:dyDescent="0.25">
      <c r="A4618" s="17">
        <v>336</v>
      </c>
      <c r="B4618" s="31">
        <v>55199</v>
      </c>
      <c r="C4618" s="32">
        <f>INDEX('Input Data'!$B:$B,A4618)/2+IF(A4618&lt;&gt;A4619,100,0)</f>
        <v>1.125</v>
      </c>
      <c r="D4618" s="33">
        <f>INDEX('ZCB Curve - Payment Dates'!$D$2:$D$246,MATCH(B4618,'ZCB Curve - Payment Dates'!$A$2:$A$246,0))</f>
        <v>0.26667724322397307</v>
      </c>
      <c r="E4618" s="32">
        <f t="shared" si="72"/>
        <v>0.3000118986269697</v>
      </c>
    </row>
    <row r="4619" spans="1:5" x14ac:dyDescent="0.25">
      <c r="A4619" s="17">
        <v>336</v>
      </c>
      <c r="B4619" s="31">
        <v>55380</v>
      </c>
      <c r="C4619" s="32">
        <f>INDEX('Input Data'!$B:$B,A4619)/2+IF(A4619&lt;&gt;A4620,100,0)</f>
        <v>1.125</v>
      </c>
      <c r="D4619" s="33">
        <f>INDEX('ZCB Curve - Payment Dates'!$D$2:$D$246,MATCH(B4619,'ZCB Curve - Payment Dates'!$A$2:$A$246,0))</f>
        <v>0.25999926234228898</v>
      </c>
      <c r="E4619" s="32">
        <f t="shared" si="72"/>
        <v>0.29249917013507509</v>
      </c>
    </row>
    <row r="4620" spans="1:5" x14ac:dyDescent="0.25">
      <c r="A4620" s="17">
        <v>336</v>
      </c>
      <c r="B4620" s="31">
        <v>55564</v>
      </c>
      <c r="C4620" s="32">
        <f>INDEX('Input Data'!$B:$B,A4620)/2+IF(A4620&lt;&gt;A4621,100,0)</f>
        <v>101.125</v>
      </c>
      <c r="D4620" s="33">
        <f>INDEX('ZCB Curve - Payment Dates'!$D$2:$D$246,MATCH(B4620,'ZCB Curve - Payment Dates'!$A$2:$A$246,0))</f>
        <v>0.25351997596294801</v>
      </c>
      <c r="E4620" s="32">
        <f t="shared" si="72"/>
        <v>25.637207569253118</v>
      </c>
    </row>
    <row r="4621" spans="1:5" x14ac:dyDescent="0.25">
      <c r="A4621" s="17">
        <v>337</v>
      </c>
      <c r="B4621" s="31">
        <v>46341</v>
      </c>
      <c r="C4621" s="32">
        <f>INDEX('Input Data'!$B:$B,A4621)/2+IF(A4621&lt;&gt;A4622,100,0)</f>
        <v>1.4375</v>
      </c>
      <c r="D4621" s="33">
        <f>INDEX('ZCB Curve - Payment Dates'!$D$2:$D$246,MATCH(B4621,'ZCB Curve - Payment Dates'!$A$2:$A$246,0))</f>
        <v>0.99245367292309439</v>
      </c>
      <c r="E4621" s="32">
        <f t="shared" si="72"/>
        <v>1.4266521548269482</v>
      </c>
    </row>
    <row r="4622" spans="1:5" x14ac:dyDescent="0.25">
      <c r="A4622" s="17">
        <v>337</v>
      </c>
      <c r="B4622" s="31">
        <v>46522</v>
      </c>
      <c r="C4622" s="32">
        <f>INDEX('Input Data'!$B:$B,A4622)/2+IF(A4622&lt;&gt;A4623,100,0)</f>
        <v>1.4375</v>
      </c>
      <c r="D4622" s="33">
        <f>INDEX('ZCB Curve - Payment Dates'!$D$2:$D$246,MATCH(B4622,'ZCB Curve - Payment Dates'!$A$2:$A$246,0))</f>
        <v>0.97242179559611874</v>
      </c>
      <c r="E4622" s="32">
        <f t="shared" si="72"/>
        <v>1.3978563311694208</v>
      </c>
    </row>
    <row r="4623" spans="1:5" x14ac:dyDescent="0.25">
      <c r="A4623" s="17">
        <v>337</v>
      </c>
      <c r="B4623" s="31">
        <v>46706</v>
      </c>
      <c r="C4623" s="32">
        <f>INDEX('Input Data'!$B:$B,A4623)/2+IF(A4623&lt;&gt;A4624,100,0)</f>
        <v>1.4375</v>
      </c>
      <c r="D4623" s="33">
        <f>INDEX('ZCB Curve - Payment Dates'!$D$2:$D$246,MATCH(B4623,'ZCB Curve - Payment Dates'!$A$2:$A$246,0))</f>
        <v>0.95121018311627348</v>
      </c>
      <c r="E4623" s="32">
        <f t="shared" si="72"/>
        <v>1.3673646382296432</v>
      </c>
    </row>
    <row r="4624" spans="1:5" x14ac:dyDescent="0.25">
      <c r="A4624" s="17">
        <v>337</v>
      </c>
      <c r="B4624" s="31">
        <v>46888</v>
      </c>
      <c r="C4624" s="32">
        <f>INDEX('Input Data'!$B:$B,A4624)/2+IF(A4624&lt;&gt;A4625,100,0)</f>
        <v>1.4375</v>
      </c>
      <c r="D4624" s="33">
        <f>INDEX('ZCB Curve - Payment Dates'!$D$2:$D$246,MATCH(B4624,'ZCB Curve - Payment Dates'!$A$2:$A$246,0))</f>
        <v>0.93000025435083566</v>
      </c>
      <c r="E4624" s="32">
        <f t="shared" si="72"/>
        <v>1.3368753656293262</v>
      </c>
    </row>
    <row r="4625" spans="1:5" x14ac:dyDescent="0.25">
      <c r="A4625" s="17">
        <v>337</v>
      </c>
      <c r="B4625" s="31">
        <v>47072</v>
      </c>
      <c r="C4625" s="32">
        <f>INDEX('Input Data'!$B:$B,A4625)/2+IF(A4625&lt;&gt;A4626,100,0)</f>
        <v>1.4375</v>
      </c>
      <c r="D4625" s="33">
        <f>INDEX('ZCB Curve - Payment Dates'!$D$2:$D$246,MATCH(B4625,'ZCB Curve - Payment Dates'!$A$2:$A$246,0))</f>
        <v>0.90870125167038918</v>
      </c>
      <c r="E4625" s="32">
        <f t="shared" si="72"/>
        <v>1.3062580492761844</v>
      </c>
    </row>
    <row r="4626" spans="1:5" x14ac:dyDescent="0.25">
      <c r="A4626" s="17">
        <v>337</v>
      </c>
      <c r="B4626" s="31">
        <v>47253</v>
      </c>
      <c r="C4626" s="32">
        <f>INDEX('Input Data'!$B:$B,A4626)/2+IF(A4626&lt;&gt;A4627,100,0)</f>
        <v>1.4375</v>
      </c>
      <c r="D4626" s="33">
        <f>INDEX('ZCB Curve - Payment Dates'!$D$2:$D$246,MATCH(B4626,'ZCB Curve - Payment Dates'!$A$2:$A$246,0))</f>
        <v>0.88809325063638844</v>
      </c>
      <c r="E4626" s="32">
        <f t="shared" si="72"/>
        <v>1.2766340477898084</v>
      </c>
    </row>
    <row r="4627" spans="1:5" x14ac:dyDescent="0.25">
      <c r="A4627" s="17">
        <v>337</v>
      </c>
      <c r="B4627" s="31">
        <v>47437</v>
      </c>
      <c r="C4627" s="32">
        <f>INDEX('Input Data'!$B:$B,A4627)/2+IF(A4627&lt;&gt;A4628,100,0)</f>
        <v>1.4375</v>
      </c>
      <c r="D4627" s="33">
        <f>INDEX('ZCB Curve - Payment Dates'!$D$2:$D$246,MATCH(B4627,'ZCB Curve - Payment Dates'!$A$2:$A$246,0))</f>
        <v>0.86758824089536279</v>
      </c>
      <c r="E4627" s="32">
        <f t="shared" si="72"/>
        <v>1.2471580962870841</v>
      </c>
    </row>
    <row r="4628" spans="1:5" x14ac:dyDescent="0.25">
      <c r="A4628" s="17">
        <v>337</v>
      </c>
      <c r="B4628" s="31">
        <v>47618</v>
      </c>
      <c r="C4628" s="32">
        <f>INDEX('Input Data'!$B:$B,A4628)/2+IF(A4628&lt;&gt;A4629,100,0)</f>
        <v>1.4375</v>
      </c>
      <c r="D4628" s="33">
        <f>INDEX('ZCB Curve - Payment Dates'!$D$2:$D$246,MATCH(B4628,'ZCB Curve - Payment Dates'!$A$2:$A$246,0))</f>
        <v>0.84787416911783064</v>
      </c>
      <c r="E4628" s="32">
        <f t="shared" si="72"/>
        <v>1.2188191181068815</v>
      </c>
    </row>
    <row r="4629" spans="1:5" x14ac:dyDescent="0.25">
      <c r="A4629" s="17">
        <v>337</v>
      </c>
      <c r="B4629" s="31">
        <v>47802</v>
      </c>
      <c r="C4629" s="32">
        <f>INDEX('Input Data'!$B:$B,A4629)/2+IF(A4629&lt;&gt;A4630,100,0)</f>
        <v>1.4375</v>
      </c>
      <c r="D4629" s="33">
        <f>INDEX('ZCB Curve - Payment Dates'!$D$2:$D$246,MATCH(B4629,'ZCB Curve - Payment Dates'!$A$2:$A$246,0))</f>
        <v>0.82827715028796722</v>
      </c>
      <c r="E4629" s="32">
        <f t="shared" si="72"/>
        <v>1.1906484035389528</v>
      </c>
    </row>
    <row r="4630" spans="1:5" x14ac:dyDescent="0.25">
      <c r="A4630" s="17">
        <v>337</v>
      </c>
      <c r="B4630" s="31">
        <v>47983</v>
      </c>
      <c r="C4630" s="32">
        <f>INDEX('Input Data'!$B:$B,A4630)/2+IF(A4630&lt;&gt;A4631,100,0)</f>
        <v>1.4375</v>
      </c>
      <c r="D4630" s="33">
        <f>INDEX('ZCB Curve - Payment Dates'!$D$2:$D$246,MATCH(B4630,'ZCB Curve - Payment Dates'!$A$2:$A$246,0))</f>
        <v>0.80939067484273564</v>
      </c>
      <c r="E4630" s="32">
        <f t="shared" si="72"/>
        <v>1.1634990950864326</v>
      </c>
    </row>
    <row r="4631" spans="1:5" x14ac:dyDescent="0.25">
      <c r="A4631" s="17">
        <v>337</v>
      </c>
      <c r="B4631" s="31">
        <v>48167</v>
      </c>
      <c r="C4631" s="32">
        <f>INDEX('Input Data'!$B:$B,A4631)/2+IF(A4631&lt;&gt;A4632,100,0)</f>
        <v>1.4375</v>
      </c>
      <c r="D4631" s="33">
        <f>INDEX('ZCB Curve - Payment Dates'!$D$2:$D$246,MATCH(B4631,'ZCB Curve - Payment Dates'!$A$2:$A$246,0))</f>
        <v>0.79053567842581962</v>
      </c>
      <c r="E4631" s="32">
        <f t="shared" si="72"/>
        <v>1.1363950377371157</v>
      </c>
    </row>
    <row r="4632" spans="1:5" x14ac:dyDescent="0.25">
      <c r="A4632" s="17">
        <v>337</v>
      </c>
      <c r="B4632" s="31">
        <v>48349</v>
      </c>
      <c r="C4632" s="32">
        <f>INDEX('Input Data'!$B:$B,A4632)/2+IF(A4632&lt;&gt;A4633,100,0)</f>
        <v>1.4375</v>
      </c>
      <c r="D4632" s="33">
        <f>INDEX('ZCB Curve - Payment Dates'!$D$2:$D$246,MATCH(B4632,'ZCB Curve - Payment Dates'!$A$2:$A$246,0))</f>
        <v>0.77217305702007488</v>
      </c>
      <c r="E4632" s="32">
        <f t="shared" si="72"/>
        <v>1.1099987694663576</v>
      </c>
    </row>
    <row r="4633" spans="1:5" x14ac:dyDescent="0.25">
      <c r="A4633" s="17">
        <v>337</v>
      </c>
      <c r="B4633" s="31">
        <v>48533</v>
      </c>
      <c r="C4633" s="32">
        <f>INDEX('Input Data'!$B:$B,A4633)/2+IF(A4633&lt;&gt;A4634,100,0)</f>
        <v>1.4375</v>
      </c>
      <c r="D4633" s="33">
        <f>INDEX('ZCB Curve - Payment Dates'!$D$2:$D$246,MATCH(B4633,'ZCB Curve - Payment Dates'!$A$2:$A$246,0))</f>
        <v>0.75384766072076514</v>
      </c>
      <c r="E4633" s="32">
        <f t="shared" si="72"/>
        <v>1.0836560122860999</v>
      </c>
    </row>
    <row r="4634" spans="1:5" x14ac:dyDescent="0.25">
      <c r="A4634" s="17">
        <v>337</v>
      </c>
      <c r="B4634" s="31">
        <v>48714</v>
      </c>
      <c r="C4634" s="32">
        <f>INDEX('Input Data'!$B:$B,A4634)/2+IF(A4634&lt;&gt;A4635,100,0)</f>
        <v>1.4375</v>
      </c>
      <c r="D4634" s="33">
        <f>INDEX('ZCB Curve - Payment Dates'!$D$2:$D$246,MATCH(B4634,'ZCB Curve - Payment Dates'!$A$2:$A$246,0))</f>
        <v>0.73601491848746747</v>
      </c>
      <c r="E4634" s="32">
        <f t="shared" si="72"/>
        <v>1.0580214453257344</v>
      </c>
    </row>
    <row r="4635" spans="1:5" x14ac:dyDescent="0.25">
      <c r="A4635" s="17">
        <v>337</v>
      </c>
      <c r="B4635" s="31">
        <v>48898</v>
      </c>
      <c r="C4635" s="32">
        <f>INDEX('Input Data'!$B:$B,A4635)/2+IF(A4635&lt;&gt;A4636,100,0)</f>
        <v>1.4375</v>
      </c>
      <c r="D4635" s="33">
        <f>INDEX('ZCB Curve - Payment Dates'!$D$2:$D$246,MATCH(B4635,'ZCB Curve - Payment Dates'!$A$2:$A$246,0))</f>
        <v>0.71805338140354003</v>
      </c>
      <c r="E4635" s="32">
        <f t="shared" si="72"/>
        <v>1.0322017357675888</v>
      </c>
    </row>
    <row r="4636" spans="1:5" x14ac:dyDescent="0.25">
      <c r="A4636" s="17">
        <v>337</v>
      </c>
      <c r="B4636" s="31">
        <v>49079</v>
      </c>
      <c r="C4636" s="32">
        <f>INDEX('Input Data'!$B:$B,A4636)/2+IF(A4636&lt;&gt;A4637,100,0)</f>
        <v>1.4375</v>
      </c>
      <c r="D4636" s="33">
        <f>INDEX('ZCB Curve - Payment Dates'!$D$2:$D$246,MATCH(B4636,'ZCB Curve - Payment Dates'!$A$2:$A$246,0))</f>
        <v>0.70052630492471468</v>
      </c>
      <c r="E4636" s="32">
        <f t="shared" si="72"/>
        <v>1.0070065633292773</v>
      </c>
    </row>
    <row r="4637" spans="1:5" x14ac:dyDescent="0.25">
      <c r="A4637" s="17">
        <v>337</v>
      </c>
      <c r="B4637" s="31">
        <v>49263</v>
      </c>
      <c r="C4637" s="32">
        <f>INDEX('Input Data'!$B:$B,A4637)/2+IF(A4637&lt;&gt;A4638,100,0)</f>
        <v>1.4375</v>
      </c>
      <c r="D4637" s="33">
        <f>INDEX('ZCB Curve - Payment Dates'!$D$2:$D$246,MATCH(B4637,'ZCB Curve - Payment Dates'!$A$2:$A$246,0))</f>
        <v>0.68284221202539863</v>
      </c>
      <c r="E4637" s="32">
        <f t="shared" si="72"/>
        <v>0.98158567978651057</v>
      </c>
    </row>
    <row r="4638" spans="1:5" x14ac:dyDescent="0.25">
      <c r="A4638" s="17">
        <v>337</v>
      </c>
      <c r="B4638" s="31">
        <v>49444</v>
      </c>
      <c r="C4638" s="32">
        <f>INDEX('Input Data'!$B:$B,A4638)/2+IF(A4638&lt;&gt;A4639,100,0)</f>
        <v>1.4375</v>
      </c>
      <c r="D4638" s="33">
        <f>INDEX('ZCB Curve - Payment Dates'!$D$2:$D$246,MATCH(B4638,'ZCB Curve - Payment Dates'!$A$2:$A$246,0))</f>
        <v>0.66557347415228496</v>
      </c>
      <c r="E4638" s="32">
        <f t="shared" si="72"/>
        <v>0.95676186909390959</v>
      </c>
    </row>
    <row r="4639" spans="1:5" x14ac:dyDescent="0.25">
      <c r="A4639" s="17">
        <v>337</v>
      </c>
      <c r="B4639" s="31">
        <v>49628</v>
      </c>
      <c r="C4639" s="32">
        <f>INDEX('Input Data'!$B:$B,A4639)/2+IF(A4639&lt;&gt;A4640,100,0)</f>
        <v>1.4375</v>
      </c>
      <c r="D4639" s="33">
        <f>INDEX('ZCB Curve - Payment Dates'!$D$2:$D$246,MATCH(B4639,'ZCB Curve - Payment Dates'!$A$2:$A$246,0))</f>
        <v>0.64815361918127823</v>
      </c>
      <c r="E4639" s="32">
        <f t="shared" si="72"/>
        <v>0.9317208275730875</v>
      </c>
    </row>
    <row r="4640" spans="1:5" x14ac:dyDescent="0.25">
      <c r="A4640" s="17">
        <v>337</v>
      </c>
      <c r="B4640" s="31">
        <v>49810</v>
      </c>
      <c r="C4640" s="32">
        <f>INDEX('Input Data'!$B:$B,A4640)/2+IF(A4640&lt;&gt;A4641,100,0)</f>
        <v>1.4375</v>
      </c>
      <c r="D4640" s="33">
        <f>INDEX('ZCB Curve - Payment Dates'!$D$2:$D$246,MATCH(B4640,'ZCB Curve - Payment Dates'!$A$2:$A$246,0))</f>
        <v>0.63106457078577471</v>
      </c>
      <c r="E4640" s="32">
        <f t="shared" si="72"/>
        <v>0.90715532050455117</v>
      </c>
    </row>
    <row r="4641" spans="1:5" x14ac:dyDescent="0.25">
      <c r="A4641" s="17">
        <v>337</v>
      </c>
      <c r="B4641" s="31">
        <v>49994</v>
      </c>
      <c r="C4641" s="32">
        <f>INDEX('Input Data'!$B:$B,A4641)/2+IF(A4641&lt;&gt;A4642,100,0)</f>
        <v>1.4375</v>
      </c>
      <c r="D4641" s="33">
        <f>INDEX('ZCB Curve - Payment Dates'!$D$2:$D$246,MATCH(B4641,'ZCB Curve - Payment Dates'!$A$2:$A$246,0))</f>
        <v>0.61395227923184648</v>
      </c>
      <c r="E4641" s="32">
        <f t="shared" si="72"/>
        <v>0.88255640139577929</v>
      </c>
    </row>
    <row r="4642" spans="1:5" x14ac:dyDescent="0.25">
      <c r="A4642" s="17">
        <v>337</v>
      </c>
      <c r="B4642" s="31">
        <v>50175</v>
      </c>
      <c r="C4642" s="32">
        <f>INDEX('Input Data'!$B:$B,A4642)/2+IF(A4642&lt;&gt;A4643,100,0)</f>
        <v>1.4375</v>
      </c>
      <c r="D4642" s="33">
        <f>INDEX('ZCB Curve - Payment Dates'!$D$2:$D$246,MATCH(B4642,'ZCB Curve - Payment Dates'!$A$2:$A$246,0))</f>
        <v>0.5972963482314616</v>
      </c>
      <c r="E4642" s="32">
        <f t="shared" si="72"/>
        <v>0.85861350058272601</v>
      </c>
    </row>
    <row r="4643" spans="1:5" x14ac:dyDescent="0.25">
      <c r="A4643" s="17">
        <v>337</v>
      </c>
      <c r="B4643" s="31">
        <v>50359</v>
      </c>
      <c r="C4643" s="32">
        <f>INDEX('Input Data'!$B:$B,A4643)/2+IF(A4643&lt;&gt;A4644,100,0)</f>
        <v>1.4375</v>
      </c>
      <c r="D4643" s="33">
        <f>INDEX('ZCB Curve - Payment Dates'!$D$2:$D$246,MATCH(B4643,'ZCB Curve - Payment Dates'!$A$2:$A$246,0))</f>
        <v>0.58056812006155756</v>
      </c>
      <c r="E4643" s="32">
        <f t="shared" si="72"/>
        <v>0.83456667258848904</v>
      </c>
    </row>
    <row r="4644" spans="1:5" x14ac:dyDescent="0.25">
      <c r="A4644" s="17">
        <v>337</v>
      </c>
      <c r="B4644" s="31">
        <v>50540</v>
      </c>
      <c r="C4644" s="32">
        <f>INDEX('Input Data'!$B:$B,A4644)/2+IF(A4644&lt;&gt;A4645,100,0)</f>
        <v>1.4375</v>
      </c>
      <c r="D4644" s="33">
        <f>INDEX('ZCB Curve - Payment Dates'!$D$2:$D$246,MATCH(B4644,'ZCB Curve - Payment Dates'!$A$2:$A$246,0))</f>
        <v>0.56433491315969797</v>
      </c>
      <c r="E4644" s="32">
        <f t="shared" si="72"/>
        <v>0.81123143766706585</v>
      </c>
    </row>
    <row r="4645" spans="1:5" x14ac:dyDescent="0.25">
      <c r="A4645" s="17">
        <v>337</v>
      </c>
      <c r="B4645" s="31">
        <v>50724</v>
      </c>
      <c r="C4645" s="32">
        <f>INDEX('Input Data'!$B:$B,A4645)/2+IF(A4645&lt;&gt;A4646,100,0)</f>
        <v>1.4375</v>
      </c>
      <c r="D4645" s="33">
        <f>INDEX('ZCB Curve - Payment Dates'!$D$2:$D$246,MATCH(B4645,'ZCB Curve - Payment Dates'!$A$2:$A$246,0))</f>
        <v>0.54808398139057424</v>
      </c>
      <c r="E4645" s="32">
        <f t="shared" si="72"/>
        <v>0.78787072324895047</v>
      </c>
    </row>
    <row r="4646" spans="1:5" x14ac:dyDescent="0.25">
      <c r="A4646" s="17">
        <v>337</v>
      </c>
      <c r="B4646" s="31">
        <v>50905</v>
      </c>
      <c r="C4646" s="32">
        <f>INDEX('Input Data'!$B:$B,A4646)/2+IF(A4646&lt;&gt;A4647,100,0)</f>
        <v>1.4375</v>
      </c>
      <c r="D4646" s="33">
        <f>INDEX('ZCB Curve - Payment Dates'!$D$2:$D$246,MATCH(B4646,'ZCB Curve - Payment Dates'!$A$2:$A$246,0))</f>
        <v>0.5323673246083096</v>
      </c>
      <c r="E4646" s="32">
        <f t="shared" si="72"/>
        <v>0.76527802912444509</v>
      </c>
    </row>
    <row r="4647" spans="1:5" x14ac:dyDescent="0.25">
      <c r="A4647" s="17">
        <v>337</v>
      </c>
      <c r="B4647" s="31">
        <v>51089</v>
      </c>
      <c r="C4647" s="32">
        <f>INDEX('Input Data'!$B:$B,A4647)/2+IF(A4647&lt;&gt;A4648,100,0)</f>
        <v>1.4375</v>
      </c>
      <c r="D4647" s="33">
        <f>INDEX('ZCB Curve - Payment Dates'!$D$2:$D$246,MATCH(B4647,'ZCB Curve - Payment Dates'!$A$2:$A$246,0))</f>
        <v>0.51668806431098135</v>
      </c>
      <c r="E4647" s="32">
        <f t="shared" si="72"/>
        <v>0.74273909244703573</v>
      </c>
    </row>
    <row r="4648" spans="1:5" x14ac:dyDescent="0.25">
      <c r="A4648" s="17">
        <v>337</v>
      </c>
      <c r="B4648" s="31">
        <v>51271</v>
      </c>
      <c r="C4648" s="32">
        <f>INDEX('Input Data'!$B:$B,A4648)/2+IF(A4648&lt;&gt;A4649,100,0)</f>
        <v>1.4375</v>
      </c>
      <c r="D4648" s="33">
        <f>INDEX('ZCB Curve - Payment Dates'!$D$2:$D$246,MATCH(B4648,'ZCB Curve - Payment Dates'!$A$2:$A$246,0))</f>
        <v>0.50149590020417278</v>
      </c>
      <c r="E4648" s="32">
        <f t="shared" si="72"/>
        <v>0.72090035654349838</v>
      </c>
    </row>
    <row r="4649" spans="1:5" x14ac:dyDescent="0.25">
      <c r="A4649" s="17">
        <v>337</v>
      </c>
      <c r="B4649" s="31">
        <v>51455</v>
      </c>
      <c r="C4649" s="32">
        <f>INDEX('Input Data'!$B:$B,A4649)/2+IF(A4649&lt;&gt;A4650,100,0)</f>
        <v>1.4375</v>
      </c>
      <c r="D4649" s="33">
        <f>INDEX('ZCB Curve - Payment Dates'!$D$2:$D$246,MATCH(B4649,'ZCB Curve - Payment Dates'!$A$2:$A$246,0))</f>
        <v>0.48647538074270091</v>
      </c>
      <c r="E4649" s="32">
        <f t="shared" si="72"/>
        <v>0.69930835981763262</v>
      </c>
    </row>
    <row r="4650" spans="1:5" x14ac:dyDescent="0.25">
      <c r="A4650" s="17">
        <v>337</v>
      </c>
      <c r="B4650" s="31">
        <v>51636</v>
      </c>
      <c r="C4650" s="32">
        <f>INDEX('Input Data'!$B:$B,A4650)/2+IF(A4650&lt;&gt;A4651,100,0)</f>
        <v>1.4375</v>
      </c>
      <c r="D4650" s="33">
        <f>INDEX('ZCB Curve - Payment Dates'!$D$2:$D$246,MATCH(B4650,'ZCB Curve - Payment Dates'!$A$2:$A$246,0))</f>
        <v>0.47204918703719451</v>
      </c>
      <c r="E4650" s="32">
        <f t="shared" si="72"/>
        <v>0.67857070636596706</v>
      </c>
    </row>
    <row r="4651" spans="1:5" x14ac:dyDescent="0.25">
      <c r="A4651" s="17">
        <v>337</v>
      </c>
      <c r="B4651" s="31">
        <v>51820</v>
      </c>
      <c r="C4651" s="32">
        <f>INDEX('Input Data'!$B:$B,A4651)/2+IF(A4651&lt;&gt;A4652,100,0)</f>
        <v>1.4375</v>
      </c>
      <c r="D4651" s="33">
        <f>INDEX('ZCB Curve - Payment Dates'!$D$2:$D$246,MATCH(B4651,'ZCB Curve - Payment Dates'!$A$2:$A$246,0))</f>
        <v>0.45775548669345245</v>
      </c>
      <c r="E4651" s="32">
        <f t="shared" si="72"/>
        <v>0.65802351212183785</v>
      </c>
    </row>
    <row r="4652" spans="1:5" x14ac:dyDescent="0.25">
      <c r="A4652" s="17">
        <v>337</v>
      </c>
      <c r="B4652" s="31">
        <v>52001</v>
      </c>
      <c r="C4652" s="32">
        <f>INDEX('Input Data'!$B:$B,A4652)/2+IF(A4652&lt;&gt;A4653,100,0)</f>
        <v>1.4375</v>
      </c>
      <c r="D4652" s="33">
        <f>INDEX('ZCB Curve - Payment Dates'!$D$2:$D$246,MATCH(B4652,'ZCB Curve - Payment Dates'!$A$2:$A$246,0))</f>
        <v>0.44407192118484318</v>
      </c>
      <c r="E4652" s="32">
        <f t="shared" si="72"/>
        <v>0.63835338670321207</v>
      </c>
    </row>
    <row r="4653" spans="1:5" x14ac:dyDescent="0.25">
      <c r="A4653" s="17">
        <v>337</v>
      </c>
      <c r="B4653" s="31">
        <v>52185</v>
      </c>
      <c r="C4653" s="32">
        <f>INDEX('Input Data'!$B:$B,A4653)/2+IF(A4653&lt;&gt;A4654,100,0)</f>
        <v>1.4375</v>
      </c>
      <c r="D4653" s="33">
        <f>INDEX('ZCB Curve - Payment Dates'!$D$2:$D$246,MATCH(B4653,'ZCB Curve - Payment Dates'!$A$2:$A$246,0))</f>
        <v>0.43055647946672393</v>
      </c>
      <c r="E4653" s="32">
        <f t="shared" si="72"/>
        <v>0.61892493923341563</v>
      </c>
    </row>
    <row r="4654" spans="1:5" x14ac:dyDescent="0.25">
      <c r="A4654" s="17">
        <v>337</v>
      </c>
      <c r="B4654" s="31">
        <v>52366</v>
      </c>
      <c r="C4654" s="32">
        <f>INDEX('Input Data'!$B:$B,A4654)/2+IF(A4654&lt;&gt;A4655,100,0)</f>
        <v>1.4375</v>
      </c>
      <c r="D4654" s="33">
        <f>INDEX('ZCB Curve - Payment Dates'!$D$2:$D$246,MATCH(B4654,'ZCB Curve - Payment Dates'!$A$2:$A$246,0))</f>
        <v>0.41765686229470528</v>
      </c>
      <c r="E4654" s="32">
        <f t="shared" si="72"/>
        <v>0.60038173954863883</v>
      </c>
    </row>
    <row r="4655" spans="1:5" x14ac:dyDescent="0.25">
      <c r="A4655" s="17">
        <v>337</v>
      </c>
      <c r="B4655" s="31">
        <v>52550</v>
      </c>
      <c r="C4655" s="32">
        <f>INDEX('Input Data'!$B:$B,A4655)/2+IF(A4655&lt;&gt;A4656,100,0)</f>
        <v>1.4375</v>
      </c>
      <c r="D4655" s="33">
        <f>INDEX('ZCB Curve - Payment Dates'!$D$2:$D$246,MATCH(B4655,'ZCB Curve - Payment Dates'!$A$2:$A$246,0))</f>
        <v>0.40495237741553414</v>
      </c>
      <c r="E4655" s="32">
        <f t="shared" si="72"/>
        <v>0.58211904253483038</v>
      </c>
    </row>
    <row r="4656" spans="1:5" x14ac:dyDescent="0.25">
      <c r="A4656" s="17">
        <v>337</v>
      </c>
      <c r="B4656" s="31">
        <v>52732</v>
      </c>
      <c r="C4656" s="32">
        <f>INDEX('Input Data'!$B:$B,A4656)/2+IF(A4656&lt;&gt;A4657,100,0)</f>
        <v>1.4375</v>
      </c>
      <c r="D4656" s="33">
        <f>INDEX('ZCB Curve - Payment Dates'!$D$2:$D$246,MATCH(B4656,'ZCB Curve - Payment Dates'!$A$2:$A$246,0))</f>
        <v>0.3927952920896523</v>
      </c>
      <c r="E4656" s="32">
        <f t="shared" si="72"/>
        <v>0.56464323237887515</v>
      </c>
    </row>
    <row r="4657" spans="1:5" x14ac:dyDescent="0.25">
      <c r="A4657" s="17">
        <v>337</v>
      </c>
      <c r="B4657" s="31">
        <v>52916</v>
      </c>
      <c r="C4657" s="32">
        <f>INDEX('Input Data'!$B:$B,A4657)/2+IF(A4657&lt;&gt;A4658,100,0)</f>
        <v>1.4375</v>
      </c>
      <c r="D4657" s="33">
        <f>INDEX('ZCB Curve - Payment Dates'!$D$2:$D$246,MATCH(B4657,'ZCB Curve - Payment Dates'!$A$2:$A$246,0))</f>
        <v>0.38091684361752687</v>
      </c>
      <c r="E4657" s="32">
        <f t="shared" si="72"/>
        <v>0.54756796270019492</v>
      </c>
    </row>
    <row r="4658" spans="1:5" x14ac:dyDescent="0.25">
      <c r="A4658" s="17">
        <v>337</v>
      </c>
      <c r="B4658" s="31">
        <v>53097</v>
      </c>
      <c r="C4658" s="32">
        <f>INDEX('Input Data'!$B:$B,A4658)/2+IF(A4658&lt;&gt;A4659,100,0)</f>
        <v>1.4375</v>
      </c>
      <c r="D4658" s="33">
        <f>INDEX('ZCB Curve - Payment Dates'!$D$2:$D$246,MATCH(B4658,'ZCB Curve - Payment Dates'!$A$2:$A$246,0))</f>
        <v>0.36964331092783359</v>
      </c>
      <c r="E4658" s="32">
        <f t="shared" si="72"/>
        <v>0.53136225945876081</v>
      </c>
    </row>
    <row r="4659" spans="1:5" x14ac:dyDescent="0.25">
      <c r="A4659" s="17">
        <v>337</v>
      </c>
      <c r="B4659" s="31">
        <v>53281</v>
      </c>
      <c r="C4659" s="32">
        <f>INDEX('Input Data'!$B:$B,A4659)/2+IF(A4659&lt;&gt;A4660,100,0)</f>
        <v>1.4375</v>
      </c>
      <c r="D4659" s="33">
        <f>INDEX('ZCB Curve - Payment Dates'!$D$2:$D$246,MATCH(B4659,'ZCB Curve - Payment Dates'!$A$2:$A$246,0))</f>
        <v>0.35859090372935404</v>
      </c>
      <c r="E4659" s="32">
        <f t="shared" si="72"/>
        <v>0.51547442411094646</v>
      </c>
    </row>
    <row r="4660" spans="1:5" x14ac:dyDescent="0.25">
      <c r="A4660" s="17">
        <v>337</v>
      </c>
      <c r="B4660" s="31">
        <v>53462</v>
      </c>
      <c r="C4660" s="32">
        <f>INDEX('Input Data'!$B:$B,A4660)/2+IF(A4660&lt;&gt;A4661,100,0)</f>
        <v>1.4375</v>
      </c>
      <c r="D4660" s="33">
        <f>INDEX('ZCB Curve - Payment Dates'!$D$2:$D$246,MATCH(B4660,'ZCB Curve - Payment Dates'!$A$2:$A$246,0))</f>
        <v>0.34812465854380154</v>
      </c>
      <c r="E4660" s="32">
        <f t="shared" si="72"/>
        <v>0.5004291966567147</v>
      </c>
    </row>
    <row r="4661" spans="1:5" x14ac:dyDescent="0.25">
      <c r="A4661" s="17">
        <v>337</v>
      </c>
      <c r="B4661" s="31">
        <v>53646</v>
      </c>
      <c r="C4661" s="32">
        <f>INDEX('Input Data'!$B:$B,A4661)/2+IF(A4661&lt;&gt;A4662,100,0)</f>
        <v>1.4375</v>
      </c>
      <c r="D4661" s="33">
        <f>INDEX('ZCB Curve - Payment Dates'!$D$2:$D$246,MATCH(B4661,'ZCB Curve - Payment Dates'!$A$2:$A$246,0))</f>
        <v>0.33788528510382887</v>
      </c>
      <c r="E4661" s="32">
        <f t="shared" si="72"/>
        <v>0.48571009733675402</v>
      </c>
    </row>
    <row r="4662" spans="1:5" x14ac:dyDescent="0.25">
      <c r="A4662" s="17">
        <v>337</v>
      </c>
      <c r="B4662" s="31">
        <v>53827</v>
      </c>
      <c r="C4662" s="32">
        <f>INDEX('Input Data'!$B:$B,A4662)/2+IF(A4662&lt;&gt;A4663,100,0)</f>
        <v>1.4375</v>
      </c>
      <c r="D4662" s="33">
        <f>INDEX('ZCB Curve - Payment Dates'!$D$2:$D$246,MATCH(B4662,'ZCB Curve - Payment Dates'!$A$2:$A$246,0))</f>
        <v>0.32820827061914198</v>
      </c>
      <c r="E4662" s="32">
        <f t="shared" si="72"/>
        <v>0.47179938901501661</v>
      </c>
    </row>
    <row r="4663" spans="1:5" x14ac:dyDescent="0.25">
      <c r="A4663" s="17">
        <v>337</v>
      </c>
      <c r="B4663" s="31">
        <v>54011</v>
      </c>
      <c r="C4663" s="32">
        <f>INDEX('Input Data'!$B:$B,A4663)/2+IF(A4663&lt;&gt;A4664,100,0)</f>
        <v>1.4375</v>
      </c>
      <c r="D4663" s="33">
        <f>INDEX('ZCB Curve - Payment Dates'!$D$2:$D$246,MATCH(B4663,'ZCB Curve - Payment Dates'!$A$2:$A$246,0))</f>
        <v>0.31875888330253388</v>
      </c>
      <c r="E4663" s="32">
        <f t="shared" si="72"/>
        <v>0.45821589474739244</v>
      </c>
    </row>
    <row r="4664" spans="1:5" x14ac:dyDescent="0.25">
      <c r="A4664" s="17">
        <v>337</v>
      </c>
      <c r="B4664" s="31">
        <v>54193</v>
      </c>
      <c r="C4664" s="32">
        <f>INDEX('Input Data'!$B:$B,A4664)/2+IF(A4664&lt;&gt;A4665,100,0)</f>
        <v>1.4375</v>
      </c>
      <c r="D4664" s="33">
        <f>INDEX('ZCB Curve - Payment Dates'!$D$2:$D$246,MATCH(B4664,'ZCB Curve - Payment Dates'!$A$2:$A$246,0))</f>
        <v>0.30979516521120642</v>
      </c>
      <c r="E4664" s="32">
        <f t="shared" si="72"/>
        <v>0.44533054999110921</v>
      </c>
    </row>
    <row r="4665" spans="1:5" x14ac:dyDescent="0.25">
      <c r="A4665" s="17">
        <v>337</v>
      </c>
      <c r="B4665" s="31">
        <v>54377</v>
      </c>
      <c r="C4665" s="32">
        <f>INDEX('Input Data'!$B:$B,A4665)/2+IF(A4665&lt;&gt;A4666,100,0)</f>
        <v>1.4375</v>
      </c>
      <c r="D4665" s="33">
        <f>INDEX('ZCB Curve - Payment Dates'!$D$2:$D$246,MATCH(B4665,'ZCB Curve - Payment Dates'!$A$2:$A$246,0))</f>
        <v>0.30110901062008694</v>
      </c>
      <c r="E4665" s="32">
        <f t="shared" si="72"/>
        <v>0.43284420276637497</v>
      </c>
    </row>
    <row r="4666" spans="1:5" x14ac:dyDescent="0.25">
      <c r="A4666" s="17">
        <v>337</v>
      </c>
      <c r="B4666" s="31">
        <v>54558</v>
      </c>
      <c r="C4666" s="32">
        <f>INDEX('Input Data'!$B:$B,A4666)/2+IF(A4666&lt;&gt;A4667,100,0)</f>
        <v>1.4375</v>
      </c>
      <c r="D4666" s="33">
        <f>INDEX('ZCB Curve - Payment Dates'!$D$2:$D$246,MATCH(B4666,'ZCB Curve - Payment Dates'!$A$2:$A$246,0))</f>
        <v>0.29292467059800714</v>
      </c>
      <c r="E4666" s="32">
        <f t="shared" si="72"/>
        <v>0.42107921398463527</v>
      </c>
    </row>
    <row r="4667" spans="1:5" x14ac:dyDescent="0.25">
      <c r="A4667" s="17">
        <v>337</v>
      </c>
      <c r="B4667" s="31">
        <v>54742</v>
      </c>
      <c r="C4667" s="32">
        <f>INDEX('Input Data'!$B:$B,A4667)/2+IF(A4667&lt;&gt;A4668,100,0)</f>
        <v>1.4375</v>
      </c>
      <c r="D4667" s="33">
        <f>INDEX('ZCB Curve - Payment Dates'!$D$2:$D$246,MATCH(B4667,'ZCB Curve - Payment Dates'!$A$2:$A$246,0))</f>
        <v>0.28496204444064566</v>
      </c>
      <c r="E4667" s="32">
        <f t="shared" si="72"/>
        <v>0.40963293888342811</v>
      </c>
    </row>
    <row r="4668" spans="1:5" x14ac:dyDescent="0.25">
      <c r="A4668" s="17">
        <v>337</v>
      </c>
      <c r="B4668" s="31">
        <v>54923</v>
      </c>
      <c r="C4668" s="32">
        <f>INDEX('Input Data'!$B:$B,A4668)/2+IF(A4668&lt;&gt;A4669,100,0)</f>
        <v>1.4375</v>
      </c>
      <c r="D4668" s="33">
        <f>INDEX('ZCB Curve - Payment Dates'!$D$2:$D$246,MATCH(B4668,'ZCB Curve - Payment Dates'!$A$2:$A$246,0))</f>
        <v>0.27747061478742291</v>
      </c>
      <c r="E4668" s="32">
        <f t="shared" si="72"/>
        <v>0.39886400875692041</v>
      </c>
    </row>
    <row r="4669" spans="1:5" x14ac:dyDescent="0.25">
      <c r="A4669" s="17">
        <v>337</v>
      </c>
      <c r="B4669" s="31">
        <v>55107</v>
      </c>
      <c r="C4669" s="32">
        <f>INDEX('Input Data'!$B:$B,A4669)/2+IF(A4669&lt;&gt;A4670,100,0)</f>
        <v>1.4375</v>
      </c>
      <c r="D4669" s="33">
        <f>INDEX('ZCB Curve - Payment Dates'!$D$2:$D$246,MATCH(B4669,'ZCB Curve - Payment Dates'!$A$2:$A$246,0))</f>
        <v>0.2701926092917406</v>
      </c>
      <c r="E4669" s="32">
        <f t="shared" si="72"/>
        <v>0.38840187585687713</v>
      </c>
    </row>
    <row r="4670" spans="1:5" x14ac:dyDescent="0.25">
      <c r="A4670" s="17">
        <v>337</v>
      </c>
      <c r="B4670" s="31">
        <v>55288</v>
      </c>
      <c r="C4670" s="32">
        <f>INDEX('Input Data'!$B:$B,A4670)/2+IF(A4670&lt;&gt;A4671,100,0)</f>
        <v>1.4375</v>
      </c>
      <c r="D4670" s="33">
        <f>INDEX('ZCB Curve - Payment Dates'!$D$2:$D$246,MATCH(B4670,'ZCB Curve - Payment Dates'!$A$2:$A$246,0))</f>
        <v>0.26335484985695851</v>
      </c>
      <c r="E4670" s="32">
        <f t="shared" si="72"/>
        <v>0.37857259666937787</v>
      </c>
    </row>
    <row r="4671" spans="1:5" x14ac:dyDescent="0.25">
      <c r="A4671" s="17">
        <v>337</v>
      </c>
      <c r="B4671" s="31">
        <v>55472</v>
      </c>
      <c r="C4671" s="32">
        <f>INDEX('Input Data'!$B:$B,A4671)/2+IF(A4671&lt;&gt;A4672,100,0)</f>
        <v>1.4375</v>
      </c>
      <c r="D4671" s="33">
        <f>INDEX('ZCB Curve - Payment Dates'!$D$2:$D$246,MATCH(B4671,'ZCB Curve - Payment Dates'!$A$2:$A$246,0))</f>
        <v>0.25672095505458636</v>
      </c>
      <c r="E4671" s="32">
        <f t="shared" si="72"/>
        <v>0.36903637289096791</v>
      </c>
    </row>
    <row r="4672" spans="1:5" x14ac:dyDescent="0.25">
      <c r="A4672" s="17">
        <v>337</v>
      </c>
      <c r="B4672" s="31">
        <v>55654</v>
      </c>
      <c r="C4672" s="32">
        <f>INDEX('Input Data'!$B:$B,A4672)/2+IF(A4672&lt;&gt;A4673,100,0)</f>
        <v>101.4375</v>
      </c>
      <c r="D4672" s="33">
        <f>INDEX('ZCB Curve - Payment Dates'!$D$2:$D$246,MATCH(B4672,'ZCB Curve - Payment Dates'!$A$2:$A$246,0))</f>
        <v>0.25046362869454364</v>
      </c>
      <c r="E4672" s="32">
        <f t="shared" si="72"/>
        <v>25.406404335702771</v>
      </c>
    </row>
    <row r="4673" spans="1:5" x14ac:dyDescent="0.25">
      <c r="A4673" s="17">
        <v>338</v>
      </c>
      <c r="B4673" s="31">
        <v>46433</v>
      </c>
      <c r="C4673" s="32">
        <f>INDEX('Input Data'!$B:$B,A4673)/2+IF(A4673&lt;&gt;A4674,100,0)</f>
        <v>1.5</v>
      </c>
      <c r="D4673" s="33">
        <f>INDEX('ZCB Curve - Payment Dates'!$D$2:$D$246,MATCH(B4673,'ZCB Curve - Payment Dates'!$A$2:$A$246,0))</f>
        <v>0.98242671792446301</v>
      </c>
      <c r="E4673" s="32">
        <f t="shared" si="72"/>
        <v>1.4736400768866944</v>
      </c>
    </row>
    <row r="4674" spans="1:5" x14ac:dyDescent="0.25">
      <c r="A4674" s="17">
        <v>338</v>
      </c>
      <c r="B4674" s="31">
        <v>46614</v>
      </c>
      <c r="C4674" s="32">
        <f>INDEX('Input Data'!$B:$B,A4674)/2+IF(A4674&lt;&gt;A4675,100,0)</f>
        <v>1.5</v>
      </c>
      <c r="D4674" s="33">
        <f>INDEX('ZCB Curve - Payment Dates'!$D$2:$D$246,MATCH(B4674,'ZCB Curve - Payment Dates'!$A$2:$A$246,0))</f>
        <v>0.96187948164765535</v>
      </c>
      <c r="E4674" s="32">
        <f t="shared" ref="E4674:E4737" si="73">C4674*D4674</f>
        <v>1.4428192224714831</v>
      </c>
    </row>
    <row r="4675" spans="1:5" x14ac:dyDescent="0.25">
      <c r="A4675" s="17">
        <v>338</v>
      </c>
      <c r="B4675" s="31">
        <v>46798</v>
      </c>
      <c r="C4675" s="32">
        <f>INDEX('Input Data'!$B:$B,A4675)/2+IF(A4675&lt;&gt;A4676,100,0)</f>
        <v>1.5</v>
      </c>
      <c r="D4675" s="33">
        <f>INDEX('ZCB Curve - Payment Dates'!$D$2:$D$246,MATCH(B4675,'ZCB Curve - Payment Dates'!$A$2:$A$246,0))</f>
        <v>0.94049096132648802</v>
      </c>
      <c r="E4675" s="32">
        <f t="shared" si="73"/>
        <v>1.4107364419897319</v>
      </c>
    </row>
    <row r="4676" spans="1:5" x14ac:dyDescent="0.25">
      <c r="A4676" s="17">
        <v>338</v>
      </c>
      <c r="B4676" s="31">
        <v>46980</v>
      </c>
      <c r="C4676" s="32">
        <f>INDEX('Input Data'!$B:$B,A4676)/2+IF(A4676&lt;&gt;A4677,100,0)</f>
        <v>1.5</v>
      </c>
      <c r="D4676" s="33">
        <f>INDEX('ZCB Curve - Payment Dates'!$D$2:$D$246,MATCH(B4676,'ZCB Curve - Payment Dates'!$A$2:$A$246,0))</f>
        <v>0.91931844130238327</v>
      </c>
      <c r="E4676" s="32">
        <f t="shared" si="73"/>
        <v>1.378977661953575</v>
      </c>
    </row>
    <row r="4677" spans="1:5" x14ac:dyDescent="0.25">
      <c r="A4677" s="17">
        <v>338</v>
      </c>
      <c r="B4677" s="31">
        <v>47164</v>
      </c>
      <c r="C4677" s="32">
        <f>INDEX('Input Data'!$B:$B,A4677)/2+IF(A4677&lt;&gt;A4678,100,0)</f>
        <v>1.5</v>
      </c>
      <c r="D4677" s="33">
        <f>INDEX('ZCB Curve - Payment Dates'!$D$2:$D$246,MATCH(B4677,'ZCB Curve - Payment Dates'!$A$2:$A$246,0))</f>
        <v>0.89817430058086534</v>
      </c>
      <c r="E4677" s="32">
        <f t="shared" si="73"/>
        <v>1.3472614508712981</v>
      </c>
    </row>
    <row r="4678" spans="1:5" x14ac:dyDescent="0.25">
      <c r="A4678" s="17">
        <v>338</v>
      </c>
      <c r="B4678" s="31">
        <v>47345</v>
      </c>
      <c r="C4678" s="32">
        <f>INDEX('Input Data'!$B:$B,A4678)/2+IF(A4678&lt;&gt;A4679,100,0)</f>
        <v>1.5</v>
      </c>
      <c r="D4678" s="33">
        <f>INDEX('ZCB Curve - Payment Dates'!$D$2:$D$246,MATCH(B4678,'ZCB Curve - Payment Dates'!$A$2:$A$246,0))</f>
        <v>0.87778421628860481</v>
      </c>
      <c r="E4678" s="32">
        <f t="shared" si="73"/>
        <v>1.3166763244329072</v>
      </c>
    </row>
    <row r="4679" spans="1:5" x14ac:dyDescent="0.25">
      <c r="A4679" s="17">
        <v>338</v>
      </c>
      <c r="B4679" s="31">
        <v>47529</v>
      </c>
      <c r="C4679" s="32">
        <f>INDEX('Input Data'!$B:$B,A4679)/2+IF(A4679&lt;&gt;A4680,100,0)</f>
        <v>1.5</v>
      </c>
      <c r="D4679" s="33">
        <f>INDEX('ZCB Curve - Payment Dates'!$D$2:$D$246,MATCH(B4679,'ZCB Curve - Payment Dates'!$A$2:$A$246,0))</f>
        <v>0.85751015570959666</v>
      </c>
      <c r="E4679" s="32">
        <f t="shared" si="73"/>
        <v>1.2862652335643949</v>
      </c>
    </row>
    <row r="4680" spans="1:5" x14ac:dyDescent="0.25">
      <c r="A4680" s="17">
        <v>338</v>
      </c>
      <c r="B4680" s="31">
        <v>47710</v>
      </c>
      <c r="C4680" s="32">
        <f>INDEX('Input Data'!$B:$B,A4680)/2+IF(A4680&lt;&gt;A4681,100,0)</f>
        <v>1.5</v>
      </c>
      <c r="D4680" s="33">
        <f>INDEX('ZCB Curve - Payment Dates'!$D$2:$D$246,MATCH(B4680,'ZCB Curve - Payment Dates'!$A$2:$A$246,0))</f>
        <v>0.83802423748211174</v>
      </c>
      <c r="E4680" s="32">
        <f t="shared" si="73"/>
        <v>1.2570363562231677</v>
      </c>
    </row>
    <row r="4681" spans="1:5" x14ac:dyDescent="0.25">
      <c r="A4681" s="17">
        <v>338</v>
      </c>
      <c r="B4681" s="31">
        <v>47894</v>
      </c>
      <c r="C4681" s="32">
        <f>INDEX('Input Data'!$B:$B,A4681)/2+IF(A4681&lt;&gt;A4682,100,0)</f>
        <v>1.5</v>
      </c>
      <c r="D4681" s="33">
        <f>INDEX('ZCB Curve - Payment Dates'!$D$2:$D$246,MATCH(B4681,'ZCB Curve - Payment Dates'!$A$2:$A$246,0))</f>
        <v>0.8186305474741673</v>
      </c>
      <c r="E4681" s="32">
        <f t="shared" si="73"/>
        <v>1.2279458212112511</v>
      </c>
    </row>
    <row r="4682" spans="1:5" x14ac:dyDescent="0.25">
      <c r="A4682" s="17">
        <v>338</v>
      </c>
      <c r="B4682" s="31">
        <v>48075</v>
      </c>
      <c r="C4682" s="32">
        <f>INDEX('Input Data'!$B:$B,A4682)/2+IF(A4682&lt;&gt;A4683,100,0)</f>
        <v>1.5</v>
      </c>
      <c r="D4682" s="33">
        <f>INDEX('ZCB Curve - Payment Dates'!$D$2:$D$246,MATCH(B4682,'ZCB Curve - Payment Dates'!$A$2:$A$246,0))</f>
        <v>0.7999252334775927</v>
      </c>
      <c r="E4682" s="32">
        <f t="shared" si="73"/>
        <v>1.199887850216389</v>
      </c>
    </row>
    <row r="4683" spans="1:5" x14ac:dyDescent="0.25">
      <c r="A4683" s="17">
        <v>338</v>
      </c>
      <c r="B4683" s="31">
        <v>48259</v>
      </c>
      <c r="C4683" s="32">
        <f>INDEX('Input Data'!$B:$B,A4683)/2+IF(A4683&lt;&gt;A4684,100,0)</f>
        <v>1.5</v>
      </c>
      <c r="D4683" s="33">
        <f>INDEX('ZCB Curve - Payment Dates'!$D$2:$D$246,MATCH(B4683,'ZCB Curve - Payment Dates'!$A$2:$A$246,0))</f>
        <v>0.78121887027612602</v>
      </c>
      <c r="E4683" s="32">
        <f t="shared" si="73"/>
        <v>1.1718283054141891</v>
      </c>
    </row>
    <row r="4684" spans="1:5" x14ac:dyDescent="0.25">
      <c r="A4684" s="17">
        <v>338</v>
      </c>
      <c r="B4684" s="31">
        <v>48441</v>
      </c>
      <c r="C4684" s="32">
        <f>INDEX('Input Data'!$B:$B,A4684)/2+IF(A4684&lt;&gt;A4685,100,0)</f>
        <v>1.5</v>
      </c>
      <c r="D4684" s="33">
        <f>INDEX('ZCB Curve - Payment Dates'!$D$2:$D$246,MATCH(B4684,'ZCB Curve - Payment Dates'!$A$2:$A$246,0))</f>
        <v>0.76298123459017864</v>
      </c>
      <c r="E4684" s="32">
        <f t="shared" si="73"/>
        <v>1.1444718518852679</v>
      </c>
    </row>
    <row r="4685" spans="1:5" x14ac:dyDescent="0.25">
      <c r="A4685" s="17">
        <v>338</v>
      </c>
      <c r="B4685" s="31">
        <v>48625</v>
      </c>
      <c r="C4685" s="32">
        <f>INDEX('Input Data'!$B:$B,A4685)/2+IF(A4685&lt;&gt;A4686,100,0)</f>
        <v>1.5</v>
      </c>
      <c r="D4685" s="33">
        <f>INDEX('ZCB Curve - Payment Dates'!$D$2:$D$246,MATCH(B4685,'ZCB Curve - Payment Dates'!$A$2:$A$246,0))</f>
        <v>0.74476011611938586</v>
      </c>
      <c r="E4685" s="32">
        <f t="shared" si="73"/>
        <v>1.1171401741790787</v>
      </c>
    </row>
    <row r="4686" spans="1:5" x14ac:dyDescent="0.25">
      <c r="A4686" s="17">
        <v>338</v>
      </c>
      <c r="B4686" s="31">
        <v>48806</v>
      </c>
      <c r="C4686" s="32">
        <f>INDEX('Input Data'!$B:$B,A4686)/2+IF(A4686&lt;&gt;A4687,100,0)</f>
        <v>1.5</v>
      </c>
      <c r="D4686" s="33">
        <f>INDEX('ZCB Curve - Payment Dates'!$D$2:$D$246,MATCH(B4686,'ZCB Curve - Payment Dates'!$A$2:$A$246,0))</f>
        <v>0.72701302496114584</v>
      </c>
      <c r="E4686" s="32">
        <f t="shared" si="73"/>
        <v>1.0905195374417187</v>
      </c>
    </row>
    <row r="4687" spans="1:5" x14ac:dyDescent="0.25">
      <c r="A4687" s="17">
        <v>338</v>
      </c>
      <c r="B4687" s="31">
        <v>48990</v>
      </c>
      <c r="C4687" s="32">
        <f>INDEX('Input Data'!$B:$B,A4687)/2+IF(A4687&lt;&gt;A4688,100,0)</f>
        <v>1.5</v>
      </c>
      <c r="D4687" s="33">
        <f>INDEX('ZCB Curve - Payment Dates'!$D$2:$D$246,MATCH(B4687,'ZCB Curve - Payment Dates'!$A$2:$A$246,0))</f>
        <v>0.70912647031380449</v>
      </c>
      <c r="E4687" s="32">
        <f t="shared" si="73"/>
        <v>1.0636897054707068</v>
      </c>
    </row>
    <row r="4688" spans="1:5" x14ac:dyDescent="0.25">
      <c r="A4688" s="17">
        <v>338</v>
      </c>
      <c r="B4688" s="31">
        <v>49171</v>
      </c>
      <c r="C4688" s="32">
        <f>INDEX('Input Data'!$B:$B,A4688)/2+IF(A4688&lt;&gt;A4689,100,0)</f>
        <v>1.5</v>
      </c>
      <c r="D4688" s="33">
        <f>INDEX('ZCB Curve - Payment Dates'!$D$2:$D$246,MATCH(B4688,'ZCB Curve - Payment Dates'!$A$2:$A$246,0))</f>
        <v>0.6916661505723215</v>
      </c>
      <c r="E4688" s="32">
        <f t="shared" si="73"/>
        <v>1.0374992258584823</v>
      </c>
    </row>
    <row r="4689" spans="1:5" x14ac:dyDescent="0.25">
      <c r="A4689" s="17">
        <v>338</v>
      </c>
      <c r="B4689" s="31">
        <v>49355</v>
      </c>
      <c r="C4689" s="32">
        <f>INDEX('Input Data'!$B:$B,A4689)/2+IF(A4689&lt;&gt;A4690,100,0)</f>
        <v>1.5</v>
      </c>
      <c r="D4689" s="33">
        <f>INDEX('ZCB Curve - Payment Dates'!$D$2:$D$246,MATCH(B4689,'ZCB Curve - Payment Dates'!$A$2:$A$246,0))</f>
        <v>0.674047377898778</v>
      </c>
      <c r="E4689" s="32">
        <f t="shared" si="73"/>
        <v>1.0110710668481671</v>
      </c>
    </row>
    <row r="4690" spans="1:5" x14ac:dyDescent="0.25">
      <c r="A4690" s="17">
        <v>338</v>
      </c>
      <c r="B4690" s="31">
        <v>49536</v>
      </c>
      <c r="C4690" s="32">
        <f>INDEX('Input Data'!$B:$B,A4690)/2+IF(A4690&lt;&gt;A4691,100,0)</f>
        <v>1.5</v>
      </c>
      <c r="D4690" s="33">
        <f>INDEX('ZCB Curve - Payment Dates'!$D$2:$D$246,MATCH(B4690,'ZCB Curve - Payment Dates'!$A$2:$A$246,0))</f>
        <v>0.65684432300638129</v>
      </c>
      <c r="E4690" s="32">
        <f t="shared" si="73"/>
        <v>0.98526648450957199</v>
      </c>
    </row>
    <row r="4691" spans="1:5" x14ac:dyDescent="0.25">
      <c r="A4691" s="17">
        <v>338</v>
      </c>
      <c r="B4691" s="31">
        <v>49720</v>
      </c>
      <c r="C4691" s="32">
        <f>INDEX('Input Data'!$B:$B,A4691)/2+IF(A4691&lt;&gt;A4692,100,0)</f>
        <v>1.5</v>
      </c>
      <c r="D4691" s="33">
        <f>INDEX('ZCB Curve - Payment Dates'!$D$2:$D$246,MATCH(B4691,'ZCB Curve - Payment Dates'!$A$2:$A$246,0))</f>
        <v>0.63949604524993764</v>
      </c>
      <c r="E4691" s="32">
        <f t="shared" si="73"/>
        <v>0.95924406787490646</v>
      </c>
    </row>
    <row r="4692" spans="1:5" x14ac:dyDescent="0.25">
      <c r="A4692" s="17">
        <v>338</v>
      </c>
      <c r="B4692" s="31">
        <v>49902</v>
      </c>
      <c r="C4692" s="32">
        <f>INDEX('Input Data'!$B:$B,A4692)/2+IF(A4692&lt;&gt;A4693,100,0)</f>
        <v>1.5</v>
      </c>
      <c r="D4692" s="33">
        <f>INDEX('ZCB Curve - Payment Dates'!$D$2:$D$246,MATCH(B4692,'ZCB Curve - Payment Dates'!$A$2:$A$246,0))</f>
        <v>0.62248862376822711</v>
      </c>
      <c r="E4692" s="32">
        <f t="shared" si="73"/>
        <v>0.93373293565234072</v>
      </c>
    </row>
    <row r="4693" spans="1:5" x14ac:dyDescent="0.25">
      <c r="A4693" s="17">
        <v>338</v>
      </c>
      <c r="B4693" s="31">
        <v>50086</v>
      </c>
      <c r="C4693" s="32">
        <f>INDEX('Input Data'!$B:$B,A4693)/2+IF(A4693&lt;&gt;A4694,100,0)</f>
        <v>1.5</v>
      </c>
      <c r="D4693" s="33">
        <f>INDEX('ZCB Curve - Payment Dates'!$D$2:$D$246,MATCH(B4693,'ZCB Curve - Payment Dates'!$A$2:$A$246,0))</f>
        <v>0.60546490876014969</v>
      </c>
      <c r="E4693" s="32">
        <f t="shared" si="73"/>
        <v>0.90819736314022448</v>
      </c>
    </row>
    <row r="4694" spans="1:5" x14ac:dyDescent="0.25">
      <c r="A4694" s="17">
        <v>338</v>
      </c>
      <c r="B4694" s="31">
        <v>50267</v>
      </c>
      <c r="C4694" s="32">
        <f>INDEX('Input Data'!$B:$B,A4694)/2+IF(A4694&lt;&gt;A4695,100,0)</f>
        <v>1.5</v>
      </c>
      <c r="D4694" s="33">
        <f>INDEX('ZCB Curve - Payment Dates'!$D$2:$D$246,MATCH(B4694,'ZCB Curve - Payment Dates'!$A$2:$A$246,0))</f>
        <v>0.58890683803346977</v>
      </c>
      <c r="E4694" s="32">
        <f t="shared" si="73"/>
        <v>0.8833602570502046</v>
      </c>
    </row>
    <row r="4695" spans="1:5" x14ac:dyDescent="0.25">
      <c r="A4695" s="17">
        <v>338</v>
      </c>
      <c r="B4695" s="31">
        <v>50451</v>
      </c>
      <c r="C4695" s="32">
        <f>INDEX('Input Data'!$B:$B,A4695)/2+IF(A4695&lt;&gt;A4696,100,0)</f>
        <v>1.5</v>
      </c>
      <c r="D4695" s="33">
        <f>INDEX('ZCB Curve - Payment Dates'!$D$2:$D$246,MATCH(B4695,'ZCB Curve - Payment Dates'!$A$2:$A$246,0))</f>
        <v>0.57228983695479263</v>
      </c>
      <c r="E4695" s="32">
        <f t="shared" si="73"/>
        <v>0.85843475543218895</v>
      </c>
    </row>
    <row r="4696" spans="1:5" x14ac:dyDescent="0.25">
      <c r="A4696" s="17">
        <v>338</v>
      </c>
      <c r="B4696" s="31">
        <v>50632</v>
      </c>
      <c r="C4696" s="32">
        <f>INDEX('Input Data'!$B:$B,A4696)/2+IF(A4696&lt;&gt;A4697,100,0)</f>
        <v>1.5</v>
      </c>
      <c r="D4696" s="33">
        <f>INDEX('ZCB Curve - Payment Dates'!$D$2:$D$246,MATCH(B4696,'ZCB Curve - Payment Dates'!$A$2:$A$246,0))</f>
        <v>0.55617795699202288</v>
      </c>
      <c r="E4696" s="32">
        <f t="shared" si="73"/>
        <v>0.83426693548803432</v>
      </c>
    </row>
    <row r="4697" spans="1:5" x14ac:dyDescent="0.25">
      <c r="A4697" s="17">
        <v>338</v>
      </c>
      <c r="B4697" s="31">
        <v>50816</v>
      </c>
      <c r="C4697" s="32">
        <f>INDEX('Input Data'!$B:$B,A4697)/2+IF(A4697&lt;&gt;A4698,100,0)</f>
        <v>1.5</v>
      </c>
      <c r="D4697" s="33">
        <f>INDEX('ZCB Curve - Payment Dates'!$D$2:$D$246,MATCH(B4697,'ZCB Curve - Payment Dates'!$A$2:$A$246,0))</f>
        <v>0.54006240951211237</v>
      </c>
      <c r="E4697" s="32">
        <f t="shared" si="73"/>
        <v>0.8100936142681685</v>
      </c>
    </row>
    <row r="4698" spans="1:5" x14ac:dyDescent="0.25">
      <c r="A4698" s="17">
        <v>338</v>
      </c>
      <c r="B4698" s="31">
        <v>50997</v>
      </c>
      <c r="C4698" s="32">
        <f>INDEX('Input Data'!$B:$B,A4698)/2+IF(A4698&lt;&gt;A4699,100,0)</f>
        <v>1.5</v>
      </c>
      <c r="D4698" s="33">
        <f>INDEX('ZCB Curve - Payment Dates'!$D$2:$D$246,MATCH(B4698,'ZCB Curve - Payment Dates'!$A$2:$A$246,0))</f>
        <v>0.52449040173194583</v>
      </c>
      <c r="E4698" s="32">
        <f t="shared" si="73"/>
        <v>0.78673560259791875</v>
      </c>
    </row>
    <row r="4699" spans="1:5" x14ac:dyDescent="0.25">
      <c r="A4699" s="17">
        <v>338</v>
      </c>
      <c r="B4699" s="31">
        <v>51181</v>
      </c>
      <c r="C4699" s="32">
        <f>INDEX('Input Data'!$B:$B,A4699)/2+IF(A4699&lt;&gt;A4700,100,0)</f>
        <v>1.5</v>
      </c>
      <c r="D4699" s="33">
        <f>INDEX('ZCB Curve - Payment Dates'!$D$2:$D$246,MATCH(B4699,'ZCB Curve - Payment Dates'!$A$2:$A$246,0))</f>
        <v>0.5089691698468306</v>
      </c>
      <c r="E4699" s="32">
        <f t="shared" si="73"/>
        <v>0.76345375477024591</v>
      </c>
    </row>
    <row r="4700" spans="1:5" x14ac:dyDescent="0.25">
      <c r="A4700" s="17">
        <v>338</v>
      </c>
      <c r="B4700" s="31">
        <v>51363</v>
      </c>
      <c r="C4700" s="32">
        <f>INDEX('Input Data'!$B:$B,A4700)/2+IF(A4700&lt;&gt;A4701,100,0)</f>
        <v>1.5</v>
      </c>
      <c r="D4700" s="33">
        <f>INDEX('ZCB Curve - Payment Dates'!$D$2:$D$246,MATCH(B4700,'ZCB Curve - Payment Dates'!$A$2:$A$246,0))</f>
        <v>0.49394036022330806</v>
      </c>
      <c r="E4700" s="32">
        <f t="shared" si="73"/>
        <v>0.74091054033496206</v>
      </c>
    </row>
    <row r="4701" spans="1:5" x14ac:dyDescent="0.25">
      <c r="A4701" s="17">
        <v>338</v>
      </c>
      <c r="B4701" s="31">
        <v>51547</v>
      </c>
      <c r="C4701" s="32">
        <f>INDEX('Input Data'!$B:$B,A4701)/2+IF(A4701&lt;&gt;A4702,100,0)</f>
        <v>1.5</v>
      </c>
      <c r="D4701" s="33">
        <f>INDEX('ZCB Curve - Payment Dates'!$D$2:$D$246,MATCH(B4701,'ZCB Curve - Payment Dates'!$A$2:$A$246,0))</f>
        <v>0.47909718957588998</v>
      </c>
      <c r="E4701" s="32">
        <f t="shared" si="73"/>
        <v>0.71864578436383497</v>
      </c>
    </row>
    <row r="4702" spans="1:5" x14ac:dyDescent="0.25">
      <c r="A4702" s="17">
        <v>338</v>
      </c>
      <c r="B4702" s="31">
        <v>51728</v>
      </c>
      <c r="C4702" s="32">
        <f>INDEX('Input Data'!$B:$B,A4702)/2+IF(A4702&lt;&gt;A4703,100,0)</f>
        <v>1.5</v>
      </c>
      <c r="D4702" s="33">
        <f>INDEX('ZCB Curve - Payment Dates'!$D$2:$D$246,MATCH(B4702,'ZCB Curve - Payment Dates'!$A$2:$A$246,0))</f>
        <v>0.46485329459616059</v>
      </c>
      <c r="E4702" s="32">
        <f t="shared" si="73"/>
        <v>0.69727994189424092</v>
      </c>
    </row>
    <row r="4703" spans="1:5" x14ac:dyDescent="0.25">
      <c r="A4703" s="17">
        <v>338</v>
      </c>
      <c r="B4703" s="31">
        <v>51912</v>
      </c>
      <c r="C4703" s="32">
        <f>INDEX('Input Data'!$B:$B,A4703)/2+IF(A4703&lt;&gt;A4704,100,0)</f>
        <v>1.5</v>
      </c>
      <c r="D4703" s="33">
        <f>INDEX('ZCB Curve - Payment Dates'!$D$2:$D$246,MATCH(B4703,'ZCB Curve - Payment Dates'!$A$2:$A$246,0))</f>
        <v>0.45075168915212815</v>
      </c>
      <c r="E4703" s="32">
        <f t="shared" si="73"/>
        <v>0.67612753372819223</v>
      </c>
    </row>
    <row r="4704" spans="1:5" x14ac:dyDescent="0.25">
      <c r="A4704" s="17">
        <v>338</v>
      </c>
      <c r="B4704" s="31">
        <v>52093</v>
      </c>
      <c r="C4704" s="32">
        <f>INDEX('Input Data'!$B:$B,A4704)/2+IF(A4704&lt;&gt;A4705,100,0)</f>
        <v>1.5</v>
      </c>
      <c r="D4704" s="33">
        <f>INDEX('ZCB Curve - Payment Dates'!$D$2:$D$246,MATCH(B4704,'ZCB Curve - Payment Dates'!$A$2:$A$246,0))</f>
        <v>0.43726259018094221</v>
      </c>
      <c r="E4704" s="32">
        <f t="shared" si="73"/>
        <v>0.65589388527141335</v>
      </c>
    </row>
    <row r="4705" spans="1:5" x14ac:dyDescent="0.25">
      <c r="A4705" s="17">
        <v>338</v>
      </c>
      <c r="B4705" s="31">
        <v>52277</v>
      </c>
      <c r="C4705" s="32">
        <f>INDEX('Input Data'!$B:$B,A4705)/2+IF(A4705&lt;&gt;A4706,100,0)</f>
        <v>1.5</v>
      </c>
      <c r="D4705" s="33">
        <f>INDEX('ZCB Curve - Payment Dates'!$D$2:$D$246,MATCH(B4705,'ZCB Curve - Payment Dates'!$A$2:$A$246,0))</f>
        <v>0.4239492285351204</v>
      </c>
      <c r="E4705" s="32">
        <f t="shared" si="73"/>
        <v>0.63592384280268055</v>
      </c>
    </row>
    <row r="4706" spans="1:5" x14ac:dyDescent="0.25">
      <c r="A4706" s="17">
        <v>338</v>
      </c>
      <c r="B4706" s="31">
        <v>52458</v>
      </c>
      <c r="C4706" s="32">
        <f>INDEX('Input Data'!$B:$B,A4706)/2+IF(A4706&lt;&gt;A4707,100,0)</f>
        <v>1.5</v>
      </c>
      <c r="D4706" s="33">
        <f>INDEX('ZCB Curve - Payment Dates'!$D$2:$D$246,MATCH(B4706,'ZCB Curve - Payment Dates'!$A$2:$A$246,0))</f>
        <v>0.4112516019468152</v>
      </c>
      <c r="E4706" s="32">
        <f t="shared" si="73"/>
        <v>0.61687740292022286</v>
      </c>
    </row>
    <row r="4707" spans="1:5" x14ac:dyDescent="0.25">
      <c r="A4707" s="17">
        <v>338</v>
      </c>
      <c r="B4707" s="31">
        <v>52642</v>
      </c>
      <c r="C4707" s="32">
        <f>INDEX('Input Data'!$B:$B,A4707)/2+IF(A4707&lt;&gt;A4708,100,0)</f>
        <v>1.5</v>
      </c>
      <c r="D4707" s="33">
        <f>INDEX('ZCB Curve - Payment Dates'!$D$2:$D$246,MATCH(B4707,'ZCB Curve - Payment Dates'!$A$2:$A$246,0))</f>
        <v>0.39875459879352759</v>
      </c>
      <c r="E4707" s="32">
        <f t="shared" si="73"/>
        <v>0.59813189819029144</v>
      </c>
    </row>
    <row r="4708" spans="1:5" x14ac:dyDescent="0.25">
      <c r="A4708" s="17">
        <v>338</v>
      </c>
      <c r="B4708" s="31">
        <v>52824</v>
      </c>
      <c r="C4708" s="32">
        <f>INDEX('Input Data'!$B:$B,A4708)/2+IF(A4708&lt;&gt;A4709,100,0)</f>
        <v>1.5</v>
      </c>
      <c r="D4708" s="33">
        <f>INDEX('ZCB Curve - Payment Dates'!$D$2:$D$246,MATCH(B4708,'ZCB Curve - Payment Dates'!$A$2:$A$246,0))</f>
        <v>0.38680384560622083</v>
      </c>
      <c r="E4708" s="32">
        <f t="shared" si="73"/>
        <v>0.58020576840933125</v>
      </c>
    </row>
    <row r="4709" spans="1:5" x14ac:dyDescent="0.25">
      <c r="A4709" s="17">
        <v>338</v>
      </c>
      <c r="B4709" s="31">
        <v>53008</v>
      </c>
      <c r="C4709" s="32">
        <f>INDEX('Input Data'!$B:$B,A4709)/2+IF(A4709&lt;&gt;A4710,100,0)</f>
        <v>1.5</v>
      </c>
      <c r="D4709" s="33">
        <f>INDEX('ZCB Curve - Payment Dates'!$D$2:$D$246,MATCH(B4709,'ZCB Curve - Payment Dates'!$A$2:$A$246,0))</f>
        <v>0.37513648791915083</v>
      </c>
      <c r="E4709" s="32">
        <f t="shared" si="73"/>
        <v>0.56270473187872627</v>
      </c>
    </row>
    <row r="4710" spans="1:5" x14ac:dyDescent="0.25">
      <c r="A4710" s="17">
        <v>338</v>
      </c>
      <c r="B4710" s="31">
        <v>53189</v>
      </c>
      <c r="C4710" s="32">
        <f>INDEX('Input Data'!$B:$B,A4710)/2+IF(A4710&lt;&gt;A4711,100,0)</f>
        <v>1.5</v>
      </c>
      <c r="D4710" s="33">
        <f>INDEX('ZCB Curve - Payment Dates'!$D$2:$D$246,MATCH(B4710,'ZCB Curve - Payment Dates'!$A$2:$A$246,0))</f>
        <v>0.36406533257851953</v>
      </c>
      <c r="E4710" s="32">
        <f t="shared" si="73"/>
        <v>0.54609799886777932</v>
      </c>
    </row>
    <row r="4711" spans="1:5" x14ac:dyDescent="0.25">
      <c r="A4711" s="17">
        <v>338</v>
      </c>
      <c r="B4711" s="31">
        <v>53373</v>
      </c>
      <c r="C4711" s="32">
        <f>INDEX('Input Data'!$B:$B,A4711)/2+IF(A4711&lt;&gt;A4712,100,0)</f>
        <v>1.5</v>
      </c>
      <c r="D4711" s="33">
        <f>INDEX('ZCB Curve - Payment Dates'!$D$2:$D$246,MATCH(B4711,'ZCB Curve - Payment Dates'!$A$2:$A$246,0))</f>
        <v>0.35322166892031259</v>
      </c>
      <c r="E4711" s="32">
        <f t="shared" si="73"/>
        <v>0.52983250338046894</v>
      </c>
    </row>
    <row r="4712" spans="1:5" x14ac:dyDescent="0.25">
      <c r="A4712" s="17">
        <v>338</v>
      </c>
      <c r="B4712" s="31">
        <v>53554</v>
      </c>
      <c r="C4712" s="32">
        <f>INDEX('Input Data'!$B:$B,A4712)/2+IF(A4712&lt;&gt;A4713,100,0)</f>
        <v>1.5</v>
      </c>
      <c r="D4712" s="33">
        <f>INDEX('ZCB Curve - Payment Dates'!$D$2:$D$246,MATCH(B4712,'ZCB Curve - Payment Dates'!$A$2:$A$246,0))</f>
        <v>0.34295436226619208</v>
      </c>
      <c r="E4712" s="32">
        <f t="shared" si="73"/>
        <v>0.51443154339928809</v>
      </c>
    </row>
    <row r="4713" spans="1:5" x14ac:dyDescent="0.25">
      <c r="A4713" s="17">
        <v>338</v>
      </c>
      <c r="B4713" s="31">
        <v>53738</v>
      </c>
      <c r="C4713" s="32">
        <f>INDEX('Input Data'!$B:$B,A4713)/2+IF(A4713&lt;&gt;A4714,100,0)</f>
        <v>1.5</v>
      </c>
      <c r="D4713" s="33">
        <f>INDEX('ZCB Curve - Payment Dates'!$D$2:$D$246,MATCH(B4713,'ZCB Curve - Payment Dates'!$A$2:$A$246,0))</f>
        <v>0.33291860450360972</v>
      </c>
      <c r="E4713" s="32">
        <f t="shared" si="73"/>
        <v>0.4993779067554146</v>
      </c>
    </row>
    <row r="4714" spans="1:5" x14ac:dyDescent="0.25">
      <c r="A4714" s="17">
        <v>338</v>
      </c>
      <c r="B4714" s="31">
        <v>53919</v>
      </c>
      <c r="C4714" s="32">
        <f>INDEX('Input Data'!$B:$B,A4714)/2+IF(A4714&lt;&gt;A4715,100,0)</f>
        <v>1.5</v>
      </c>
      <c r="D4714" s="33">
        <f>INDEX('ZCB Curve - Payment Dates'!$D$2:$D$246,MATCH(B4714,'ZCB Curve - Payment Dates'!$A$2:$A$246,0))</f>
        <v>0.32343468195091313</v>
      </c>
      <c r="E4714" s="32">
        <f t="shared" si="73"/>
        <v>0.48515202292636972</v>
      </c>
    </row>
    <row r="4715" spans="1:5" x14ac:dyDescent="0.25">
      <c r="A4715" s="17">
        <v>338</v>
      </c>
      <c r="B4715" s="31">
        <v>54103</v>
      </c>
      <c r="C4715" s="32">
        <f>INDEX('Input Data'!$B:$B,A4715)/2+IF(A4715&lt;&gt;A4716,100,0)</f>
        <v>1.5</v>
      </c>
      <c r="D4715" s="33">
        <f>INDEX('ZCB Curve - Payment Dates'!$D$2:$D$246,MATCH(B4715,'ZCB Curve - Payment Dates'!$A$2:$A$246,0))</f>
        <v>0.31418167147949361</v>
      </c>
      <c r="E4715" s="32">
        <f t="shared" si="73"/>
        <v>0.47127250721924041</v>
      </c>
    </row>
    <row r="4716" spans="1:5" x14ac:dyDescent="0.25">
      <c r="A4716" s="17">
        <v>338</v>
      </c>
      <c r="B4716" s="31">
        <v>54285</v>
      </c>
      <c r="C4716" s="32">
        <f>INDEX('Input Data'!$B:$B,A4716)/2+IF(A4716&lt;&gt;A4717,100,0)</f>
        <v>1.5</v>
      </c>
      <c r="D4716" s="33">
        <f>INDEX('ZCB Curve - Payment Dates'!$D$2:$D$246,MATCH(B4716,'ZCB Curve - Payment Dates'!$A$2:$A$246,0))</f>
        <v>0.30540618878290843</v>
      </c>
      <c r="E4716" s="32">
        <f t="shared" si="73"/>
        <v>0.45810928317436261</v>
      </c>
    </row>
    <row r="4717" spans="1:5" x14ac:dyDescent="0.25">
      <c r="A4717" s="17">
        <v>338</v>
      </c>
      <c r="B4717" s="31">
        <v>54469</v>
      </c>
      <c r="C4717" s="32">
        <f>INDEX('Input Data'!$B:$B,A4717)/2+IF(A4717&lt;&gt;A4718,100,0)</f>
        <v>1.5</v>
      </c>
      <c r="D4717" s="33">
        <f>INDEX('ZCB Curve - Payment Dates'!$D$2:$D$246,MATCH(B4717,'ZCB Curve - Payment Dates'!$A$2:$A$246,0))</f>
        <v>0.29690423521941833</v>
      </c>
      <c r="E4717" s="32">
        <f t="shared" si="73"/>
        <v>0.4453563528291275</v>
      </c>
    </row>
    <row r="4718" spans="1:5" x14ac:dyDescent="0.25">
      <c r="A4718" s="17">
        <v>338</v>
      </c>
      <c r="B4718" s="31">
        <v>54650</v>
      </c>
      <c r="C4718" s="32">
        <f>INDEX('Input Data'!$B:$B,A4718)/2+IF(A4718&lt;&gt;A4719,100,0)</f>
        <v>1.5</v>
      </c>
      <c r="D4718" s="33">
        <f>INDEX('ZCB Curve - Payment Dates'!$D$2:$D$246,MATCH(B4718,'ZCB Curve - Payment Dates'!$A$2:$A$246,0))</f>
        <v>0.2888997564491238</v>
      </c>
      <c r="E4718" s="32">
        <f t="shared" si="73"/>
        <v>0.4333496346736857</v>
      </c>
    </row>
    <row r="4719" spans="1:5" x14ac:dyDescent="0.25">
      <c r="A4719" s="17">
        <v>338</v>
      </c>
      <c r="B4719" s="31">
        <v>54834</v>
      </c>
      <c r="C4719" s="32">
        <f>INDEX('Input Data'!$B:$B,A4719)/2+IF(A4719&lt;&gt;A4720,100,0)</f>
        <v>1.5</v>
      </c>
      <c r="D4719" s="33">
        <f>INDEX('ZCB Curve - Payment Dates'!$D$2:$D$246,MATCH(B4719,'ZCB Curve - Payment Dates'!$A$2:$A$246,0))</f>
        <v>0.28111189964037164</v>
      </c>
      <c r="E4719" s="32">
        <f t="shared" si="73"/>
        <v>0.42166784946055746</v>
      </c>
    </row>
    <row r="4720" spans="1:5" x14ac:dyDescent="0.25">
      <c r="A4720" s="17">
        <v>338</v>
      </c>
      <c r="B4720" s="31">
        <v>55015</v>
      </c>
      <c r="C4720" s="32">
        <f>INDEX('Input Data'!$B:$B,A4720)/2+IF(A4720&lt;&gt;A4721,100,0)</f>
        <v>1.5</v>
      </c>
      <c r="D4720" s="33">
        <f>INDEX('ZCB Curve - Payment Dates'!$D$2:$D$246,MATCH(B4720,'ZCB Curve - Payment Dates'!$A$2:$A$246,0))</f>
        <v>0.27379046078597996</v>
      </c>
      <c r="E4720" s="32">
        <f t="shared" si="73"/>
        <v>0.41068569117896991</v>
      </c>
    </row>
    <row r="4721" spans="1:5" x14ac:dyDescent="0.25">
      <c r="A4721" s="17">
        <v>338</v>
      </c>
      <c r="B4721" s="31">
        <v>55199</v>
      </c>
      <c r="C4721" s="32">
        <f>INDEX('Input Data'!$B:$B,A4721)/2+IF(A4721&lt;&gt;A4722,100,0)</f>
        <v>1.5</v>
      </c>
      <c r="D4721" s="33">
        <f>INDEX('ZCB Curve - Payment Dates'!$D$2:$D$246,MATCH(B4721,'ZCB Curve - Payment Dates'!$A$2:$A$246,0))</f>
        <v>0.26667724322397307</v>
      </c>
      <c r="E4721" s="32">
        <f t="shared" si="73"/>
        <v>0.40001586483595963</v>
      </c>
    </row>
    <row r="4722" spans="1:5" x14ac:dyDescent="0.25">
      <c r="A4722" s="17">
        <v>338</v>
      </c>
      <c r="B4722" s="31">
        <v>55380</v>
      </c>
      <c r="C4722" s="32">
        <f>INDEX('Input Data'!$B:$B,A4722)/2+IF(A4722&lt;&gt;A4723,100,0)</f>
        <v>1.5</v>
      </c>
      <c r="D4722" s="33">
        <f>INDEX('ZCB Curve - Payment Dates'!$D$2:$D$246,MATCH(B4722,'ZCB Curve - Payment Dates'!$A$2:$A$246,0))</f>
        <v>0.25999926234228898</v>
      </c>
      <c r="E4722" s="32">
        <f t="shared" si="73"/>
        <v>0.38999889351343348</v>
      </c>
    </row>
    <row r="4723" spans="1:5" x14ac:dyDescent="0.25">
      <c r="A4723" s="17">
        <v>338</v>
      </c>
      <c r="B4723" s="31">
        <v>55564</v>
      </c>
      <c r="C4723" s="32">
        <f>INDEX('Input Data'!$B:$B,A4723)/2+IF(A4723&lt;&gt;A4724,100,0)</f>
        <v>1.5</v>
      </c>
      <c r="D4723" s="33">
        <f>INDEX('ZCB Curve - Payment Dates'!$D$2:$D$246,MATCH(B4723,'ZCB Curve - Payment Dates'!$A$2:$A$246,0))</f>
        <v>0.25351997596294801</v>
      </c>
      <c r="E4723" s="32">
        <f t="shared" si="73"/>
        <v>0.38027996394442198</v>
      </c>
    </row>
    <row r="4724" spans="1:5" x14ac:dyDescent="0.25">
      <c r="A4724" s="17">
        <v>338</v>
      </c>
      <c r="B4724" s="31">
        <v>55746</v>
      </c>
      <c r="C4724" s="32">
        <f>INDEX('Input Data'!$B:$B,A4724)/2+IF(A4724&lt;&gt;A4725,100,0)</f>
        <v>101.5</v>
      </c>
      <c r="D4724" s="33">
        <f>INDEX('ZCB Curve - Payment Dates'!$D$2:$D$246,MATCH(B4724,'ZCB Curve - Payment Dates'!$A$2:$A$246,0))</f>
        <v>0.24741177833471262</v>
      </c>
      <c r="E4724" s="32">
        <f t="shared" si="73"/>
        <v>25.112295500973332</v>
      </c>
    </row>
    <row r="4725" spans="1:5" x14ac:dyDescent="0.25">
      <c r="A4725" s="17">
        <v>339</v>
      </c>
      <c r="B4725" s="31">
        <v>46341</v>
      </c>
      <c r="C4725" s="32">
        <f>INDEX('Input Data'!$B:$B,A4725)/2+IF(A4725&lt;&gt;A4726,100,0)</f>
        <v>2</v>
      </c>
      <c r="D4725" s="33">
        <f>INDEX('ZCB Curve - Payment Dates'!$D$2:$D$246,MATCH(B4725,'ZCB Curve - Payment Dates'!$A$2:$A$246,0))</f>
        <v>0.99245367292309439</v>
      </c>
      <c r="E4725" s="32">
        <f t="shared" si="73"/>
        <v>1.9849073458461888</v>
      </c>
    </row>
    <row r="4726" spans="1:5" x14ac:dyDescent="0.25">
      <c r="A4726" s="17">
        <v>339</v>
      </c>
      <c r="B4726" s="31">
        <v>46522</v>
      </c>
      <c r="C4726" s="32">
        <f>INDEX('Input Data'!$B:$B,A4726)/2+IF(A4726&lt;&gt;A4727,100,0)</f>
        <v>2</v>
      </c>
      <c r="D4726" s="33">
        <f>INDEX('ZCB Curve - Payment Dates'!$D$2:$D$246,MATCH(B4726,'ZCB Curve - Payment Dates'!$A$2:$A$246,0))</f>
        <v>0.97242179559611874</v>
      </c>
      <c r="E4726" s="32">
        <f t="shared" si="73"/>
        <v>1.9448435911922375</v>
      </c>
    </row>
    <row r="4727" spans="1:5" x14ac:dyDescent="0.25">
      <c r="A4727" s="17">
        <v>339</v>
      </c>
      <c r="B4727" s="31">
        <v>46706</v>
      </c>
      <c r="C4727" s="32">
        <f>INDEX('Input Data'!$B:$B,A4727)/2+IF(A4727&lt;&gt;A4728,100,0)</f>
        <v>2</v>
      </c>
      <c r="D4727" s="33">
        <f>INDEX('ZCB Curve - Payment Dates'!$D$2:$D$246,MATCH(B4727,'ZCB Curve - Payment Dates'!$A$2:$A$246,0))</f>
        <v>0.95121018311627348</v>
      </c>
      <c r="E4727" s="32">
        <f t="shared" si="73"/>
        <v>1.902420366232547</v>
      </c>
    </row>
    <row r="4728" spans="1:5" x14ac:dyDescent="0.25">
      <c r="A4728" s="17">
        <v>339</v>
      </c>
      <c r="B4728" s="31">
        <v>46888</v>
      </c>
      <c r="C4728" s="32">
        <f>INDEX('Input Data'!$B:$B,A4728)/2+IF(A4728&lt;&gt;A4729,100,0)</f>
        <v>2</v>
      </c>
      <c r="D4728" s="33">
        <f>INDEX('ZCB Curve - Payment Dates'!$D$2:$D$246,MATCH(B4728,'ZCB Curve - Payment Dates'!$A$2:$A$246,0))</f>
        <v>0.93000025435083566</v>
      </c>
      <c r="E4728" s="32">
        <f t="shared" si="73"/>
        <v>1.8600005087016713</v>
      </c>
    </row>
    <row r="4729" spans="1:5" x14ac:dyDescent="0.25">
      <c r="A4729" s="17">
        <v>339</v>
      </c>
      <c r="B4729" s="31">
        <v>47072</v>
      </c>
      <c r="C4729" s="32">
        <f>INDEX('Input Data'!$B:$B,A4729)/2+IF(A4729&lt;&gt;A4730,100,0)</f>
        <v>2</v>
      </c>
      <c r="D4729" s="33">
        <f>INDEX('ZCB Curve - Payment Dates'!$D$2:$D$246,MATCH(B4729,'ZCB Curve - Payment Dates'!$A$2:$A$246,0))</f>
        <v>0.90870125167038918</v>
      </c>
      <c r="E4729" s="32">
        <f t="shared" si="73"/>
        <v>1.8174025033407784</v>
      </c>
    </row>
    <row r="4730" spans="1:5" x14ac:dyDescent="0.25">
      <c r="A4730" s="17">
        <v>339</v>
      </c>
      <c r="B4730" s="31">
        <v>47253</v>
      </c>
      <c r="C4730" s="32">
        <f>INDEX('Input Data'!$B:$B,A4730)/2+IF(A4730&lt;&gt;A4731,100,0)</f>
        <v>2</v>
      </c>
      <c r="D4730" s="33">
        <f>INDEX('ZCB Curve - Payment Dates'!$D$2:$D$246,MATCH(B4730,'ZCB Curve - Payment Dates'!$A$2:$A$246,0))</f>
        <v>0.88809325063638844</v>
      </c>
      <c r="E4730" s="32">
        <f t="shared" si="73"/>
        <v>1.7761865012727769</v>
      </c>
    </row>
    <row r="4731" spans="1:5" x14ac:dyDescent="0.25">
      <c r="A4731" s="17">
        <v>339</v>
      </c>
      <c r="B4731" s="31">
        <v>47437</v>
      </c>
      <c r="C4731" s="32">
        <f>INDEX('Input Data'!$B:$B,A4731)/2+IF(A4731&lt;&gt;A4732,100,0)</f>
        <v>2</v>
      </c>
      <c r="D4731" s="33">
        <f>INDEX('ZCB Curve - Payment Dates'!$D$2:$D$246,MATCH(B4731,'ZCB Curve - Payment Dates'!$A$2:$A$246,0))</f>
        <v>0.86758824089536279</v>
      </c>
      <c r="E4731" s="32">
        <f t="shared" si="73"/>
        <v>1.7351764817907256</v>
      </c>
    </row>
    <row r="4732" spans="1:5" x14ac:dyDescent="0.25">
      <c r="A4732" s="17">
        <v>339</v>
      </c>
      <c r="B4732" s="31">
        <v>47618</v>
      </c>
      <c r="C4732" s="32">
        <f>INDEX('Input Data'!$B:$B,A4732)/2+IF(A4732&lt;&gt;A4733,100,0)</f>
        <v>2</v>
      </c>
      <c r="D4732" s="33">
        <f>INDEX('ZCB Curve - Payment Dates'!$D$2:$D$246,MATCH(B4732,'ZCB Curve - Payment Dates'!$A$2:$A$246,0))</f>
        <v>0.84787416911783064</v>
      </c>
      <c r="E4732" s="32">
        <f t="shared" si="73"/>
        <v>1.6957483382356613</v>
      </c>
    </row>
    <row r="4733" spans="1:5" x14ac:dyDescent="0.25">
      <c r="A4733" s="17">
        <v>339</v>
      </c>
      <c r="B4733" s="31">
        <v>47802</v>
      </c>
      <c r="C4733" s="32">
        <f>INDEX('Input Data'!$B:$B,A4733)/2+IF(A4733&lt;&gt;A4734,100,0)</f>
        <v>2</v>
      </c>
      <c r="D4733" s="33">
        <f>INDEX('ZCB Curve - Payment Dates'!$D$2:$D$246,MATCH(B4733,'ZCB Curve - Payment Dates'!$A$2:$A$246,0))</f>
        <v>0.82827715028796722</v>
      </c>
      <c r="E4733" s="32">
        <f t="shared" si="73"/>
        <v>1.6565543005759344</v>
      </c>
    </row>
    <row r="4734" spans="1:5" x14ac:dyDescent="0.25">
      <c r="A4734" s="17">
        <v>339</v>
      </c>
      <c r="B4734" s="31">
        <v>47983</v>
      </c>
      <c r="C4734" s="32">
        <f>INDEX('Input Data'!$B:$B,A4734)/2+IF(A4734&lt;&gt;A4735,100,0)</f>
        <v>2</v>
      </c>
      <c r="D4734" s="33">
        <f>INDEX('ZCB Curve - Payment Dates'!$D$2:$D$246,MATCH(B4734,'ZCB Curve - Payment Dates'!$A$2:$A$246,0))</f>
        <v>0.80939067484273564</v>
      </c>
      <c r="E4734" s="32">
        <f t="shared" si="73"/>
        <v>1.6187813496854713</v>
      </c>
    </row>
    <row r="4735" spans="1:5" x14ac:dyDescent="0.25">
      <c r="A4735" s="17">
        <v>339</v>
      </c>
      <c r="B4735" s="31">
        <v>48167</v>
      </c>
      <c r="C4735" s="32">
        <f>INDEX('Input Data'!$B:$B,A4735)/2+IF(A4735&lt;&gt;A4736,100,0)</f>
        <v>2</v>
      </c>
      <c r="D4735" s="33">
        <f>INDEX('ZCB Curve - Payment Dates'!$D$2:$D$246,MATCH(B4735,'ZCB Curve - Payment Dates'!$A$2:$A$246,0))</f>
        <v>0.79053567842581962</v>
      </c>
      <c r="E4735" s="32">
        <f t="shared" si="73"/>
        <v>1.5810713568516392</v>
      </c>
    </row>
    <row r="4736" spans="1:5" x14ac:dyDescent="0.25">
      <c r="A4736" s="17">
        <v>339</v>
      </c>
      <c r="B4736" s="31">
        <v>48349</v>
      </c>
      <c r="C4736" s="32">
        <f>INDEX('Input Data'!$B:$B,A4736)/2+IF(A4736&lt;&gt;A4737,100,0)</f>
        <v>2</v>
      </c>
      <c r="D4736" s="33">
        <f>INDEX('ZCB Curve - Payment Dates'!$D$2:$D$246,MATCH(B4736,'ZCB Curve - Payment Dates'!$A$2:$A$246,0))</f>
        <v>0.77217305702007488</v>
      </c>
      <c r="E4736" s="32">
        <f t="shared" si="73"/>
        <v>1.5443461140401498</v>
      </c>
    </row>
    <row r="4737" spans="1:5" x14ac:dyDescent="0.25">
      <c r="A4737" s="17">
        <v>339</v>
      </c>
      <c r="B4737" s="31">
        <v>48533</v>
      </c>
      <c r="C4737" s="32">
        <f>INDEX('Input Data'!$B:$B,A4737)/2+IF(A4737&lt;&gt;A4738,100,0)</f>
        <v>2</v>
      </c>
      <c r="D4737" s="33">
        <f>INDEX('ZCB Curve - Payment Dates'!$D$2:$D$246,MATCH(B4737,'ZCB Curve - Payment Dates'!$A$2:$A$246,0))</f>
        <v>0.75384766072076514</v>
      </c>
      <c r="E4737" s="32">
        <f t="shared" si="73"/>
        <v>1.5076953214415303</v>
      </c>
    </row>
    <row r="4738" spans="1:5" x14ac:dyDescent="0.25">
      <c r="A4738" s="17">
        <v>339</v>
      </c>
      <c r="B4738" s="31">
        <v>48714</v>
      </c>
      <c r="C4738" s="32">
        <f>INDEX('Input Data'!$B:$B,A4738)/2+IF(A4738&lt;&gt;A4739,100,0)</f>
        <v>2</v>
      </c>
      <c r="D4738" s="33">
        <f>INDEX('ZCB Curve - Payment Dates'!$D$2:$D$246,MATCH(B4738,'ZCB Curve - Payment Dates'!$A$2:$A$246,0))</f>
        <v>0.73601491848746747</v>
      </c>
      <c r="E4738" s="32">
        <f t="shared" ref="E4738:E4801" si="74">C4738*D4738</f>
        <v>1.4720298369749349</v>
      </c>
    </row>
    <row r="4739" spans="1:5" x14ac:dyDescent="0.25">
      <c r="A4739" s="17">
        <v>339</v>
      </c>
      <c r="B4739" s="31">
        <v>48898</v>
      </c>
      <c r="C4739" s="32">
        <f>INDEX('Input Data'!$B:$B,A4739)/2+IF(A4739&lt;&gt;A4740,100,0)</f>
        <v>2</v>
      </c>
      <c r="D4739" s="33">
        <f>INDEX('ZCB Curve - Payment Dates'!$D$2:$D$246,MATCH(B4739,'ZCB Curve - Payment Dates'!$A$2:$A$246,0))</f>
        <v>0.71805338140354003</v>
      </c>
      <c r="E4739" s="32">
        <f t="shared" si="74"/>
        <v>1.4361067628070801</v>
      </c>
    </row>
    <row r="4740" spans="1:5" x14ac:dyDescent="0.25">
      <c r="A4740" s="17">
        <v>339</v>
      </c>
      <c r="B4740" s="31">
        <v>49079</v>
      </c>
      <c r="C4740" s="32">
        <f>INDEX('Input Data'!$B:$B,A4740)/2+IF(A4740&lt;&gt;A4741,100,0)</f>
        <v>2</v>
      </c>
      <c r="D4740" s="33">
        <f>INDEX('ZCB Curve - Payment Dates'!$D$2:$D$246,MATCH(B4740,'ZCB Curve - Payment Dates'!$A$2:$A$246,0))</f>
        <v>0.70052630492471468</v>
      </c>
      <c r="E4740" s="32">
        <f t="shared" si="74"/>
        <v>1.4010526098494294</v>
      </c>
    </row>
    <row r="4741" spans="1:5" x14ac:dyDescent="0.25">
      <c r="A4741" s="17">
        <v>339</v>
      </c>
      <c r="B4741" s="31">
        <v>49263</v>
      </c>
      <c r="C4741" s="32">
        <f>INDEX('Input Data'!$B:$B,A4741)/2+IF(A4741&lt;&gt;A4742,100,0)</f>
        <v>2</v>
      </c>
      <c r="D4741" s="33">
        <f>INDEX('ZCB Curve - Payment Dates'!$D$2:$D$246,MATCH(B4741,'ZCB Curve - Payment Dates'!$A$2:$A$246,0))</f>
        <v>0.68284221202539863</v>
      </c>
      <c r="E4741" s="32">
        <f t="shared" si="74"/>
        <v>1.3656844240507973</v>
      </c>
    </row>
    <row r="4742" spans="1:5" x14ac:dyDescent="0.25">
      <c r="A4742" s="17">
        <v>339</v>
      </c>
      <c r="B4742" s="31">
        <v>49444</v>
      </c>
      <c r="C4742" s="32">
        <f>INDEX('Input Data'!$B:$B,A4742)/2+IF(A4742&lt;&gt;A4743,100,0)</f>
        <v>2</v>
      </c>
      <c r="D4742" s="33">
        <f>INDEX('ZCB Curve - Payment Dates'!$D$2:$D$246,MATCH(B4742,'ZCB Curve - Payment Dates'!$A$2:$A$246,0))</f>
        <v>0.66557347415228496</v>
      </c>
      <c r="E4742" s="32">
        <f t="shared" si="74"/>
        <v>1.3311469483045699</v>
      </c>
    </row>
    <row r="4743" spans="1:5" x14ac:dyDescent="0.25">
      <c r="A4743" s="17">
        <v>339</v>
      </c>
      <c r="B4743" s="31">
        <v>49628</v>
      </c>
      <c r="C4743" s="32">
        <f>INDEX('Input Data'!$B:$B,A4743)/2+IF(A4743&lt;&gt;A4744,100,0)</f>
        <v>2</v>
      </c>
      <c r="D4743" s="33">
        <f>INDEX('ZCB Curve - Payment Dates'!$D$2:$D$246,MATCH(B4743,'ZCB Curve - Payment Dates'!$A$2:$A$246,0))</f>
        <v>0.64815361918127823</v>
      </c>
      <c r="E4743" s="32">
        <f t="shared" si="74"/>
        <v>1.2963072383625565</v>
      </c>
    </row>
    <row r="4744" spans="1:5" x14ac:dyDescent="0.25">
      <c r="A4744" s="17">
        <v>339</v>
      </c>
      <c r="B4744" s="31">
        <v>49810</v>
      </c>
      <c r="C4744" s="32">
        <f>INDEX('Input Data'!$B:$B,A4744)/2+IF(A4744&lt;&gt;A4745,100,0)</f>
        <v>2</v>
      </c>
      <c r="D4744" s="33">
        <f>INDEX('ZCB Curve - Payment Dates'!$D$2:$D$246,MATCH(B4744,'ZCB Curve - Payment Dates'!$A$2:$A$246,0))</f>
        <v>0.63106457078577471</v>
      </c>
      <c r="E4744" s="32">
        <f t="shared" si="74"/>
        <v>1.2621291415715494</v>
      </c>
    </row>
    <row r="4745" spans="1:5" x14ac:dyDescent="0.25">
      <c r="A4745" s="17">
        <v>339</v>
      </c>
      <c r="B4745" s="31">
        <v>49994</v>
      </c>
      <c r="C4745" s="32">
        <f>INDEX('Input Data'!$B:$B,A4745)/2+IF(A4745&lt;&gt;A4746,100,0)</f>
        <v>2</v>
      </c>
      <c r="D4745" s="33">
        <f>INDEX('ZCB Curve - Payment Dates'!$D$2:$D$246,MATCH(B4745,'ZCB Curve - Payment Dates'!$A$2:$A$246,0))</f>
        <v>0.61395227923184648</v>
      </c>
      <c r="E4745" s="32">
        <f t="shared" si="74"/>
        <v>1.227904558463693</v>
      </c>
    </row>
    <row r="4746" spans="1:5" x14ac:dyDescent="0.25">
      <c r="A4746" s="17">
        <v>339</v>
      </c>
      <c r="B4746" s="31">
        <v>50175</v>
      </c>
      <c r="C4746" s="32">
        <f>INDEX('Input Data'!$B:$B,A4746)/2+IF(A4746&lt;&gt;A4747,100,0)</f>
        <v>2</v>
      </c>
      <c r="D4746" s="33">
        <f>INDEX('ZCB Curve - Payment Dates'!$D$2:$D$246,MATCH(B4746,'ZCB Curve - Payment Dates'!$A$2:$A$246,0))</f>
        <v>0.5972963482314616</v>
      </c>
      <c r="E4746" s="32">
        <f t="shared" si="74"/>
        <v>1.1945926964629232</v>
      </c>
    </row>
    <row r="4747" spans="1:5" x14ac:dyDescent="0.25">
      <c r="A4747" s="17">
        <v>339</v>
      </c>
      <c r="B4747" s="31">
        <v>50359</v>
      </c>
      <c r="C4747" s="32">
        <f>INDEX('Input Data'!$B:$B,A4747)/2+IF(A4747&lt;&gt;A4748,100,0)</f>
        <v>2</v>
      </c>
      <c r="D4747" s="33">
        <f>INDEX('ZCB Curve - Payment Dates'!$D$2:$D$246,MATCH(B4747,'ZCB Curve - Payment Dates'!$A$2:$A$246,0))</f>
        <v>0.58056812006155756</v>
      </c>
      <c r="E4747" s="32">
        <f t="shared" si="74"/>
        <v>1.1611362401231151</v>
      </c>
    </row>
    <row r="4748" spans="1:5" x14ac:dyDescent="0.25">
      <c r="A4748" s="17">
        <v>339</v>
      </c>
      <c r="B4748" s="31">
        <v>50540</v>
      </c>
      <c r="C4748" s="32">
        <f>INDEX('Input Data'!$B:$B,A4748)/2+IF(A4748&lt;&gt;A4749,100,0)</f>
        <v>2</v>
      </c>
      <c r="D4748" s="33">
        <f>INDEX('ZCB Curve - Payment Dates'!$D$2:$D$246,MATCH(B4748,'ZCB Curve - Payment Dates'!$A$2:$A$246,0))</f>
        <v>0.56433491315969797</v>
      </c>
      <c r="E4748" s="32">
        <f t="shared" si="74"/>
        <v>1.1286698263193959</v>
      </c>
    </row>
    <row r="4749" spans="1:5" x14ac:dyDescent="0.25">
      <c r="A4749" s="17">
        <v>339</v>
      </c>
      <c r="B4749" s="31">
        <v>50724</v>
      </c>
      <c r="C4749" s="32">
        <f>INDEX('Input Data'!$B:$B,A4749)/2+IF(A4749&lt;&gt;A4750,100,0)</f>
        <v>2</v>
      </c>
      <c r="D4749" s="33">
        <f>INDEX('ZCB Curve - Payment Dates'!$D$2:$D$246,MATCH(B4749,'ZCB Curve - Payment Dates'!$A$2:$A$246,0))</f>
        <v>0.54808398139057424</v>
      </c>
      <c r="E4749" s="32">
        <f t="shared" si="74"/>
        <v>1.0961679627811485</v>
      </c>
    </row>
    <row r="4750" spans="1:5" x14ac:dyDescent="0.25">
      <c r="A4750" s="17">
        <v>339</v>
      </c>
      <c r="B4750" s="31">
        <v>50905</v>
      </c>
      <c r="C4750" s="32">
        <f>INDEX('Input Data'!$B:$B,A4750)/2+IF(A4750&lt;&gt;A4751,100,0)</f>
        <v>2</v>
      </c>
      <c r="D4750" s="33">
        <f>INDEX('ZCB Curve - Payment Dates'!$D$2:$D$246,MATCH(B4750,'ZCB Curve - Payment Dates'!$A$2:$A$246,0))</f>
        <v>0.5323673246083096</v>
      </c>
      <c r="E4750" s="32">
        <f t="shared" si="74"/>
        <v>1.0647346492166192</v>
      </c>
    </row>
    <row r="4751" spans="1:5" x14ac:dyDescent="0.25">
      <c r="A4751" s="17">
        <v>339</v>
      </c>
      <c r="B4751" s="31">
        <v>51089</v>
      </c>
      <c r="C4751" s="32">
        <f>INDEX('Input Data'!$B:$B,A4751)/2+IF(A4751&lt;&gt;A4752,100,0)</f>
        <v>2</v>
      </c>
      <c r="D4751" s="33">
        <f>INDEX('ZCB Curve - Payment Dates'!$D$2:$D$246,MATCH(B4751,'ZCB Curve - Payment Dates'!$A$2:$A$246,0))</f>
        <v>0.51668806431098135</v>
      </c>
      <c r="E4751" s="32">
        <f t="shared" si="74"/>
        <v>1.0333761286219627</v>
      </c>
    </row>
    <row r="4752" spans="1:5" x14ac:dyDescent="0.25">
      <c r="A4752" s="17">
        <v>339</v>
      </c>
      <c r="B4752" s="31">
        <v>51271</v>
      </c>
      <c r="C4752" s="32">
        <f>INDEX('Input Data'!$B:$B,A4752)/2+IF(A4752&lt;&gt;A4753,100,0)</f>
        <v>2</v>
      </c>
      <c r="D4752" s="33">
        <f>INDEX('ZCB Curve - Payment Dates'!$D$2:$D$246,MATCH(B4752,'ZCB Curve - Payment Dates'!$A$2:$A$246,0))</f>
        <v>0.50149590020417278</v>
      </c>
      <c r="E4752" s="32">
        <f t="shared" si="74"/>
        <v>1.0029918004083456</v>
      </c>
    </row>
    <row r="4753" spans="1:5" x14ac:dyDescent="0.25">
      <c r="A4753" s="17">
        <v>339</v>
      </c>
      <c r="B4753" s="31">
        <v>51455</v>
      </c>
      <c r="C4753" s="32">
        <f>INDEX('Input Data'!$B:$B,A4753)/2+IF(A4753&lt;&gt;A4754,100,0)</f>
        <v>2</v>
      </c>
      <c r="D4753" s="33">
        <f>INDEX('ZCB Curve - Payment Dates'!$D$2:$D$246,MATCH(B4753,'ZCB Curve - Payment Dates'!$A$2:$A$246,0))</f>
        <v>0.48647538074270091</v>
      </c>
      <c r="E4753" s="32">
        <f t="shared" si="74"/>
        <v>0.97295076148540183</v>
      </c>
    </row>
    <row r="4754" spans="1:5" x14ac:dyDescent="0.25">
      <c r="A4754" s="17">
        <v>339</v>
      </c>
      <c r="B4754" s="31">
        <v>51636</v>
      </c>
      <c r="C4754" s="32">
        <f>INDEX('Input Data'!$B:$B,A4754)/2+IF(A4754&lt;&gt;A4755,100,0)</f>
        <v>2</v>
      </c>
      <c r="D4754" s="33">
        <f>INDEX('ZCB Curve - Payment Dates'!$D$2:$D$246,MATCH(B4754,'ZCB Curve - Payment Dates'!$A$2:$A$246,0))</f>
        <v>0.47204918703719451</v>
      </c>
      <c r="E4754" s="32">
        <f t="shared" si="74"/>
        <v>0.94409837407438901</v>
      </c>
    </row>
    <row r="4755" spans="1:5" x14ac:dyDescent="0.25">
      <c r="A4755" s="17">
        <v>339</v>
      </c>
      <c r="B4755" s="31">
        <v>51820</v>
      </c>
      <c r="C4755" s="32">
        <f>INDEX('Input Data'!$B:$B,A4755)/2+IF(A4755&lt;&gt;A4756,100,0)</f>
        <v>2</v>
      </c>
      <c r="D4755" s="33">
        <f>INDEX('ZCB Curve - Payment Dates'!$D$2:$D$246,MATCH(B4755,'ZCB Curve - Payment Dates'!$A$2:$A$246,0))</f>
        <v>0.45775548669345245</v>
      </c>
      <c r="E4755" s="32">
        <f t="shared" si="74"/>
        <v>0.9155109733869049</v>
      </c>
    </row>
    <row r="4756" spans="1:5" x14ac:dyDescent="0.25">
      <c r="A4756" s="17">
        <v>339</v>
      </c>
      <c r="B4756" s="31">
        <v>52001</v>
      </c>
      <c r="C4756" s="32">
        <f>INDEX('Input Data'!$B:$B,A4756)/2+IF(A4756&lt;&gt;A4757,100,0)</f>
        <v>2</v>
      </c>
      <c r="D4756" s="33">
        <f>INDEX('ZCB Curve - Payment Dates'!$D$2:$D$246,MATCH(B4756,'ZCB Curve - Payment Dates'!$A$2:$A$246,0))</f>
        <v>0.44407192118484318</v>
      </c>
      <c r="E4756" s="32">
        <f t="shared" si="74"/>
        <v>0.88814384236968635</v>
      </c>
    </row>
    <row r="4757" spans="1:5" x14ac:dyDescent="0.25">
      <c r="A4757" s="17">
        <v>339</v>
      </c>
      <c r="B4757" s="31">
        <v>52185</v>
      </c>
      <c r="C4757" s="32">
        <f>INDEX('Input Data'!$B:$B,A4757)/2+IF(A4757&lt;&gt;A4758,100,0)</f>
        <v>2</v>
      </c>
      <c r="D4757" s="33">
        <f>INDEX('ZCB Curve - Payment Dates'!$D$2:$D$246,MATCH(B4757,'ZCB Curve - Payment Dates'!$A$2:$A$246,0))</f>
        <v>0.43055647946672393</v>
      </c>
      <c r="E4757" s="32">
        <f t="shared" si="74"/>
        <v>0.86111295893344786</v>
      </c>
    </row>
    <row r="4758" spans="1:5" x14ac:dyDescent="0.25">
      <c r="A4758" s="17">
        <v>339</v>
      </c>
      <c r="B4758" s="31">
        <v>52366</v>
      </c>
      <c r="C4758" s="32">
        <f>INDEX('Input Data'!$B:$B,A4758)/2+IF(A4758&lt;&gt;A4759,100,0)</f>
        <v>2</v>
      </c>
      <c r="D4758" s="33">
        <f>INDEX('ZCB Curve - Payment Dates'!$D$2:$D$246,MATCH(B4758,'ZCB Curve - Payment Dates'!$A$2:$A$246,0))</f>
        <v>0.41765686229470528</v>
      </c>
      <c r="E4758" s="32">
        <f t="shared" si="74"/>
        <v>0.83531372458941056</v>
      </c>
    </row>
    <row r="4759" spans="1:5" x14ac:dyDescent="0.25">
      <c r="A4759" s="17">
        <v>339</v>
      </c>
      <c r="B4759" s="31">
        <v>52550</v>
      </c>
      <c r="C4759" s="32">
        <f>INDEX('Input Data'!$B:$B,A4759)/2+IF(A4759&lt;&gt;A4760,100,0)</f>
        <v>2</v>
      </c>
      <c r="D4759" s="33">
        <f>INDEX('ZCB Curve - Payment Dates'!$D$2:$D$246,MATCH(B4759,'ZCB Curve - Payment Dates'!$A$2:$A$246,0))</f>
        <v>0.40495237741553414</v>
      </c>
      <c r="E4759" s="32">
        <f t="shared" si="74"/>
        <v>0.80990475483106827</v>
      </c>
    </row>
    <row r="4760" spans="1:5" x14ac:dyDescent="0.25">
      <c r="A4760" s="17">
        <v>339</v>
      </c>
      <c r="B4760" s="31">
        <v>52732</v>
      </c>
      <c r="C4760" s="32">
        <f>INDEX('Input Data'!$B:$B,A4760)/2+IF(A4760&lt;&gt;A4761,100,0)</f>
        <v>2</v>
      </c>
      <c r="D4760" s="33">
        <f>INDEX('ZCB Curve - Payment Dates'!$D$2:$D$246,MATCH(B4760,'ZCB Curve - Payment Dates'!$A$2:$A$246,0))</f>
        <v>0.3927952920896523</v>
      </c>
      <c r="E4760" s="32">
        <f t="shared" si="74"/>
        <v>0.78559058417930461</v>
      </c>
    </row>
    <row r="4761" spans="1:5" x14ac:dyDescent="0.25">
      <c r="A4761" s="17">
        <v>339</v>
      </c>
      <c r="B4761" s="31">
        <v>52916</v>
      </c>
      <c r="C4761" s="32">
        <f>INDEX('Input Data'!$B:$B,A4761)/2+IF(A4761&lt;&gt;A4762,100,0)</f>
        <v>2</v>
      </c>
      <c r="D4761" s="33">
        <f>INDEX('ZCB Curve - Payment Dates'!$D$2:$D$246,MATCH(B4761,'ZCB Curve - Payment Dates'!$A$2:$A$246,0))</f>
        <v>0.38091684361752687</v>
      </c>
      <c r="E4761" s="32">
        <f t="shared" si="74"/>
        <v>0.76183368723505374</v>
      </c>
    </row>
    <row r="4762" spans="1:5" x14ac:dyDescent="0.25">
      <c r="A4762" s="17">
        <v>339</v>
      </c>
      <c r="B4762" s="31">
        <v>53097</v>
      </c>
      <c r="C4762" s="32">
        <f>INDEX('Input Data'!$B:$B,A4762)/2+IF(A4762&lt;&gt;A4763,100,0)</f>
        <v>2</v>
      </c>
      <c r="D4762" s="33">
        <f>INDEX('ZCB Curve - Payment Dates'!$D$2:$D$246,MATCH(B4762,'ZCB Curve - Payment Dates'!$A$2:$A$246,0))</f>
        <v>0.36964331092783359</v>
      </c>
      <c r="E4762" s="32">
        <f t="shared" si="74"/>
        <v>0.73928662185566718</v>
      </c>
    </row>
    <row r="4763" spans="1:5" x14ac:dyDescent="0.25">
      <c r="A4763" s="17">
        <v>339</v>
      </c>
      <c r="B4763" s="31">
        <v>53281</v>
      </c>
      <c r="C4763" s="32">
        <f>INDEX('Input Data'!$B:$B,A4763)/2+IF(A4763&lt;&gt;A4764,100,0)</f>
        <v>2</v>
      </c>
      <c r="D4763" s="33">
        <f>INDEX('ZCB Curve - Payment Dates'!$D$2:$D$246,MATCH(B4763,'ZCB Curve - Payment Dates'!$A$2:$A$246,0))</f>
        <v>0.35859090372935404</v>
      </c>
      <c r="E4763" s="32">
        <f t="shared" si="74"/>
        <v>0.71718180745870808</v>
      </c>
    </row>
    <row r="4764" spans="1:5" x14ac:dyDescent="0.25">
      <c r="A4764" s="17">
        <v>339</v>
      </c>
      <c r="B4764" s="31">
        <v>53462</v>
      </c>
      <c r="C4764" s="32">
        <f>INDEX('Input Data'!$B:$B,A4764)/2+IF(A4764&lt;&gt;A4765,100,0)</f>
        <v>2</v>
      </c>
      <c r="D4764" s="33">
        <f>INDEX('ZCB Curve - Payment Dates'!$D$2:$D$246,MATCH(B4764,'ZCB Curve - Payment Dates'!$A$2:$A$246,0))</f>
        <v>0.34812465854380154</v>
      </c>
      <c r="E4764" s="32">
        <f t="shared" si="74"/>
        <v>0.69624931708760307</v>
      </c>
    </row>
    <row r="4765" spans="1:5" x14ac:dyDescent="0.25">
      <c r="A4765" s="17">
        <v>339</v>
      </c>
      <c r="B4765" s="31">
        <v>53646</v>
      </c>
      <c r="C4765" s="32">
        <f>INDEX('Input Data'!$B:$B,A4765)/2+IF(A4765&lt;&gt;A4766,100,0)</f>
        <v>2</v>
      </c>
      <c r="D4765" s="33">
        <f>INDEX('ZCB Curve - Payment Dates'!$D$2:$D$246,MATCH(B4765,'ZCB Curve - Payment Dates'!$A$2:$A$246,0))</f>
        <v>0.33788528510382887</v>
      </c>
      <c r="E4765" s="32">
        <f t="shared" si="74"/>
        <v>0.67577057020765774</v>
      </c>
    </row>
    <row r="4766" spans="1:5" x14ac:dyDescent="0.25">
      <c r="A4766" s="17">
        <v>339</v>
      </c>
      <c r="B4766" s="31">
        <v>53827</v>
      </c>
      <c r="C4766" s="32">
        <f>INDEX('Input Data'!$B:$B,A4766)/2+IF(A4766&lt;&gt;A4767,100,0)</f>
        <v>2</v>
      </c>
      <c r="D4766" s="33">
        <f>INDEX('ZCB Curve - Payment Dates'!$D$2:$D$246,MATCH(B4766,'ZCB Curve - Payment Dates'!$A$2:$A$246,0))</f>
        <v>0.32820827061914198</v>
      </c>
      <c r="E4766" s="32">
        <f t="shared" si="74"/>
        <v>0.65641654123828397</v>
      </c>
    </row>
    <row r="4767" spans="1:5" x14ac:dyDescent="0.25">
      <c r="A4767" s="17">
        <v>339</v>
      </c>
      <c r="B4767" s="31">
        <v>54011</v>
      </c>
      <c r="C4767" s="32">
        <f>INDEX('Input Data'!$B:$B,A4767)/2+IF(A4767&lt;&gt;A4768,100,0)</f>
        <v>2</v>
      </c>
      <c r="D4767" s="33">
        <f>INDEX('ZCB Curve - Payment Dates'!$D$2:$D$246,MATCH(B4767,'ZCB Curve - Payment Dates'!$A$2:$A$246,0))</f>
        <v>0.31875888330253388</v>
      </c>
      <c r="E4767" s="32">
        <f t="shared" si="74"/>
        <v>0.63751776660506776</v>
      </c>
    </row>
    <row r="4768" spans="1:5" x14ac:dyDescent="0.25">
      <c r="A4768" s="17">
        <v>339</v>
      </c>
      <c r="B4768" s="31">
        <v>54193</v>
      </c>
      <c r="C4768" s="32">
        <f>INDEX('Input Data'!$B:$B,A4768)/2+IF(A4768&lt;&gt;A4769,100,0)</f>
        <v>2</v>
      </c>
      <c r="D4768" s="33">
        <f>INDEX('ZCB Curve - Payment Dates'!$D$2:$D$246,MATCH(B4768,'ZCB Curve - Payment Dates'!$A$2:$A$246,0))</f>
        <v>0.30979516521120642</v>
      </c>
      <c r="E4768" s="32">
        <f t="shared" si="74"/>
        <v>0.61959033042241285</v>
      </c>
    </row>
    <row r="4769" spans="1:5" x14ac:dyDescent="0.25">
      <c r="A4769" s="17">
        <v>339</v>
      </c>
      <c r="B4769" s="31">
        <v>54377</v>
      </c>
      <c r="C4769" s="32">
        <f>INDEX('Input Data'!$B:$B,A4769)/2+IF(A4769&lt;&gt;A4770,100,0)</f>
        <v>2</v>
      </c>
      <c r="D4769" s="33">
        <f>INDEX('ZCB Curve - Payment Dates'!$D$2:$D$246,MATCH(B4769,'ZCB Curve - Payment Dates'!$A$2:$A$246,0))</f>
        <v>0.30110901062008694</v>
      </c>
      <c r="E4769" s="32">
        <f t="shared" si="74"/>
        <v>0.60221802124017387</v>
      </c>
    </row>
    <row r="4770" spans="1:5" x14ac:dyDescent="0.25">
      <c r="A4770" s="17">
        <v>339</v>
      </c>
      <c r="B4770" s="31">
        <v>54558</v>
      </c>
      <c r="C4770" s="32">
        <f>INDEX('Input Data'!$B:$B,A4770)/2+IF(A4770&lt;&gt;A4771,100,0)</f>
        <v>2</v>
      </c>
      <c r="D4770" s="33">
        <f>INDEX('ZCB Curve - Payment Dates'!$D$2:$D$246,MATCH(B4770,'ZCB Curve - Payment Dates'!$A$2:$A$246,0))</f>
        <v>0.29292467059800714</v>
      </c>
      <c r="E4770" s="32">
        <f t="shared" si="74"/>
        <v>0.58584934119601428</v>
      </c>
    </row>
    <row r="4771" spans="1:5" x14ac:dyDescent="0.25">
      <c r="A4771" s="17">
        <v>339</v>
      </c>
      <c r="B4771" s="31">
        <v>54742</v>
      </c>
      <c r="C4771" s="32">
        <f>INDEX('Input Data'!$B:$B,A4771)/2+IF(A4771&lt;&gt;A4772,100,0)</f>
        <v>2</v>
      </c>
      <c r="D4771" s="33">
        <f>INDEX('ZCB Curve - Payment Dates'!$D$2:$D$246,MATCH(B4771,'ZCB Curve - Payment Dates'!$A$2:$A$246,0))</f>
        <v>0.28496204444064566</v>
      </c>
      <c r="E4771" s="32">
        <f t="shared" si="74"/>
        <v>0.56992408888129131</v>
      </c>
    </row>
    <row r="4772" spans="1:5" x14ac:dyDescent="0.25">
      <c r="A4772" s="17">
        <v>339</v>
      </c>
      <c r="B4772" s="31">
        <v>54923</v>
      </c>
      <c r="C4772" s="32">
        <f>INDEX('Input Data'!$B:$B,A4772)/2+IF(A4772&lt;&gt;A4773,100,0)</f>
        <v>2</v>
      </c>
      <c r="D4772" s="33">
        <f>INDEX('ZCB Curve - Payment Dates'!$D$2:$D$246,MATCH(B4772,'ZCB Curve - Payment Dates'!$A$2:$A$246,0))</f>
        <v>0.27747061478742291</v>
      </c>
      <c r="E4772" s="32">
        <f t="shared" si="74"/>
        <v>0.55494122957484582</v>
      </c>
    </row>
    <row r="4773" spans="1:5" x14ac:dyDescent="0.25">
      <c r="A4773" s="17">
        <v>339</v>
      </c>
      <c r="B4773" s="31">
        <v>55107</v>
      </c>
      <c r="C4773" s="32">
        <f>INDEX('Input Data'!$B:$B,A4773)/2+IF(A4773&lt;&gt;A4774,100,0)</f>
        <v>2</v>
      </c>
      <c r="D4773" s="33">
        <f>INDEX('ZCB Curve - Payment Dates'!$D$2:$D$246,MATCH(B4773,'ZCB Curve - Payment Dates'!$A$2:$A$246,0))</f>
        <v>0.2701926092917406</v>
      </c>
      <c r="E4773" s="32">
        <f t="shared" si="74"/>
        <v>0.54038521858348121</v>
      </c>
    </row>
    <row r="4774" spans="1:5" x14ac:dyDescent="0.25">
      <c r="A4774" s="17">
        <v>339</v>
      </c>
      <c r="B4774" s="31">
        <v>55288</v>
      </c>
      <c r="C4774" s="32">
        <f>INDEX('Input Data'!$B:$B,A4774)/2+IF(A4774&lt;&gt;A4775,100,0)</f>
        <v>2</v>
      </c>
      <c r="D4774" s="33">
        <f>INDEX('ZCB Curve - Payment Dates'!$D$2:$D$246,MATCH(B4774,'ZCB Curve - Payment Dates'!$A$2:$A$246,0))</f>
        <v>0.26335484985695851</v>
      </c>
      <c r="E4774" s="32">
        <f t="shared" si="74"/>
        <v>0.52670969971391701</v>
      </c>
    </row>
    <row r="4775" spans="1:5" x14ac:dyDescent="0.25">
      <c r="A4775" s="17">
        <v>339</v>
      </c>
      <c r="B4775" s="31">
        <v>55472</v>
      </c>
      <c r="C4775" s="32">
        <f>INDEX('Input Data'!$B:$B,A4775)/2+IF(A4775&lt;&gt;A4776,100,0)</f>
        <v>2</v>
      </c>
      <c r="D4775" s="33">
        <f>INDEX('ZCB Curve - Payment Dates'!$D$2:$D$246,MATCH(B4775,'ZCB Curve - Payment Dates'!$A$2:$A$246,0))</f>
        <v>0.25672095505458636</v>
      </c>
      <c r="E4775" s="32">
        <f t="shared" si="74"/>
        <v>0.51344191010917273</v>
      </c>
    </row>
    <row r="4776" spans="1:5" x14ac:dyDescent="0.25">
      <c r="A4776" s="17">
        <v>339</v>
      </c>
      <c r="B4776" s="31">
        <v>55654</v>
      </c>
      <c r="C4776" s="32">
        <f>INDEX('Input Data'!$B:$B,A4776)/2+IF(A4776&lt;&gt;A4777,100,0)</f>
        <v>2</v>
      </c>
      <c r="D4776" s="33">
        <f>INDEX('ZCB Curve - Payment Dates'!$D$2:$D$246,MATCH(B4776,'ZCB Curve - Payment Dates'!$A$2:$A$246,0))</f>
        <v>0.25046362869454364</v>
      </c>
      <c r="E4776" s="32">
        <f t="shared" si="74"/>
        <v>0.50092725738908728</v>
      </c>
    </row>
    <row r="4777" spans="1:5" x14ac:dyDescent="0.25">
      <c r="A4777" s="17">
        <v>339</v>
      </c>
      <c r="B4777" s="31">
        <v>55838</v>
      </c>
      <c r="C4777" s="32">
        <f>INDEX('Input Data'!$B:$B,A4777)/2+IF(A4777&lt;&gt;A4778,100,0)</f>
        <v>102</v>
      </c>
      <c r="D4777" s="33">
        <f>INDEX('ZCB Curve - Payment Dates'!$D$2:$D$246,MATCH(B4777,'ZCB Curve - Payment Dates'!$A$2:$A$246,0))</f>
        <v>0.24443458292740508</v>
      </c>
      <c r="E4777" s="32">
        <f t="shared" si="74"/>
        <v>24.932327458595317</v>
      </c>
    </row>
    <row r="4778" spans="1:5" x14ac:dyDescent="0.25">
      <c r="A4778" s="17">
        <v>340</v>
      </c>
      <c r="B4778" s="31">
        <v>46433</v>
      </c>
      <c r="C4778" s="32">
        <f>INDEX('Input Data'!$B:$B,A4778)/2+IF(A4778&lt;&gt;A4779,100,0)</f>
        <v>1.8125</v>
      </c>
      <c r="D4778" s="33">
        <f>INDEX('ZCB Curve - Payment Dates'!$D$2:$D$246,MATCH(B4778,'ZCB Curve - Payment Dates'!$A$2:$A$246,0))</f>
        <v>0.98242671792446301</v>
      </c>
      <c r="E4778" s="32">
        <f t="shared" si="74"/>
        <v>1.7806484262380893</v>
      </c>
    </row>
    <row r="4779" spans="1:5" x14ac:dyDescent="0.25">
      <c r="A4779" s="17">
        <v>340</v>
      </c>
      <c r="B4779" s="31">
        <v>46614</v>
      </c>
      <c r="C4779" s="32">
        <f>INDEX('Input Data'!$B:$B,A4779)/2+IF(A4779&lt;&gt;A4780,100,0)</f>
        <v>1.8125</v>
      </c>
      <c r="D4779" s="33">
        <f>INDEX('ZCB Curve - Payment Dates'!$D$2:$D$246,MATCH(B4779,'ZCB Curve - Payment Dates'!$A$2:$A$246,0))</f>
        <v>0.96187948164765535</v>
      </c>
      <c r="E4779" s="32">
        <f t="shared" si="74"/>
        <v>1.7434065604863753</v>
      </c>
    </row>
    <row r="4780" spans="1:5" x14ac:dyDescent="0.25">
      <c r="A4780" s="17">
        <v>340</v>
      </c>
      <c r="B4780" s="31">
        <v>46798</v>
      </c>
      <c r="C4780" s="32">
        <f>INDEX('Input Data'!$B:$B,A4780)/2+IF(A4780&lt;&gt;A4781,100,0)</f>
        <v>1.8125</v>
      </c>
      <c r="D4780" s="33">
        <f>INDEX('ZCB Curve - Payment Dates'!$D$2:$D$246,MATCH(B4780,'ZCB Curve - Payment Dates'!$A$2:$A$246,0))</f>
        <v>0.94049096132648802</v>
      </c>
      <c r="E4780" s="32">
        <f t="shared" si="74"/>
        <v>1.7046398674042595</v>
      </c>
    </row>
    <row r="4781" spans="1:5" x14ac:dyDescent="0.25">
      <c r="A4781" s="17">
        <v>340</v>
      </c>
      <c r="B4781" s="31">
        <v>46980</v>
      </c>
      <c r="C4781" s="32">
        <f>INDEX('Input Data'!$B:$B,A4781)/2+IF(A4781&lt;&gt;A4782,100,0)</f>
        <v>1.8125</v>
      </c>
      <c r="D4781" s="33">
        <f>INDEX('ZCB Curve - Payment Dates'!$D$2:$D$246,MATCH(B4781,'ZCB Curve - Payment Dates'!$A$2:$A$246,0))</f>
        <v>0.91931844130238327</v>
      </c>
      <c r="E4781" s="32">
        <f t="shared" si="74"/>
        <v>1.6662646748605696</v>
      </c>
    </row>
    <row r="4782" spans="1:5" x14ac:dyDescent="0.25">
      <c r="A4782" s="17">
        <v>340</v>
      </c>
      <c r="B4782" s="31">
        <v>47164</v>
      </c>
      <c r="C4782" s="32">
        <f>INDEX('Input Data'!$B:$B,A4782)/2+IF(A4782&lt;&gt;A4783,100,0)</f>
        <v>1.8125</v>
      </c>
      <c r="D4782" s="33">
        <f>INDEX('ZCB Curve - Payment Dates'!$D$2:$D$246,MATCH(B4782,'ZCB Curve - Payment Dates'!$A$2:$A$246,0))</f>
        <v>0.89817430058086534</v>
      </c>
      <c r="E4782" s="32">
        <f t="shared" si="74"/>
        <v>1.6279409198028185</v>
      </c>
    </row>
    <row r="4783" spans="1:5" x14ac:dyDescent="0.25">
      <c r="A4783" s="17">
        <v>340</v>
      </c>
      <c r="B4783" s="31">
        <v>47345</v>
      </c>
      <c r="C4783" s="32">
        <f>INDEX('Input Data'!$B:$B,A4783)/2+IF(A4783&lt;&gt;A4784,100,0)</f>
        <v>1.8125</v>
      </c>
      <c r="D4783" s="33">
        <f>INDEX('ZCB Curve - Payment Dates'!$D$2:$D$246,MATCH(B4783,'ZCB Curve - Payment Dates'!$A$2:$A$246,0))</f>
        <v>0.87778421628860481</v>
      </c>
      <c r="E4783" s="32">
        <f t="shared" si="74"/>
        <v>1.5909838920230963</v>
      </c>
    </row>
    <row r="4784" spans="1:5" x14ac:dyDescent="0.25">
      <c r="A4784" s="17">
        <v>340</v>
      </c>
      <c r="B4784" s="31">
        <v>47529</v>
      </c>
      <c r="C4784" s="32">
        <f>INDEX('Input Data'!$B:$B,A4784)/2+IF(A4784&lt;&gt;A4785,100,0)</f>
        <v>1.8125</v>
      </c>
      <c r="D4784" s="33">
        <f>INDEX('ZCB Curve - Payment Dates'!$D$2:$D$246,MATCH(B4784,'ZCB Curve - Payment Dates'!$A$2:$A$246,0))</f>
        <v>0.85751015570959666</v>
      </c>
      <c r="E4784" s="32">
        <f t="shared" si="74"/>
        <v>1.554237157223644</v>
      </c>
    </row>
    <row r="4785" spans="1:5" x14ac:dyDescent="0.25">
      <c r="A4785" s="17">
        <v>340</v>
      </c>
      <c r="B4785" s="31">
        <v>47710</v>
      </c>
      <c r="C4785" s="32">
        <f>INDEX('Input Data'!$B:$B,A4785)/2+IF(A4785&lt;&gt;A4786,100,0)</f>
        <v>1.8125</v>
      </c>
      <c r="D4785" s="33">
        <f>INDEX('ZCB Curve - Payment Dates'!$D$2:$D$246,MATCH(B4785,'ZCB Curve - Payment Dates'!$A$2:$A$246,0))</f>
        <v>0.83802423748211174</v>
      </c>
      <c r="E4785" s="32">
        <f t="shared" si="74"/>
        <v>1.5189189304363275</v>
      </c>
    </row>
    <row r="4786" spans="1:5" x14ac:dyDescent="0.25">
      <c r="A4786" s="17">
        <v>340</v>
      </c>
      <c r="B4786" s="31">
        <v>47894</v>
      </c>
      <c r="C4786" s="32">
        <f>INDEX('Input Data'!$B:$B,A4786)/2+IF(A4786&lt;&gt;A4787,100,0)</f>
        <v>1.8125</v>
      </c>
      <c r="D4786" s="33">
        <f>INDEX('ZCB Curve - Payment Dates'!$D$2:$D$246,MATCH(B4786,'ZCB Curve - Payment Dates'!$A$2:$A$246,0))</f>
        <v>0.8186305474741673</v>
      </c>
      <c r="E4786" s="32">
        <f t="shared" si="74"/>
        <v>1.4837678672969283</v>
      </c>
    </row>
    <row r="4787" spans="1:5" x14ac:dyDescent="0.25">
      <c r="A4787" s="17">
        <v>340</v>
      </c>
      <c r="B4787" s="31">
        <v>48075</v>
      </c>
      <c r="C4787" s="32">
        <f>INDEX('Input Data'!$B:$B,A4787)/2+IF(A4787&lt;&gt;A4788,100,0)</f>
        <v>1.8125</v>
      </c>
      <c r="D4787" s="33">
        <f>INDEX('ZCB Curve - Payment Dates'!$D$2:$D$246,MATCH(B4787,'ZCB Curve - Payment Dates'!$A$2:$A$246,0))</f>
        <v>0.7999252334775927</v>
      </c>
      <c r="E4787" s="32">
        <f t="shared" si="74"/>
        <v>1.4498644856781369</v>
      </c>
    </row>
    <row r="4788" spans="1:5" x14ac:dyDescent="0.25">
      <c r="A4788" s="17">
        <v>340</v>
      </c>
      <c r="B4788" s="31">
        <v>48259</v>
      </c>
      <c r="C4788" s="32">
        <f>INDEX('Input Data'!$B:$B,A4788)/2+IF(A4788&lt;&gt;A4789,100,0)</f>
        <v>1.8125</v>
      </c>
      <c r="D4788" s="33">
        <f>INDEX('ZCB Curve - Payment Dates'!$D$2:$D$246,MATCH(B4788,'ZCB Curve - Payment Dates'!$A$2:$A$246,0))</f>
        <v>0.78121887027612602</v>
      </c>
      <c r="E4788" s="32">
        <f t="shared" si="74"/>
        <v>1.4159592023754783</v>
      </c>
    </row>
    <row r="4789" spans="1:5" x14ac:dyDescent="0.25">
      <c r="A4789" s="17">
        <v>340</v>
      </c>
      <c r="B4789" s="31">
        <v>48441</v>
      </c>
      <c r="C4789" s="32">
        <f>INDEX('Input Data'!$B:$B,A4789)/2+IF(A4789&lt;&gt;A4790,100,0)</f>
        <v>1.8125</v>
      </c>
      <c r="D4789" s="33">
        <f>INDEX('ZCB Curve - Payment Dates'!$D$2:$D$246,MATCH(B4789,'ZCB Curve - Payment Dates'!$A$2:$A$246,0))</f>
        <v>0.76298123459017864</v>
      </c>
      <c r="E4789" s="32">
        <f t="shared" si="74"/>
        <v>1.3829034876946988</v>
      </c>
    </row>
    <row r="4790" spans="1:5" x14ac:dyDescent="0.25">
      <c r="A4790" s="17">
        <v>340</v>
      </c>
      <c r="B4790" s="31">
        <v>48625</v>
      </c>
      <c r="C4790" s="32">
        <f>INDEX('Input Data'!$B:$B,A4790)/2+IF(A4790&lt;&gt;A4791,100,0)</f>
        <v>1.8125</v>
      </c>
      <c r="D4790" s="33">
        <f>INDEX('ZCB Curve - Payment Dates'!$D$2:$D$246,MATCH(B4790,'ZCB Curve - Payment Dates'!$A$2:$A$246,0))</f>
        <v>0.74476011611938586</v>
      </c>
      <c r="E4790" s="32">
        <f t="shared" si="74"/>
        <v>1.3498777104663868</v>
      </c>
    </row>
    <row r="4791" spans="1:5" x14ac:dyDescent="0.25">
      <c r="A4791" s="17">
        <v>340</v>
      </c>
      <c r="B4791" s="31">
        <v>48806</v>
      </c>
      <c r="C4791" s="32">
        <f>INDEX('Input Data'!$B:$B,A4791)/2+IF(A4791&lt;&gt;A4792,100,0)</f>
        <v>1.8125</v>
      </c>
      <c r="D4791" s="33">
        <f>INDEX('ZCB Curve - Payment Dates'!$D$2:$D$246,MATCH(B4791,'ZCB Curve - Payment Dates'!$A$2:$A$246,0))</f>
        <v>0.72701302496114584</v>
      </c>
      <c r="E4791" s="32">
        <f t="shared" si="74"/>
        <v>1.3177111077420769</v>
      </c>
    </row>
    <row r="4792" spans="1:5" x14ac:dyDescent="0.25">
      <c r="A4792" s="17">
        <v>340</v>
      </c>
      <c r="B4792" s="31">
        <v>48990</v>
      </c>
      <c r="C4792" s="32">
        <f>INDEX('Input Data'!$B:$B,A4792)/2+IF(A4792&lt;&gt;A4793,100,0)</f>
        <v>1.8125</v>
      </c>
      <c r="D4792" s="33">
        <f>INDEX('ZCB Curve - Payment Dates'!$D$2:$D$246,MATCH(B4792,'ZCB Curve - Payment Dates'!$A$2:$A$246,0))</f>
        <v>0.70912647031380449</v>
      </c>
      <c r="E4792" s="32">
        <f t="shared" si="74"/>
        <v>1.2852917274437707</v>
      </c>
    </row>
    <row r="4793" spans="1:5" x14ac:dyDescent="0.25">
      <c r="A4793" s="17">
        <v>340</v>
      </c>
      <c r="B4793" s="31">
        <v>49171</v>
      </c>
      <c r="C4793" s="32">
        <f>INDEX('Input Data'!$B:$B,A4793)/2+IF(A4793&lt;&gt;A4794,100,0)</f>
        <v>1.8125</v>
      </c>
      <c r="D4793" s="33">
        <f>INDEX('ZCB Curve - Payment Dates'!$D$2:$D$246,MATCH(B4793,'ZCB Curve - Payment Dates'!$A$2:$A$246,0))</f>
        <v>0.6916661505723215</v>
      </c>
      <c r="E4793" s="32">
        <f t="shared" si="74"/>
        <v>1.2536448979123327</v>
      </c>
    </row>
    <row r="4794" spans="1:5" x14ac:dyDescent="0.25">
      <c r="A4794" s="17">
        <v>340</v>
      </c>
      <c r="B4794" s="31">
        <v>49355</v>
      </c>
      <c r="C4794" s="32">
        <f>INDEX('Input Data'!$B:$B,A4794)/2+IF(A4794&lt;&gt;A4795,100,0)</f>
        <v>1.8125</v>
      </c>
      <c r="D4794" s="33">
        <f>INDEX('ZCB Curve - Payment Dates'!$D$2:$D$246,MATCH(B4794,'ZCB Curve - Payment Dates'!$A$2:$A$246,0))</f>
        <v>0.674047377898778</v>
      </c>
      <c r="E4794" s="32">
        <f t="shared" si="74"/>
        <v>1.2217108724415351</v>
      </c>
    </row>
    <row r="4795" spans="1:5" x14ac:dyDescent="0.25">
      <c r="A4795" s="17">
        <v>340</v>
      </c>
      <c r="B4795" s="31">
        <v>49536</v>
      </c>
      <c r="C4795" s="32">
        <f>INDEX('Input Data'!$B:$B,A4795)/2+IF(A4795&lt;&gt;A4796,100,0)</f>
        <v>1.8125</v>
      </c>
      <c r="D4795" s="33">
        <f>INDEX('ZCB Curve - Payment Dates'!$D$2:$D$246,MATCH(B4795,'ZCB Curve - Payment Dates'!$A$2:$A$246,0))</f>
        <v>0.65684432300638129</v>
      </c>
      <c r="E4795" s="32">
        <f t="shared" si="74"/>
        <v>1.1905303354490662</v>
      </c>
    </row>
    <row r="4796" spans="1:5" x14ac:dyDescent="0.25">
      <c r="A4796" s="17">
        <v>340</v>
      </c>
      <c r="B4796" s="31">
        <v>49720</v>
      </c>
      <c r="C4796" s="32">
        <f>INDEX('Input Data'!$B:$B,A4796)/2+IF(A4796&lt;&gt;A4797,100,0)</f>
        <v>1.8125</v>
      </c>
      <c r="D4796" s="33">
        <f>INDEX('ZCB Curve - Payment Dates'!$D$2:$D$246,MATCH(B4796,'ZCB Curve - Payment Dates'!$A$2:$A$246,0))</f>
        <v>0.63949604524993764</v>
      </c>
      <c r="E4796" s="32">
        <f t="shared" si="74"/>
        <v>1.1590865820155121</v>
      </c>
    </row>
    <row r="4797" spans="1:5" x14ac:dyDescent="0.25">
      <c r="A4797" s="17">
        <v>340</v>
      </c>
      <c r="B4797" s="31">
        <v>49902</v>
      </c>
      <c r="C4797" s="32">
        <f>INDEX('Input Data'!$B:$B,A4797)/2+IF(A4797&lt;&gt;A4798,100,0)</f>
        <v>1.8125</v>
      </c>
      <c r="D4797" s="33">
        <f>INDEX('ZCB Curve - Payment Dates'!$D$2:$D$246,MATCH(B4797,'ZCB Curve - Payment Dates'!$A$2:$A$246,0))</f>
        <v>0.62248862376822711</v>
      </c>
      <c r="E4797" s="32">
        <f t="shared" si="74"/>
        <v>1.1282606305799117</v>
      </c>
    </row>
    <row r="4798" spans="1:5" x14ac:dyDescent="0.25">
      <c r="A4798" s="17">
        <v>340</v>
      </c>
      <c r="B4798" s="31">
        <v>50086</v>
      </c>
      <c r="C4798" s="32">
        <f>INDEX('Input Data'!$B:$B,A4798)/2+IF(A4798&lt;&gt;A4799,100,0)</f>
        <v>1.8125</v>
      </c>
      <c r="D4798" s="33">
        <f>INDEX('ZCB Curve - Payment Dates'!$D$2:$D$246,MATCH(B4798,'ZCB Curve - Payment Dates'!$A$2:$A$246,0))</f>
        <v>0.60546490876014969</v>
      </c>
      <c r="E4798" s="32">
        <f t="shared" si="74"/>
        <v>1.0974051471277713</v>
      </c>
    </row>
    <row r="4799" spans="1:5" x14ac:dyDescent="0.25">
      <c r="A4799" s="17">
        <v>340</v>
      </c>
      <c r="B4799" s="31">
        <v>50267</v>
      </c>
      <c r="C4799" s="32">
        <f>INDEX('Input Data'!$B:$B,A4799)/2+IF(A4799&lt;&gt;A4800,100,0)</f>
        <v>1.8125</v>
      </c>
      <c r="D4799" s="33">
        <f>INDEX('ZCB Curve - Payment Dates'!$D$2:$D$246,MATCH(B4799,'ZCB Curve - Payment Dates'!$A$2:$A$246,0))</f>
        <v>0.58890683803346977</v>
      </c>
      <c r="E4799" s="32">
        <f t="shared" si="74"/>
        <v>1.0673936439356639</v>
      </c>
    </row>
    <row r="4800" spans="1:5" x14ac:dyDescent="0.25">
      <c r="A4800" s="17">
        <v>340</v>
      </c>
      <c r="B4800" s="31">
        <v>50451</v>
      </c>
      <c r="C4800" s="32">
        <f>INDEX('Input Data'!$B:$B,A4800)/2+IF(A4800&lt;&gt;A4801,100,0)</f>
        <v>1.8125</v>
      </c>
      <c r="D4800" s="33">
        <f>INDEX('ZCB Curve - Payment Dates'!$D$2:$D$246,MATCH(B4800,'ZCB Curve - Payment Dates'!$A$2:$A$246,0))</f>
        <v>0.57228983695479263</v>
      </c>
      <c r="E4800" s="32">
        <f t="shared" si="74"/>
        <v>1.0372753294805617</v>
      </c>
    </row>
    <row r="4801" spans="1:5" x14ac:dyDescent="0.25">
      <c r="A4801" s="17">
        <v>340</v>
      </c>
      <c r="B4801" s="31">
        <v>50632</v>
      </c>
      <c r="C4801" s="32">
        <f>INDEX('Input Data'!$B:$B,A4801)/2+IF(A4801&lt;&gt;A4802,100,0)</f>
        <v>1.8125</v>
      </c>
      <c r="D4801" s="33">
        <f>INDEX('ZCB Curve - Payment Dates'!$D$2:$D$246,MATCH(B4801,'ZCB Curve - Payment Dates'!$A$2:$A$246,0))</f>
        <v>0.55617795699202288</v>
      </c>
      <c r="E4801" s="32">
        <f t="shared" si="74"/>
        <v>1.0080725470480414</v>
      </c>
    </row>
    <row r="4802" spans="1:5" x14ac:dyDescent="0.25">
      <c r="A4802" s="17">
        <v>340</v>
      </c>
      <c r="B4802" s="31">
        <v>50816</v>
      </c>
      <c r="C4802" s="32">
        <f>INDEX('Input Data'!$B:$B,A4802)/2+IF(A4802&lt;&gt;A4803,100,0)</f>
        <v>1.8125</v>
      </c>
      <c r="D4802" s="33">
        <f>INDEX('ZCB Curve - Payment Dates'!$D$2:$D$246,MATCH(B4802,'ZCB Curve - Payment Dates'!$A$2:$A$246,0))</f>
        <v>0.54006240951211237</v>
      </c>
      <c r="E4802" s="32">
        <f t="shared" ref="E4802:E4865" si="75">C4802*D4802</f>
        <v>0.97886311724070363</v>
      </c>
    </row>
    <row r="4803" spans="1:5" x14ac:dyDescent="0.25">
      <c r="A4803" s="17">
        <v>340</v>
      </c>
      <c r="B4803" s="31">
        <v>50997</v>
      </c>
      <c r="C4803" s="32">
        <f>INDEX('Input Data'!$B:$B,A4803)/2+IF(A4803&lt;&gt;A4804,100,0)</f>
        <v>1.8125</v>
      </c>
      <c r="D4803" s="33">
        <f>INDEX('ZCB Curve - Payment Dates'!$D$2:$D$246,MATCH(B4803,'ZCB Curve - Payment Dates'!$A$2:$A$246,0))</f>
        <v>0.52449040173194583</v>
      </c>
      <c r="E4803" s="32">
        <f t="shared" si="75"/>
        <v>0.95063885313915186</v>
      </c>
    </row>
    <row r="4804" spans="1:5" x14ac:dyDescent="0.25">
      <c r="A4804" s="17">
        <v>340</v>
      </c>
      <c r="B4804" s="31">
        <v>51181</v>
      </c>
      <c r="C4804" s="32">
        <f>INDEX('Input Data'!$B:$B,A4804)/2+IF(A4804&lt;&gt;A4805,100,0)</f>
        <v>1.8125</v>
      </c>
      <c r="D4804" s="33">
        <f>INDEX('ZCB Curve - Payment Dates'!$D$2:$D$246,MATCH(B4804,'ZCB Curve - Payment Dates'!$A$2:$A$246,0))</f>
        <v>0.5089691698468306</v>
      </c>
      <c r="E4804" s="32">
        <f t="shared" si="75"/>
        <v>0.92250662034738051</v>
      </c>
    </row>
    <row r="4805" spans="1:5" x14ac:dyDescent="0.25">
      <c r="A4805" s="17">
        <v>340</v>
      </c>
      <c r="B4805" s="31">
        <v>51363</v>
      </c>
      <c r="C4805" s="32">
        <f>INDEX('Input Data'!$B:$B,A4805)/2+IF(A4805&lt;&gt;A4806,100,0)</f>
        <v>1.8125</v>
      </c>
      <c r="D4805" s="33">
        <f>INDEX('ZCB Curve - Payment Dates'!$D$2:$D$246,MATCH(B4805,'ZCB Curve - Payment Dates'!$A$2:$A$246,0))</f>
        <v>0.49394036022330806</v>
      </c>
      <c r="E4805" s="32">
        <f t="shared" si="75"/>
        <v>0.89526690290474586</v>
      </c>
    </row>
    <row r="4806" spans="1:5" x14ac:dyDescent="0.25">
      <c r="A4806" s="17">
        <v>340</v>
      </c>
      <c r="B4806" s="31">
        <v>51547</v>
      </c>
      <c r="C4806" s="32">
        <f>INDEX('Input Data'!$B:$B,A4806)/2+IF(A4806&lt;&gt;A4807,100,0)</f>
        <v>1.8125</v>
      </c>
      <c r="D4806" s="33">
        <f>INDEX('ZCB Curve - Payment Dates'!$D$2:$D$246,MATCH(B4806,'ZCB Curve - Payment Dates'!$A$2:$A$246,0))</f>
        <v>0.47909718957588998</v>
      </c>
      <c r="E4806" s="32">
        <f t="shared" si="75"/>
        <v>0.86836365610630062</v>
      </c>
    </row>
    <row r="4807" spans="1:5" x14ac:dyDescent="0.25">
      <c r="A4807" s="17">
        <v>340</v>
      </c>
      <c r="B4807" s="31">
        <v>51728</v>
      </c>
      <c r="C4807" s="32">
        <f>INDEX('Input Data'!$B:$B,A4807)/2+IF(A4807&lt;&gt;A4808,100,0)</f>
        <v>1.8125</v>
      </c>
      <c r="D4807" s="33">
        <f>INDEX('ZCB Curve - Payment Dates'!$D$2:$D$246,MATCH(B4807,'ZCB Curve - Payment Dates'!$A$2:$A$246,0))</f>
        <v>0.46485329459616059</v>
      </c>
      <c r="E4807" s="32">
        <f t="shared" si="75"/>
        <v>0.84254659645554109</v>
      </c>
    </row>
    <row r="4808" spans="1:5" x14ac:dyDescent="0.25">
      <c r="A4808" s="17">
        <v>340</v>
      </c>
      <c r="B4808" s="31">
        <v>51912</v>
      </c>
      <c r="C4808" s="32">
        <f>INDEX('Input Data'!$B:$B,A4808)/2+IF(A4808&lt;&gt;A4809,100,0)</f>
        <v>1.8125</v>
      </c>
      <c r="D4808" s="33">
        <f>INDEX('ZCB Curve - Payment Dates'!$D$2:$D$246,MATCH(B4808,'ZCB Curve - Payment Dates'!$A$2:$A$246,0))</f>
        <v>0.45075168915212815</v>
      </c>
      <c r="E4808" s="32">
        <f t="shared" si="75"/>
        <v>0.81698743658823225</v>
      </c>
    </row>
    <row r="4809" spans="1:5" x14ac:dyDescent="0.25">
      <c r="A4809" s="17">
        <v>340</v>
      </c>
      <c r="B4809" s="31">
        <v>52093</v>
      </c>
      <c r="C4809" s="32">
        <f>INDEX('Input Data'!$B:$B,A4809)/2+IF(A4809&lt;&gt;A4810,100,0)</f>
        <v>1.8125</v>
      </c>
      <c r="D4809" s="33">
        <f>INDEX('ZCB Curve - Payment Dates'!$D$2:$D$246,MATCH(B4809,'ZCB Curve - Payment Dates'!$A$2:$A$246,0))</f>
        <v>0.43726259018094221</v>
      </c>
      <c r="E4809" s="32">
        <f t="shared" si="75"/>
        <v>0.79253844470295776</v>
      </c>
    </row>
    <row r="4810" spans="1:5" x14ac:dyDescent="0.25">
      <c r="A4810" s="17">
        <v>340</v>
      </c>
      <c r="B4810" s="31">
        <v>52277</v>
      </c>
      <c r="C4810" s="32">
        <f>INDEX('Input Data'!$B:$B,A4810)/2+IF(A4810&lt;&gt;A4811,100,0)</f>
        <v>1.8125</v>
      </c>
      <c r="D4810" s="33">
        <f>INDEX('ZCB Curve - Payment Dates'!$D$2:$D$246,MATCH(B4810,'ZCB Curve - Payment Dates'!$A$2:$A$246,0))</f>
        <v>0.4239492285351204</v>
      </c>
      <c r="E4810" s="32">
        <f t="shared" si="75"/>
        <v>0.76840797671990568</v>
      </c>
    </row>
    <row r="4811" spans="1:5" x14ac:dyDescent="0.25">
      <c r="A4811" s="17">
        <v>340</v>
      </c>
      <c r="B4811" s="31">
        <v>52458</v>
      </c>
      <c r="C4811" s="32">
        <f>INDEX('Input Data'!$B:$B,A4811)/2+IF(A4811&lt;&gt;A4812,100,0)</f>
        <v>1.8125</v>
      </c>
      <c r="D4811" s="33">
        <f>INDEX('ZCB Curve - Payment Dates'!$D$2:$D$246,MATCH(B4811,'ZCB Curve - Payment Dates'!$A$2:$A$246,0))</f>
        <v>0.4112516019468152</v>
      </c>
      <c r="E4811" s="32">
        <f t="shared" si="75"/>
        <v>0.74539352852860252</v>
      </c>
    </row>
    <row r="4812" spans="1:5" x14ac:dyDescent="0.25">
      <c r="A4812" s="17">
        <v>340</v>
      </c>
      <c r="B4812" s="31">
        <v>52642</v>
      </c>
      <c r="C4812" s="32">
        <f>INDEX('Input Data'!$B:$B,A4812)/2+IF(A4812&lt;&gt;A4813,100,0)</f>
        <v>1.8125</v>
      </c>
      <c r="D4812" s="33">
        <f>INDEX('ZCB Curve - Payment Dates'!$D$2:$D$246,MATCH(B4812,'ZCB Curve - Payment Dates'!$A$2:$A$246,0))</f>
        <v>0.39875459879352759</v>
      </c>
      <c r="E4812" s="32">
        <f t="shared" si="75"/>
        <v>0.72274271031326875</v>
      </c>
    </row>
    <row r="4813" spans="1:5" x14ac:dyDescent="0.25">
      <c r="A4813" s="17">
        <v>340</v>
      </c>
      <c r="B4813" s="31">
        <v>52824</v>
      </c>
      <c r="C4813" s="32">
        <f>INDEX('Input Data'!$B:$B,A4813)/2+IF(A4813&lt;&gt;A4814,100,0)</f>
        <v>1.8125</v>
      </c>
      <c r="D4813" s="33">
        <f>INDEX('ZCB Curve - Payment Dates'!$D$2:$D$246,MATCH(B4813,'ZCB Curve - Payment Dates'!$A$2:$A$246,0))</f>
        <v>0.38680384560622083</v>
      </c>
      <c r="E4813" s="32">
        <f t="shared" si="75"/>
        <v>0.70108197016127527</v>
      </c>
    </row>
    <row r="4814" spans="1:5" x14ac:dyDescent="0.25">
      <c r="A4814" s="17">
        <v>340</v>
      </c>
      <c r="B4814" s="31">
        <v>53008</v>
      </c>
      <c r="C4814" s="32">
        <f>INDEX('Input Data'!$B:$B,A4814)/2+IF(A4814&lt;&gt;A4815,100,0)</f>
        <v>1.8125</v>
      </c>
      <c r="D4814" s="33">
        <f>INDEX('ZCB Curve - Payment Dates'!$D$2:$D$246,MATCH(B4814,'ZCB Curve - Payment Dates'!$A$2:$A$246,0))</f>
        <v>0.37513648791915083</v>
      </c>
      <c r="E4814" s="32">
        <f t="shared" si="75"/>
        <v>0.67993488435346083</v>
      </c>
    </row>
    <row r="4815" spans="1:5" x14ac:dyDescent="0.25">
      <c r="A4815" s="17">
        <v>340</v>
      </c>
      <c r="B4815" s="31">
        <v>53189</v>
      </c>
      <c r="C4815" s="32">
        <f>INDEX('Input Data'!$B:$B,A4815)/2+IF(A4815&lt;&gt;A4816,100,0)</f>
        <v>1.8125</v>
      </c>
      <c r="D4815" s="33">
        <f>INDEX('ZCB Curve - Payment Dates'!$D$2:$D$246,MATCH(B4815,'ZCB Curve - Payment Dates'!$A$2:$A$246,0))</f>
        <v>0.36406533257851953</v>
      </c>
      <c r="E4815" s="32">
        <f t="shared" si="75"/>
        <v>0.65986841529856666</v>
      </c>
    </row>
    <row r="4816" spans="1:5" x14ac:dyDescent="0.25">
      <c r="A4816" s="17">
        <v>340</v>
      </c>
      <c r="B4816" s="31">
        <v>53373</v>
      </c>
      <c r="C4816" s="32">
        <f>INDEX('Input Data'!$B:$B,A4816)/2+IF(A4816&lt;&gt;A4817,100,0)</f>
        <v>1.8125</v>
      </c>
      <c r="D4816" s="33">
        <f>INDEX('ZCB Curve - Payment Dates'!$D$2:$D$246,MATCH(B4816,'ZCB Curve - Payment Dates'!$A$2:$A$246,0))</f>
        <v>0.35322166892031259</v>
      </c>
      <c r="E4816" s="32">
        <f t="shared" si="75"/>
        <v>0.64021427491806659</v>
      </c>
    </row>
    <row r="4817" spans="1:5" x14ac:dyDescent="0.25">
      <c r="A4817" s="17">
        <v>340</v>
      </c>
      <c r="B4817" s="31">
        <v>53554</v>
      </c>
      <c r="C4817" s="32">
        <f>INDEX('Input Data'!$B:$B,A4817)/2+IF(A4817&lt;&gt;A4818,100,0)</f>
        <v>1.8125</v>
      </c>
      <c r="D4817" s="33">
        <f>INDEX('ZCB Curve - Payment Dates'!$D$2:$D$246,MATCH(B4817,'ZCB Curve - Payment Dates'!$A$2:$A$246,0))</f>
        <v>0.34295436226619208</v>
      </c>
      <c r="E4817" s="32">
        <f t="shared" si="75"/>
        <v>0.62160478160747312</v>
      </c>
    </row>
    <row r="4818" spans="1:5" x14ac:dyDescent="0.25">
      <c r="A4818" s="17">
        <v>340</v>
      </c>
      <c r="B4818" s="31">
        <v>53738</v>
      </c>
      <c r="C4818" s="32">
        <f>INDEX('Input Data'!$B:$B,A4818)/2+IF(A4818&lt;&gt;A4819,100,0)</f>
        <v>1.8125</v>
      </c>
      <c r="D4818" s="33">
        <f>INDEX('ZCB Curve - Payment Dates'!$D$2:$D$246,MATCH(B4818,'ZCB Curve - Payment Dates'!$A$2:$A$246,0))</f>
        <v>0.33291860450360972</v>
      </c>
      <c r="E4818" s="32">
        <f t="shared" si="75"/>
        <v>0.60341497066279259</v>
      </c>
    </row>
    <row r="4819" spans="1:5" x14ac:dyDescent="0.25">
      <c r="A4819" s="17">
        <v>340</v>
      </c>
      <c r="B4819" s="31">
        <v>53919</v>
      </c>
      <c r="C4819" s="32">
        <f>INDEX('Input Data'!$B:$B,A4819)/2+IF(A4819&lt;&gt;A4820,100,0)</f>
        <v>1.8125</v>
      </c>
      <c r="D4819" s="33">
        <f>INDEX('ZCB Curve - Payment Dates'!$D$2:$D$246,MATCH(B4819,'ZCB Curve - Payment Dates'!$A$2:$A$246,0))</f>
        <v>0.32343468195091313</v>
      </c>
      <c r="E4819" s="32">
        <f t="shared" si="75"/>
        <v>0.58622536103603007</v>
      </c>
    </row>
    <row r="4820" spans="1:5" x14ac:dyDescent="0.25">
      <c r="A4820" s="17">
        <v>340</v>
      </c>
      <c r="B4820" s="31">
        <v>54103</v>
      </c>
      <c r="C4820" s="32">
        <f>INDEX('Input Data'!$B:$B,A4820)/2+IF(A4820&lt;&gt;A4821,100,0)</f>
        <v>1.8125</v>
      </c>
      <c r="D4820" s="33">
        <f>INDEX('ZCB Curve - Payment Dates'!$D$2:$D$246,MATCH(B4820,'ZCB Curve - Payment Dates'!$A$2:$A$246,0))</f>
        <v>0.31418167147949361</v>
      </c>
      <c r="E4820" s="32">
        <f t="shared" si="75"/>
        <v>0.56945427955658212</v>
      </c>
    </row>
    <row r="4821" spans="1:5" x14ac:dyDescent="0.25">
      <c r="A4821" s="17">
        <v>340</v>
      </c>
      <c r="B4821" s="31">
        <v>54285</v>
      </c>
      <c r="C4821" s="32">
        <f>INDEX('Input Data'!$B:$B,A4821)/2+IF(A4821&lt;&gt;A4822,100,0)</f>
        <v>1.8125</v>
      </c>
      <c r="D4821" s="33">
        <f>INDEX('ZCB Curve - Payment Dates'!$D$2:$D$246,MATCH(B4821,'ZCB Curve - Payment Dates'!$A$2:$A$246,0))</f>
        <v>0.30540618878290843</v>
      </c>
      <c r="E4821" s="32">
        <f t="shared" si="75"/>
        <v>0.55354871716902154</v>
      </c>
    </row>
    <row r="4822" spans="1:5" x14ac:dyDescent="0.25">
      <c r="A4822" s="17">
        <v>340</v>
      </c>
      <c r="B4822" s="31">
        <v>54469</v>
      </c>
      <c r="C4822" s="32">
        <f>INDEX('Input Data'!$B:$B,A4822)/2+IF(A4822&lt;&gt;A4823,100,0)</f>
        <v>1.8125</v>
      </c>
      <c r="D4822" s="33">
        <f>INDEX('ZCB Curve - Payment Dates'!$D$2:$D$246,MATCH(B4822,'ZCB Curve - Payment Dates'!$A$2:$A$246,0))</f>
        <v>0.29690423521941833</v>
      </c>
      <c r="E4822" s="32">
        <f t="shared" si="75"/>
        <v>0.53813892633519578</v>
      </c>
    </row>
    <row r="4823" spans="1:5" x14ac:dyDescent="0.25">
      <c r="A4823" s="17">
        <v>340</v>
      </c>
      <c r="B4823" s="31">
        <v>54650</v>
      </c>
      <c r="C4823" s="32">
        <f>INDEX('Input Data'!$B:$B,A4823)/2+IF(A4823&lt;&gt;A4824,100,0)</f>
        <v>1.8125</v>
      </c>
      <c r="D4823" s="33">
        <f>INDEX('ZCB Curve - Payment Dates'!$D$2:$D$246,MATCH(B4823,'ZCB Curve - Payment Dates'!$A$2:$A$246,0))</f>
        <v>0.2888997564491238</v>
      </c>
      <c r="E4823" s="32">
        <f t="shared" si="75"/>
        <v>0.52363080856403688</v>
      </c>
    </row>
    <row r="4824" spans="1:5" x14ac:dyDescent="0.25">
      <c r="A4824" s="17">
        <v>340</v>
      </c>
      <c r="B4824" s="31">
        <v>54834</v>
      </c>
      <c r="C4824" s="32">
        <f>INDEX('Input Data'!$B:$B,A4824)/2+IF(A4824&lt;&gt;A4825,100,0)</f>
        <v>1.8125</v>
      </c>
      <c r="D4824" s="33">
        <f>INDEX('ZCB Curve - Payment Dates'!$D$2:$D$246,MATCH(B4824,'ZCB Curve - Payment Dates'!$A$2:$A$246,0))</f>
        <v>0.28111189964037164</v>
      </c>
      <c r="E4824" s="32">
        <f t="shared" si="75"/>
        <v>0.50951531809817363</v>
      </c>
    </row>
    <row r="4825" spans="1:5" x14ac:dyDescent="0.25">
      <c r="A4825" s="17">
        <v>340</v>
      </c>
      <c r="B4825" s="31">
        <v>55015</v>
      </c>
      <c r="C4825" s="32">
        <f>INDEX('Input Data'!$B:$B,A4825)/2+IF(A4825&lt;&gt;A4826,100,0)</f>
        <v>1.8125</v>
      </c>
      <c r="D4825" s="33">
        <f>INDEX('ZCB Curve - Payment Dates'!$D$2:$D$246,MATCH(B4825,'ZCB Curve - Payment Dates'!$A$2:$A$246,0))</f>
        <v>0.27379046078597996</v>
      </c>
      <c r="E4825" s="32">
        <f t="shared" si="75"/>
        <v>0.49624521017458867</v>
      </c>
    </row>
    <row r="4826" spans="1:5" x14ac:dyDescent="0.25">
      <c r="A4826" s="17">
        <v>340</v>
      </c>
      <c r="B4826" s="31">
        <v>55199</v>
      </c>
      <c r="C4826" s="32">
        <f>INDEX('Input Data'!$B:$B,A4826)/2+IF(A4826&lt;&gt;A4827,100,0)</f>
        <v>1.8125</v>
      </c>
      <c r="D4826" s="33">
        <f>INDEX('ZCB Curve - Payment Dates'!$D$2:$D$246,MATCH(B4826,'ZCB Curve - Payment Dates'!$A$2:$A$246,0))</f>
        <v>0.26667724322397307</v>
      </c>
      <c r="E4826" s="32">
        <f t="shared" si="75"/>
        <v>0.4833525033434512</v>
      </c>
    </row>
    <row r="4827" spans="1:5" x14ac:dyDescent="0.25">
      <c r="A4827" s="17">
        <v>340</v>
      </c>
      <c r="B4827" s="31">
        <v>55380</v>
      </c>
      <c r="C4827" s="32">
        <f>INDEX('Input Data'!$B:$B,A4827)/2+IF(A4827&lt;&gt;A4828,100,0)</f>
        <v>1.8125</v>
      </c>
      <c r="D4827" s="33">
        <f>INDEX('ZCB Curve - Payment Dates'!$D$2:$D$246,MATCH(B4827,'ZCB Curve - Payment Dates'!$A$2:$A$246,0))</f>
        <v>0.25999926234228898</v>
      </c>
      <c r="E4827" s="32">
        <f t="shared" si="75"/>
        <v>0.4712486629953988</v>
      </c>
    </row>
    <row r="4828" spans="1:5" x14ac:dyDescent="0.25">
      <c r="A4828" s="17">
        <v>340</v>
      </c>
      <c r="B4828" s="31">
        <v>55564</v>
      </c>
      <c r="C4828" s="32">
        <f>INDEX('Input Data'!$B:$B,A4828)/2+IF(A4828&lt;&gt;A4829,100,0)</f>
        <v>1.8125</v>
      </c>
      <c r="D4828" s="33">
        <f>INDEX('ZCB Curve - Payment Dates'!$D$2:$D$246,MATCH(B4828,'ZCB Curve - Payment Dates'!$A$2:$A$246,0))</f>
        <v>0.25351997596294801</v>
      </c>
      <c r="E4828" s="32">
        <f t="shared" si="75"/>
        <v>0.45950495643284328</v>
      </c>
    </row>
    <row r="4829" spans="1:5" x14ac:dyDescent="0.25">
      <c r="A4829" s="17">
        <v>340</v>
      </c>
      <c r="B4829" s="31">
        <v>55746</v>
      </c>
      <c r="C4829" s="32">
        <f>INDEX('Input Data'!$B:$B,A4829)/2+IF(A4829&lt;&gt;A4830,100,0)</f>
        <v>1.8125</v>
      </c>
      <c r="D4829" s="33">
        <f>INDEX('ZCB Curve - Payment Dates'!$D$2:$D$246,MATCH(B4829,'ZCB Curve - Payment Dates'!$A$2:$A$246,0))</f>
        <v>0.24741177833471262</v>
      </c>
      <c r="E4829" s="32">
        <f t="shared" si="75"/>
        <v>0.4484338482316666</v>
      </c>
    </row>
    <row r="4830" spans="1:5" x14ac:dyDescent="0.25">
      <c r="A4830" s="17">
        <v>340</v>
      </c>
      <c r="B4830" s="31">
        <v>55930</v>
      </c>
      <c r="C4830" s="32">
        <f>INDEX('Input Data'!$B:$B,A4830)/2+IF(A4830&lt;&gt;A4831,100,0)</f>
        <v>101.8125</v>
      </c>
      <c r="D4830" s="33">
        <f>INDEX('ZCB Curve - Payment Dates'!$D$2:$D$246,MATCH(B4830,'ZCB Curve - Payment Dates'!$A$2:$A$246,0))</f>
        <v>0.24152840552252464</v>
      </c>
      <c r="E4830" s="32">
        <f t="shared" si="75"/>
        <v>24.59061078726204</v>
      </c>
    </row>
    <row r="4831" spans="1:5" x14ac:dyDescent="0.25">
      <c r="A4831" s="17">
        <v>341</v>
      </c>
      <c r="B4831" s="31">
        <v>46341</v>
      </c>
      <c r="C4831" s="32">
        <f>INDEX('Input Data'!$B:$B,A4831)/2+IF(A4831&lt;&gt;A4832,100,0)</f>
        <v>1.8125</v>
      </c>
      <c r="D4831" s="33">
        <f>INDEX('ZCB Curve - Payment Dates'!$D$2:$D$246,MATCH(B4831,'ZCB Curve - Payment Dates'!$A$2:$A$246,0))</f>
        <v>0.99245367292309439</v>
      </c>
      <c r="E4831" s="32">
        <f t="shared" si="75"/>
        <v>1.7988222821731086</v>
      </c>
    </row>
    <row r="4832" spans="1:5" x14ac:dyDescent="0.25">
      <c r="A4832" s="17">
        <v>341</v>
      </c>
      <c r="B4832" s="31">
        <v>46522</v>
      </c>
      <c r="C4832" s="32">
        <f>INDEX('Input Data'!$B:$B,A4832)/2+IF(A4832&lt;&gt;A4833,100,0)</f>
        <v>1.8125</v>
      </c>
      <c r="D4832" s="33">
        <f>INDEX('ZCB Curve - Payment Dates'!$D$2:$D$246,MATCH(B4832,'ZCB Curve - Payment Dates'!$A$2:$A$246,0))</f>
        <v>0.97242179559611874</v>
      </c>
      <c r="E4832" s="32">
        <f t="shared" si="75"/>
        <v>1.7625145045179653</v>
      </c>
    </row>
    <row r="4833" spans="1:5" x14ac:dyDescent="0.25">
      <c r="A4833" s="17">
        <v>341</v>
      </c>
      <c r="B4833" s="31">
        <v>46706</v>
      </c>
      <c r="C4833" s="32">
        <f>INDEX('Input Data'!$B:$B,A4833)/2+IF(A4833&lt;&gt;A4834,100,0)</f>
        <v>1.8125</v>
      </c>
      <c r="D4833" s="33">
        <f>INDEX('ZCB Curve - Payment Dates'!$D$2:$D$246,MATCH(B4833,'ZCB Curve - Payment Dates'!$A$2:$A$246,0))</f>
        <v>0.95121018311627348</v>
      </c>
      <c r="E4833" s="32">
        <f t="shared" si="75"/>
        <v>1.7240684568982456</v>
      </c>
    </row>
    <row r="4834" spans="1:5" x14ac:dyDescent="0.25">
      <c r="A4834" s="17">
        <v>341</v>
      </c>
      <c r="B4834" s="31">
        <v>46888</v>
      </c>
      <c r="C4834" s="32">
        <f>INDEX('Input Data'!$B:$B,A4834)/2+IF(A4834&lt;&gt;A4835,100,0)</f>
        <v>1.8125</v>
      </c>
      <c r="D4834" s="33">
        <f>INDEX('ZCB Curve - Payment Dates'!$D$2:$D$246,MATCH(B4834,'ZCB Curve - Payment Dates'!$A$2:$A$246,0))</f>
        <v>0.93000025435083566</v>
      </c>
      <c r="E4834" s="32">
        <f t="shared" si="75"/>
        <v>1.6856254610108896</v>
      </c>
    </row>
    <row r="4835" spans="1:5" x14ac:dyDescent="0.25">
      <c r="A4835" s="17">
        <v>341</v>
      </c>
      <c r="B4835" s="31">
        <v>47072</v>
      </c>
      <c r="C4835" s="32">
        <f>INDEX('Input Data'!$B:$B,A4835)/2+IF(A4835&lt;&gt;A4836,100,0)</f>
        <v>1.8125</v>
      </c>
      <c r="D4835" s="33">
        <f>INDEX('ZCB Curve - Payment Dates'!$D$2:$D$246,MATCH(B4835,'ZCB Curve - Payment Dates'!$A$2:$A$246,0))</f>
        <v>0.90870125167038918</v>
      </c>
      <c r="E4835" s="32">
        <f t="shared" si="75"/>
        <v>1.6470210186525804</v>
      </c>
    </row>
    <row r="4836" spans="1:5" x14ac:dyDescent="0.25">
      <c r="A4836" s="17">
        <v>341</v>
      </c>
      <c r="B4836" s="31">
        <v>47253</v>
      </c>
      <c r="C4836" s="32">
        <f>INDEX('Input Data'!$B:$B,A4836)/2+IF(A4836&lt;&gt;A4837,100,0)</f>
        <v>1.8125</v>
      </c>
      <c r="D4836" s="33">
        <f>INDEX('ZCB Curve - Payment Dates'!$D$2:$D$246,MATCH(B4836,'ZCB Curve - Payment Dates'!$A$2:$A$246,0))</f>
        <v>0.88809325063638844</v>
      </c>
      <c r="E4836" s="32">
        <f t="shared" si="75"/>
        <v>1.609669016778454</v>
      </c>
    </row>
    <row r="4837" spans="1:5" x14ac:dyDescent="0.25">
      <c r="A4837" s="17">
        <v>341</v>
      </c>
      <c r="B4837" s="31">
        <v>47437</v>
      </c>
      <c r="C4837" s="32">
        <f>INDEX('Input Data'!$B:$B,A4837)/2+IF(A4837&lt;&gt;A4838,100,0)</f>
        <v>1.8125</v>
      </c>
      <c r="D4837" s="33">
        <f>INDEX('ZCB Curve - Payment Dates'!$D$2:$D$246,MATCH(B4837,'ZCB Curve - Payment Dates'!$A$2:$A$246,0))</f>
        <v>0.86758824089536279</v>
      </c>
      <c r="E4837" s="32">
        <f t="shared" si="75"/>
        <v>1.572503686622845</v>
      </c>
    </row>
    <row r="4838" spans="1:5" x14ac:dyDescent="0.25">
      <c r="A4838" s="17">
        <v>341</v>
      </c>
      <c r="B4838" s="31">
        <v>47618</v>
      </c>
      <c r="C4838" s="32">
        <f>INDEX('Input Data'!$B:$B,A4838)/2+IF(A4838&lt;&gt;A4839,100,0)</f>
        <v>1.8125</v>
      </c>
      <c r="D4838" s="33">
        <f>INDEX('ZCB Curve - Payment Dates'!$D$2:$D$246,MATCH(B4838,'ZCB Curve - Payment Dates'!$A$2:$A$246,0))</f>
        <v>0.84787416911783064</v>
      </c>
      <c r="E4838" s="32">
        <f t="shared" si="75"/>
        <v>1.5367719315260679</v>
      </c>
    </row>
    <row r="4839" spans="1:5" x14ac:dyDescent="0.25">
      <c r="A4839" s="17">
        <v>341</v>
      </c>
      <c r="B4839" s="31">
        <v>47802</v>
      </c>
      <c r="C4839" s="32">
        <f>INDEX('Input Data'!$B:$B,A4839)/2+IF(A4839&lt;&gt;A4840,100,0)</f>
        <v>1.8125</v>
      </c>
      <c r="D4839" s="33">
        <f>INDEX('ZCB Curve - Payment Dates'!$D$2:$D$246,MATCH(B4839,'ZCB Curve - Payment Dates'!$A$2:$A$246,0))</f>
        <v>0.82827715028796722</v>
      </c>
      <c r="E4839" s="32">
        <f t="shared" si="75"/>
        <v>1.5012523348969407</v>
      </c>
    </row>
    <row r="4840" spans="1:5" x14ac:dyDescent="0.25">
      <c r="A4840" s="17">
        <v>341</v>
      </c>
      <c r="B4840" s="31">
        <v>47983</v>
      </c>
      <c r="C4840" s="32">
        <f>INDEX('Input Data'!$B:$B,A4840)/2+IF(A4840&lt;&gt;A4841,100,0)</f>
        <v>1.8125</v>
      </c>
      <c r="D4840" s="33">
        <f>INDEX('ZCB Curve - Payment Dates'!$D$2:$D$246,MATCH(B4840,'ZCB Curve - Payment Dates'!$A$2:$A$246,0))</f>
        <v>0.80939067484273564</v>
      </c>
      <c r="E4840" s="32">
        <f t="shared" si="75"/>
        <v>1.4670205981524584</v>
      </c>
    </row>
    <row r="4841" spans="1:5" x14ac:dyDescent="0.25">
      <c r="A4841" s="17">
        <v>341</v>
      </c>
      <c r="B4841" s="31">
        <v>48167</v>
      </c>
      <c r="C4841" s="32">
        <f>INDEX('Input Data'!$B:$B,A4841)/2+IF(A4841&lt;&gt;A4842,100,0)</f>
        <v>1.8125</v>
      </c>
      <c r="D4841" s="33">
        <f>INDEX('ZCB Curve - Payment Dates'!$D$2:$D$246,MATCH(B4841,'ZCB Curve - Payment Dates'!$A$2:$A$246,0))</f>
        <v>0.79053567842581962</v>
      </c>
      <c r="E4841" s="32">
        <f t="shared" si="75"/>
        <v>1.432845917146798</v>
      </c>
    </row>
    <row r="4842" spans="1:5" x14ac:dyDescent="0.25">
      <c r="A4842" s="17">
        <v>341</v>
      </c>
      <c r="B4842" s="31">
        <v>48349</v>
      </c>
      <c r="C4842" s="32">
        <f>INDEX('Input Data'!$B:$B,A4842)/2+IF(A4842&lt;&gt;A4843,100,0)</f>
        <v>1.8125</v>
      </c>
      <c r="D4842" s="33">
        <f>INDEX('ZCB Curve - Payment Dates'!$D$2:$D$246,MATCH(B4842,'ZCB Curve - Payment Dates'!$A$2:$A$246,0))</f>
        <v>0.77217305702007488</v>
      </c>
      <c r="E4842" s="32">
        <f t="shared" si="75"/>
        <v>1.3995636658488857</v>
      </c>
    </row>
    <row r="4843" spans="1:5" x14ac:dyDescent="0.25">
      <c r="A4843" s="17">
        <v>341</v>
      </c>
      <c r="B4843" s="31">
        <v>48533</v>
      </c>
      <c r="C4843" s="32">
        <f>INDEX('Input Data'!$B:$B,A4843)/2+IF(A4843&lt;&gt;A4844,100,0)</f>
        <v>1.8125</v>
      </c>
      <c r="D4843" s="33">
        <f>INDEX('ZCB Curve - Payment Dates'!$D$2:$D$246,MATCH(B4843,'ZCB Curve - Payment Dates'!$A$2:$A$246,0))</f>
        <v>0.75384766072076514</v>
      </c>
      <c r="E4843" s="32">
        <f t="shared" si="75"/>
        <v>1.3663488850563867</v>
      </c>
    </row>
    <row r="4844" spans="1:5" x14ac:dyDescent="0.25">
      <c r="A4844" s="17">
        <v>341</v>
      </c>
      <c r="B4844" s="31">
        <v>48714</v>
      </c>
      <c r="C4844" s="32">
        <f>INDEX('Input Data'!$B:$B,A4844)/2+IF(A4844&lt;&gt;A4845,100,0)</f>
        <v>1.8125</v>
      </c>
      <c r="D4844" s="33">
        <f>INDEX('ZCB Curve - Payment Dates'!$D$2:$D$246,MATCH(B4844,'ZCB Curve - Payment Dates'!$A$2:$A$246,0))</f>
        <v>0.73601491848746747</v>
      </c>
      <c r="E4844" s="32">
        <f t="shared" si="75"/>
        <v>1.3340270397585348</v>
      </c>
    </row>
    <row r="4845" spans="1:5" x14ac:dyDescent="0.25">
      <c r="A4845" s="17">
        <v>341</v>
      </c>
      <c r="B4845" s="31">
        <v>48898</v>
      </c>
      <c r="C4845" s="32">
        <f>INDEX('Input Data'!$B:$B,A4845)/2+IF(A4845&lt;&gt;A4846,100,0)</f>
        <v>1.8125</v>
      </c>
      <c r="D4845" s="33">
        <f>INDEX('ZCB Curve - Payment Dates'!$D$2:$D$246,MATCH(B4845,'ZCB Curve - Payment Dates'!$A$2:$A$246,0))</f>
        <v>0.71805338140354003</v>
      </c>
      <c r="E4845" s="32">
        <f t="shared" si="75"/>
        <v>1.3014717537939162</v>
      </c>
    </row>
    <row r="4846" spans="1:5" x14ac:dyDescent="0.25">
      <c r="A4846" s="17">
        <v>341</v>
      </c>
      <c r="B4846" s="31">
        <v>49079</v>
      </c>
      <c r="C4846" s="32">
        <f>INDEX('Input Data'!$B:$B,A4846)/2+IF(A4846&lt;&gt;A4847,100,0)</f>
        <v>1.8125</v>
      </c>
      <c r="D4846" s="33">
        <f>INDEX('ZCB Curve - Payment Dates'!$D$2:$D$246,MATCH(B4846,'ZCB Curve - Payment Dates'!$A$2:$A$246,0))</f>
        <v>0.70052630492471468</v>
      </c>
      <c r="E4846" s="32">
        <f t="shared" si="75"/>
        <v>1.2697039276760453</v>
      </c>
    </row>
    <row r="4847" spans="1:5" x14ac:dyDescent="0.25">
      <c r="A4847" s="17">
        <v>341</v>
      </c>
      <c r="B4847" s="31">
        <v>49263</v>
      </c>
      <c r="C4847" s="32">
        <f>INDEX('Input Data'!$B:$B,A4847)/2+IF(A4847&lt;&gt;A4848,100,0)</f>
        <v>1.8125</v>
      </c>
      <c r="D4847" s="33">
        <f>INDEX('ZCB Curve - Payment Dates'!$D$2:$D$246,MATCH(B4847,'ZCB Curve - Payment Dates'!$A$2:$A$246,0))</f>
        <v>0.68284221202539863</v>
      </c>
      <c r="E4847" s="32">
        <f t="shared" si="75"/>
        <v>1.237651509296035</v>
      </c>
    </row>
    <row r="4848" spans="1:5" x14ac:dyDescent="0.25">
      <c r="A4848" s="17">
        <v>341</v>
      </c>
      <c r="B4848" s="31">
        <v>49444</v>
      </c>
      <c r="C4848" s="32">
        <f>INDEX('Input Data'!$B:$B,A4848)/2+IF(A4848&lt;&gt;A4849,100,0)</f>
        <v>1.8125</v>
      </c>
      <c r="D4848" s="33">
        <f>INDEX('ZCB Curve - Payment Dates'!$D$2:$D$246,MATCH(B4848,'ZCB Curve - Payment Dates'!$A$2:$A$246,0))</f>
        <v>0.66557347415228496</v>
      </c>
      <c r="E4848" s="32">
        <f t="shared" si="75"/>
        <v>1.2063519219010166</v>
      </c>
    </row>
    <row r="4849" spans="1:5" x14ac:dyDescent="0.25">
      <c r="A4849" s="17">
        <v>341</v>
      </c>
      <c r="B4849" s="31">
        <v>49628</v>
      </c>
      <c r="C4849" s="32">
        <f>INDEX('Input Data'!$B:$B,A4849)/2+IF(A4849&lt;&gt;A4850,100,0)</f>
        <v>1.8125</v>
      </c>
      <c r="D4849" s="33">
        <f>INDEX('ZCB Curve - Payment Dates'!$D$2:$D$246,MATCH(B4849,'ZCB Curve - Payment Dates'!$A$2:$A$246,0))</f>
        <v>0.64815361918127823</v>
      </c>
      <c r="E4849" s="32">
        <f t="shared" si="75"/>
        <v>1.1747784347660668</v>
      </c>
    </row>
    <row r="4850" spans="1:5" x14ac:dyDescent="0.25">
      <c r="A4850" s="17">
        <v>341</v>
      </c>
      <c r="B4850" s="31">
        <v>49810</v>
      </c>
      <c r="C4850" s="32">
        <f>INDEX('Input Data'!$B:$B,A4850)/2+IF(A4850&lt;&gt;A4851,100,0)</f>
        <v>1.8125</v>
      </c>
      <c r="D4850" s="33">
        <f>INDEX('ZCB Curve - Payment Dates'!$D$2:$D$246,MATCH(B4850,'ZCB Curve - Payment Dates'!$A$2:$A$246,0))</f>
        <v>0.63106457078577471</v>
      </c>
      <c r="E4850" s="32">
        <f t="shared" si="75"/>
        <v>1.1438045345492167</v>
      </c>
    </row>
    <row r="4851" spans="1:5" x14ac:dyDescent="0.25">
      <c r="A4851" s="17">
        <v>341</v>
      </c>
      <c r="B4851" s="31">
        <v>49994</v>
      </c>
      <c r="C4851" s="32">
        <f>INDEX('Input Data'!$B:$B,A4851)/2+IF(A4851&lt;&gt;A4852,100,0)</f>
        <v>1.8125</v>
      </c>
      <c r="D4851" s="33">
        <f>INDEX('ZCB Curve - Payment Dates'!$D$2:$D$246,MATCH(B4851,'ZCB Curve - Payment Dates'!$A$2:$A$246,0))</f>
        <v>0.61395227923184648</v>
      </c>
      <c r="E4851" s="32">
        <f t="shared" si="75"/>
        <v>1.1127885061077218</v>
      </c>
    </row>
    <row r="4852" spans="1:5" x14ac:dyDescent="0.25">
      <c r="A4852" s="17">
        <v>341</v>
      </c>
      <c r="B4852" s="31">
        <v>50175</v>
      </c>
      <c r="C4852" s="32">
        <f>INDEX('Input Data'!$B:$B,A4852)/2+IF(A4852&lt;&gt;A4853,100,0)</f>
        <v>1.8125</v>
      </c>
      <c r="D4852" s="33">
        <f>INDEX('ZCB Curve - Payment Dates'!$D$2:$D$246,MATCH(B4852,'ZCB Curve - Payment Dates'!$A$2:$A$246,0))</f>
        <v>0.5972963482314616</v>
      </c>
      <c r="E4852" s="32">
        <f t="shared" si="75"/>
        <v>1.0825996311695241</v>
      </c>
    </row>
    <row r="4853" spans="1:5" x14ac:dyDescent="0.25">
      <c r="A4853" s="17">
        <v>341</v>
      </c>
      <c r="B4853" s="31">
        <v>50359</v>
      </c>
      <c r="C4853" s="32">
        <f>INDEX('Input Data'!$B:$B,A4853)/2+IF(A4853&lt;&gt;A4854,100,0)</f>
        <v>1.8125</v>
      </c>
      <c r="D4853" s="33">
        <f>INDEX('ZCB Curve - Payment Dates'!$D$2:$D$246,MATCH(B4853,'ZCB Curve - Payment Dates'!$A$2:$A$246,0))</f>
        <v>0.58056812006155756</v>
      </c>
      <c r="E4853" s="32">
        <f t="shared" si="75"/>
        <v>1.052279717611573</v>
      </c>
    </row>
    <row r="4854" spans="1:5" x14ac:dyDescent="0.25">
      <c r="A4854" s="17">
        <v>341</v>
      </c>
      <c r="B4854" s="31">
        <v>50540</v>
      </c>
      <c r="C4854" s="32">
        <f>INDEX('Input Data'!$B:$B,A4854)/2+IF(A4854&lt;&gt;A4855,100,0)</f>
        <v>1.8125</v>
      </c>
      <c r="D4854" s="33">
        <f>INDEX('ZCB Curve - Payment Dates'!$D$2:$D$246,MATCH(B4854,'ZCB Curve - Payment Dates'!$A$2:$A$246,0))</f>
        <v>0.56433491315969797</v>
      </c>
      <c r="E4854" s="32">
        <f t="shared" si="75"/>
        <v>1.0228570301019526</v>
      </c>
    </row>
    <row r="4855" spans="1:5" x14ac:dyDescent="0.25">
      <c r="A4855" s="17">
        <v>341</v>
      </c>
      <c r="B4855" s="31">
        <v>50724</v>
      </c>
      <c r="C4855" s="32">
        <f>INDEX('Input Data'!$B:$B,A4855)/2+IF(A4855&lt;&gt;A4856,100,0)</f>
        <v>1.8125</v>
      </c>
      <c r="D4855" s="33">
        <f>INDEX('ZCB Curve - Payment Dates'!$D$2:$D$246,MATCH(B4855,'ZCB Curve - Payment Dates'!$A$2:$A$246,0))</f>
        <v>0.54808398139057424</v>
      </c>
      <c r="E4855" s="32">
        <f t="shared" si="75"/>
        <v>0.99340221627041581</v>
      </c>
    </row>
    <row r="4856" spans="1:5" x14ac:dyDescent="0.25">
      <c r="A4856" s="17">
        <v>341</v>
      </c>
      <c r="B4856" s="31">
        <v>50905</v>
      </c>
      <c r="C4856" s="32">
        <f>INDEX('Input Data'!$B:$B,A4856)/2+IF(A4856&lt;&gt;A4857,100,0)</f>
        <v>1.8125</v>
      </c>
      <c r="D4856" s="33">
        <f>INDEX('ZCB Curve - Payment Dates'!$D$2:$D$246,MATCH(B4856,'ZCB Curve - Payment Dates'!$A$2:$A$246,0))</f>
        <v>0.5323673246083096</v>
      </c>
      <c r="E4856" s="32">
        <f t="shared" si="75"/>
        <v>0.96491577585256116</v>
      </c>
    </row>
    <row r="4857" spans="1:5" x14ac:dyDescent="0.25">
      <c r="A4857" s="17">
        <v>341</v>
      </c>
      <c r="B4857" s="31">
        <v>51089</v>
      </c>
      <c r="C4857" s="32">
        <f>INDEX('Input Data'!$B:$B,A4857)/2+IF(A4857&lt;&gt;A4858,100,0)</f>
        <v>1.8125</v>
      </c>
      <c r="D4857" s="33">
        <f>INDEX('ZCB Curve - Payment Dates'!$D$2:$D$246,MATCH(B4857,'ZCB Curve - Payment Dates'!$A$2:$A$246,0))</f>
        <v>0.51668806431098135</v>
      </c>
      <c r="E4857" s="32">
        <f t="shared" si="75"/>
        <v>0.93649711656365375</v>
      </c>
    </row>
    <row r="4858" spans="1:5" x14ac:dyDescent="0.25">
      <c r="A4858" s="17">
        <v>341</v>
      </c>
      <c r="B4858" s="31">
        <v>51271</v>
      </c>
      <c r="C4858" s="32">
        <f>INDEX('Input Data'!$B:$B,A4858)/2+IF(A4858&lt;&gt;A4859,100,0)</f>
        <v>1.8125</v>
      </c>
      <c r="D4858" s="33">
        <f>INDEX('ZCB Curve - Payment Dates'!$D$2:$D$246,MATCH(B4858,'ZCB Curve - Payment Dates'!$A$2:$A$246,0))</f>
        <v>0.50149590020417278</v>
      </c>
      <c r="E4858" s="32">
        <f t="shared" si="75"/>
        <v>0.90896131912006317</v>
      </c>
    </row>
    <row r="4859" spans="1:5" x14ac:dyDescent="0.25">
      <c r="A4859" s="17">
        <v>341</v>
      </c>
      <c r="B4859" s="31">
        <v>51455</v>
      </c>
      <c r="C4859" s="32">
        <f>INDEX('Input Data'!$B:$B,A4859)/2+IF(A4859&lt;&gt;A4860,100,0)</f>
        <v>1.8125</v>
      </c>
      <c r="D4859" s="33">
        <f>INDEX('ZCB Curve - Payment Dates'!$D$2:$D$246,MATCH(B4859,'ZCB Curve - Payment Dates'!$A$2:$A$246,0))</f>
        <v>0.48647538074270091</v>
      </c>
      <c r="E4859" s="32">
        <f t="shared" si="75"/>
        <v>0.88173662759614535</v>
      </c>
    </row>
    <row r="4860" spans="1:5" x14ac:dyDescent="0.25">
      <c r="A4860" s="17">
        <v>341</v>
      </c>
      <c r="B4860" s="31">
        <v>51636</v>
      </c>
      <c r="C4860" s="32">
        <f>INDEX('Input Data'!$B:$B,A4860)/2+IF(A4860&lt;&gt;A4861,100,0)</f>
        <v>1.8125</v>
      </c>
      <c r="D4860" s="33">
        <f>INDEX('ZCB Curve - Payment Dates'!$D$2:$D$246,MATCH(B4860,'ZCB Curve - Payment Dates'!$A$2:$A$246,0))</f>
        <v>0.47204918703719451</v>
      </c>
      <c r="E4860" s="32">
        <f t="shared" si="75"/>
        <v>0.85558915150491499</v>
      </c>
    </row>
    <row r="4861" spans="1:5" x14ac:dyDescent="0.25">
      <c r="A4861" s="17">
        <v>341</v>
      </c>
      <c r="B4861" s="31">
        <v>51820</v>
      </c>
      <c r="C4861" s="32">
        <f>INDEX('Input Data'!$B:$B,A4861)/2+IF(A4861&lt;&gt;A4862,100,0)</f>
        <v>1.8125</v>
      </c>
      <c r="D4861" s="33">
        <f>INDEX('ZCB Curve - Payment Dates'!$D$2:$D$246,MATCH(B4861,'ZCB Curve - Payment Dates'!$A$2:$A$246,0))</f>
        <v>0.45775548669345245</v>
      </c>
      <c r="E4861" s="32">
        <f t="shared" si="75"/>
        <v>0.82968181963188259</v>
      </c>
    </row>
    <row r="4862" spans="1:5" x14ac:dyDescent="0.25">
      <c r="A4862" s="17">
        <v>341</v>
      </c>
      <c r="B4862" s="31">
        <v>52001</v>
      </c>
      <c r="C4862" s="32">
        <f>INDEX('Input Data'!$B:$B,A4862)/2+IF(A4862&lt;&gt;A4863,100,0)</f>
        <v>1.8125</v>
      </c>
      <c r="D4862" s="33">
        <f>INDEX('ZCB Curve - Payment Dates'!$D$2:$D$246,MATCH(B4862,'ZCB Curve - Payment Dates'!$A$2:$A$246,0))</f>
        <v>0.44407192118484318</v>
      </c>
      <c r="E4862" s="32">
        <f t="shared" si="75"/>
        <v>0.80488035714752826</v>
      </c>
    </row>
    <row r="4863" spans="1:5" x14ac:dyDescent="0.25">
      <c r="A4863" s="17">
        <v>341</v>
      </c>
      <c r="B4863" s="31">
        <v>52185</v>
      </c>
      <c r="C4863" s="32">
        <f>INDEX('Input Data'!$B:$B,A4863)/2+IF(A4863&lt;&gt;A4864,100,0)</f>
        <v>1.8125</v>
      </c>
      <c r="D4863" s="33">
        <f>INDEX('ZCB Curve - Payment Dates'!$D$2:$D$246,MATCH(B4863,'ZCB Curve - Payment Dates'!$A$2:$A$246,0))</f>
        <v>0.43055647946672393</v>
      </c>
      <c r="E4863" s="32">
        <f t="shared" si="75"/>
        <v>0.78038361903343711</v>
      </c>
    </row>
    <row r="4864" spans="1:5" x14ac:dyDescent="0.25">
      <c r="A4864" s="17">
        <v>341</v>
      </c>
      <c r="B4864" s="31">
        <v>52366</v>
      </c>
      <c r="C4864" s="32">
        <f>INDEX('Input Data'!$B:$B,A4864)/2+IF(A4864&lt;&gt;A4865,100,0)</f>
        <v>1.8125</v>
      </c>
      <c r="D4864" s="33">
        <f>INDEX('ZCB Curve - Payment Dates'!$D$2:$D$246,MATCH(B4864,'ZCB Curve - Payment Dates'!$A$2:$A$246,0))</f>
        <v>0.41765686229470528</v>
      </c>
      <c r="E4864" s="32">
        <f t="shared" si="75"/>
        <v>0.75700306290915331</v>
      </c>
    </row>
    <row r="4865" spans="1:5" x14ac:dyDescent="0.25">
      <c r="A4865" s="17">
        <v>341</v>
      </c>
      <c r="B4865" s="31">
        <v>52550</v>
      </c>
      <c r="C4865" s="32">
        <f>INDEX('Input Data'!$B:$B,A4865)/2+IF(A4865&lt;&gt;A4866,100,0)</f>
        <v>1.8125</v>
      </c>
      <c r="D4865" s="33">
        <f>INDEX('ZCB Curve - Payment Dates'!$D$2:$D$246,MATCH(B4865,'ZCB Curve - Payment Dates'!$A$2:$A$246,0))</f>
        <v>0.40495237741553414</v>
      </c>
      <c r="E4865" s="32">
        <f t="shared" si="75"/>
        <v>0.73397618406565557</v>
      </c>
    </row>
    <row r="4866" spans="1:5" x14ac:dyDescent="0.25">
      <c r="A4866" s="17">
        <v>341</v>
      </c>
      <c r="B4866" s="31">
        <v>52732</v>
      </c>
      <c r="C4866" s="32">
        <f>INDEX('Input Data'!$B:$B,A4866)/2+IF(A4866&lt;&gt;A4867,100,0)</f>
        <v>1.8125</v>
      </c>
      <c r="D4866" s="33">
        <f>INDEX('ZCB Curve - Payment Dates'!$D$2:$D$246,MATCH(B4866,'ZCB Curve - Payment Dates'!$A$2:$A$246,0))</f>
        <v>0.3927952920896523</v>
      </c>
      <c r="E4866" s="32">
        <f t="shared" ref="E4866:E4929" si="76">C4866*D4866</f>
        <v>0.71194146691249482</v>
      </c>
    </row>
    <row r="4867" spans="1:5" x14ac:dyDescent="0.25">
      <c r="A4867" s="17">
        <v>341</v>
      </c>
      <c r="B4867" s="31">
        <v>52916</v>
      </c>
      <c r="C4867" s="32">
        <f>INDEX('Input Data'!$B:$B,A4867)/2+IF(A4867&lt;&gt;A4868,100,0)</f>
        <v>1.8125</v>
      </c>
      <c r="D4867" s="33">
        <f>INDEX('ZCB Curve - Payment Dates'!$D$2:$D$246,MATCH(B4867,'ZCB Curve - Payment Dates'!$A$2:$A$246,0))</f>
        <v>0.38091684361752687</v>
      </c>
      <c r="E4867" s="32">
        <f t="shared" si="76"/>
        <v>0.69041177905676743</v>
      </c>
    </row>
    <row r="4868" spans="1:5" x14ac:dyDescent="0.25">
      <c r="A4868" s="17">
        <v>341</v>
      </c>
      <c r="B4868" s="31">
        <v>53097</v>
      </c>
      <c r="C4868" s="32">
        <f>INDEX('Input Data'!$B:$B,A4868)/2+IF(A4868&lt;&gt;A4869,100,0)</f>
        <v>1.8125</v>
      </c>
      <c r="D4868" s="33">
        <f>INDEX('ZCB Curve - Payment Dates'!$D$2:$D$246,MATCH(B4868,'ZCB Curve - Payment Dates'!$A$2:$A$246,0))</f>
        <v>0.36964331092783359</v>
      </c>
      <c r="E4868" s="32">
        <f t="shared" si="76"/>
        <v>0.66997850105669843</v>
      </c>
    </row>
    <row r="4869" spans="1:5" x14ac:dyDescent="0.25">
      <c r="A4869" s="17">
        <v>341</v>
      </c>
      <c r="B4869" s="31">
        <v>53281</v>
      </c>
      <c r="C4869" s="32">
        <f>INDEX('Input Data'!$B:$B,A4869)/2+IF(A4869&lt;&gt;A4870,100,0)</f>
        <v>1.8125</v>
      </c>
      <c r="D4869" s="33">
        <f>INDEX('ZCB Curve - Payment Dates'!$D$2:$D$246,MATCH(B4869,'ZCB Curve - Payment Dates'!$A$2:$A$246,0))</f>
        <v>0.35859090372935404</v>
      </c>
      <c r="E4869" s="32">
        <f t="shared" si="76"/>
        <v>0.6499460130094542</v>
      </c>
    </row>
    <row r="4870" spans="1:5" x14ac:dyDescent="0.25">
      <c r="A4870" s="17">
        <v>341</v>
      </c>
      <c r="B4870" s="31">
        <v>53462</v>
      </c>
      <c r="C4870" s="32">
        <f>INDEX('Input Data'!$B:$B,A4870)/2+IF(A4870&lt;&gt;A4871,100,0)</f>
        <v>1.8125</v>
      </c>
      <c r="D4870" s="33">
        <f>INDEX('ZCB Curve - Payment Dates'!$D$2:$D$246,MATCH(B4870,'ZCB Curve - Payment Dates'!$A$2:$A$246,0))</f>
        <v>0.34812465854380154</v>
      </c>
      <c r="E4870" s="32">
        <f t="shared" si="76"/>
        <v>0.63097594361064024</v>
      </c>
    </row>
    <row r="4871" spans="1:5" x14ac:dyDescent="0.25">
      <c r="A4871" s="17">
        <v>341</v>
      </c>
      <c r="B4871" s="31">
        <v>53646</v>
      </c>
      <c r="C4871" s="32">
        <f>INDEX('Input Data'!$B:$B,A4871)/2+IF(A4871&lt;&gt;A4872,100,0)</f>
        <v>1.8125</v>
      </c>
      <c r="D4871" s="33">
        <f>INDEX('ZCB Curve - Payment Dates'!$D$2:$D$246,MATCH(B4871,'ZCB Curve - Payment Dates'!$A$2:$A$246,0))</f>
        <v>0.33788528510382887</v>
      </c>
      <c r="E4871" s="32">
        <f t="shared" si="76"/>
        <v>0.61241707925068978</v>
      </c>
    </row>
    <row r="4872" spans="1:5" x14ac:dyDescent="0.25">
      <c r="A4872" s="17">
        <v>341</v>
      </c>
      <c r="B4872" s="31">
        <v>53827</v>
      </c>
      <c r="C4872" s="32">
        <f>INDEX('Input Data'!$B:$B,A4872)/2+IF(A4872&lt;&gt;A4873,100,0)</f>
        <v>1.8125</v>
      </c>
      <c r="D4872" s="33">
        <f>INDEX('ZCB Curve - Payment Dates'!$D$2:$D$246,MATCH(B4872,'ZCB Curve - Payment Dates'!$A$2:$A$246,0))</f>
        <v>0.32820827061914198</v>
      </c>
      <c r="E4872" s="32">
        <f t="shared" si="76"/>
        <v>0.59487749049719485</v>
      </c>
    </row>
    <row r="4873" spans="1:5" x14ac:dyDescent="0.25">
      <c r="A4873" s="17">
        <v>341</v>
      </c>
      <c r="B4873" s="31">
        <v>54011</v>
      </c>
      <c r="C4873" s="32">
        <f>INDEX('Input Data'!$B:$B,A4873)/2+IF(A4873&lt;&gt;A4874,100,0)</f>
        <v>1.8125</v>
      </c>
      <c r="D4873" s="33">
        <f>INDEX('ZCB Curve - Payment Dates'!$D$2:$D$246,MATCH(B4873,'ZCB Curve - Payment Dates'!$A$2:$A$246,0))</f>
        <v>0.31875888330253388</v>
      </c>
      <c r="E4873" s="32">
        <f t="shared" si="76"/>
        <v>0.57775047598584262</v>
      </c>
    </row>
    <row r="4874" spans="1:5" x14ac:dyDescent="0.25">
      <c r="A4874" s="17">
        <v>341</v>
      </c>
      <c r="B4874" s="31">
        <v>54193</v>
      </c>
      <c r="C4874" s="32">
        <f>INDEX('Input Data'!$B:$B,A4874)/2+IF(A4874&lt;&gt;A4875,100,0)</f>
        <v>1.8125</v>
      </c>
      <c r="D4874" s="33">
        <f>INDEX('ZCB Curve - Payment Dates'!$D$2:$D$246,MATCH(B4874,'ZCB Curve - Payment Dates'!$A$2:$A$246,0))</f>
        <v>0.30979516521120642</v>
      </c>
      <c r="E4874" s="32">
        <f t="shared" si="76"/>
        <v>0.56150373694531164</v>
      </c>
    </row>
    <row r="4875" spans="1:5" x14ac:dyDescent="0.25">
      <c r="A4875" s="17">
        <v>341</v>
      </c>
      <c r="B4875" s="31">
        <v>54377</v>
      </c>
      <c r="C4875" s="32">
        <f>INDEX('Input Data'!$B:$B,A4875)/2+IF(A4875&lt;&gt;A4876,100,0)</f>
        <v>1.8125</v>
      </c>
      <c r="D4875" s="33">
        <f>INDEX('ZCB Curve - Payment Dates'!$D$2:$D$246,MATCH(B4875,'ZCB Curve - Payment Dates'!$A$2:$A$246,0))</f>
        <v>0.30110901062008694</v>
      </c>
      <c r="E4875" s="32">
        <f t="shared" si="76"/>
        <v>0.54576008174890756</v>
      </c>
    </row>
    <row r="4876" spans="1:5" x14ac:dyDescent="0.25">
      <c r="A4876" s="17">
        <v>341</v>
      </c>
      <c r="B4876" s="31">
        <v>54558</v>
      </c>
      <c r="C4876" s="32">
        <f>INDEX('Input Data'!$B:$B,A4876)/2+IF(A4876&lt;&gt;A4877,100,0)</f>
        <v>1.8125</v>
      </c>
      <c r="D4876" s="33">
        <f>INDEX('ZCB Curve - Payment Dates'!$D$2:$D$246,MATCH(B4876,'ZCB Curve - Payment Dates'!$A$2:$A$246,0))</f>
        <v>0.29292467059800714</v>
      </c>
      <c r="E4876" s="32">
        <f t="shared" si="76"/>
        <v>0.53092596545888793</v>
      </c>
    </row>
    <row r="4877" spans="1:5" x14ac:dyDescent="0.25">
      <c r="A4877" s="17">
        <v>341</v>
      </c>
      <c r="B4877" s="31">
        <v>54742</v>
      </c>
      <c r="C4877" s="32">
        <f>INDEX('Input Data'!$B:$B,A4877)/2+IF(A4877&lt;&gt;A4878,100,0)</f>
        <v>1.8125</v>
      </c>
      <c r="D4877" s="33">
        <f>INDEX('ZCB Curve - Payment Dates'!$D$2:$D$246,MATCH(B4877,'ZCB Curve - Payment Dates'!$A$2:$A$246,0))</f>
        <v>0.28496204444064566</v>
      </c>
      <c r="E4877" s="32">
        <f t="shared" si="76"/>
        <v>0.51649370554867025</v>
      </c>
    </row>
    <row r="4878" spans="1:5" x14ac:dyDescent="0.25">
      <c r="A4878" s="17">
        <v>341</v>
      </c>
      <c r="B4878" s="31">
        <v>54923</v>
      </c>
      <c r="C4878" s="32">
        <f>INDEX('Input Data'!$B:$B,A4878)/2+IF(A4878&lt;&gt;A4879,100,0)</f>
        <v>1.8125</v>
      </c>
      <c r="D4878" s="33">
        <f>INDEX('ZCB Curve - Payment Dates'!$D$2:$D$246,MATCH(B4878,'ZCB Curve - Payment Dates'!$A$2:$A$246,0))</f>
        <v>0.27747061478742291</v>
      </c>
      <c r="E4878" s="32">
        <f t="shared" si="76"/>
        <v>0.50291548930220398</v>
      </c>
    </row>
    <row r="4879" spans="1:5" x14ac:dyDescent="0.25">
      <c r="A4879" s="17">
        <v>341</v>
      </c>
      <c r="B4879" s="31">
        <v>55107</v>
      </c>
      <c r="C4879" s="32">
        <f>INDEX('Input Data'!$B:$B,A4879)/2+IF(A4879&lt;&gt;A4880,100,0)</f>
        <v>1.8125</v>
      </c>
      <c r="D4879" s="33">
        <f>INDEX('ZCB Curve - Payment Dates'!$D$2:$D$246,MATCH(B4879,'ZCB Curve - Payment Dates'!$A$2:$A$246,0))</f>
        <v>0.2701926092917406</v>
      </c>
      <c r="E4879" s="32">
        <f t="shared" si="76"/>
        <v>0.48972410434127983</v>
      </c>
    </row>
    <row r="4880" spans="1:5" x14ac:dyDescent="0.25">
      <c r="A4880" s="17">
        <v>341</v>
      </c>
      <c r="B4880" s="31">
        <v>55288</v>
      </c>
      <c r="C4880" s="32">
        <f>INDEX('Input Data'!$B:$B,A4880)/2+IF(A4880&lt;&gt;A4881,100,0)</f>
        <v>1.8125</v>
      </c>
      <c r="D4880" s="33">
        <f>INDEX('ZCB Curve - Payment Dates'!$D$2:$D$246,MATCH(B4880,'ZCB Curve - Payment Dates'!$A$2:$A$246,0))</f>
        <v>0.26335484985695851</v>
      </c>
      <c r="E4880" s="32">
        <f t="shared" si="76"/>
        <v>0.47733066536573732</v>
      </c>
    </row>
    <row r="4881" spans="1:5" x14ac:dyDescent="0.25">
      <c r="A4881" s="17">
        <v>341</v>
      </c>
      <c r="B4881" s="31">
        <v>55472</v>
      </c>
      <c r="C4881" s="32">
        <f>INDEX('Input Data'!$B:$B,A4881)/2+IF(A4881&lt;&gt;A4882,100,0)</f>
        <v>1.8125</v>
      </c>
      <c r="D4881" s="33">
        <f>INDEX('ZCB Curve - Payment Dates'!$D$2:$D$246,MATCH(B4881,'ZCB Curve - Payment Dates'!$A$2:$A$246,0))</f>
        <v>0.25672095505458636</v>
      </c>
      <c r="E4881" s="32">
        <f t="shared" si="76"/>
        <v>0.46530673103643777</v>
      </c>
    </row>
    <row r="4882" spans="1:5" x14ac:dyDescent="0.25">
      <c r="A4882" s="17">
        <v>341</v>
      </c>
      <c r="B4882" s="31">
        <v>55654</v>
      </c>
      <c r="C4882" s="32">
        <f>INDEX('Input Data'!$B:$B,A4882)/2+IF(A4882&lt;&gt;A4883,100,0)</f>
        <v>1.8125</v>
      </c>
      <c r="D4882" s="33">
        <f>INDEX('ZCB Curve - Payment Dates'!$D$2:$D$246,MATCH(B4882,'ZCB Curve - Payment Dates'!$A$2:$A$246,0))</f>
        <v>0.25046362869454364</v>
      </c>
      <c r="E4882" s="32">
        <f t="shared" si="76"/>
        <v>0.45396532700886033</v>
      </c>
    </row>
    <row r="4883" spans="1:5" x14ac:dyDescent="0.25">
      <c r="A4883" s="17">
        <v>341</v>
      </c>
      <c r="B4883" s="31">
        <v>55838</v>
      </c>
      <c r="C4883" s="32">
        <f>INDEX('Input Data'!$B:$B,A4883)/2+IF(A4883&lt;&gt;A4884,100,0)</f>
        <v>1.8125</v>
      </c>
      <c r="D4883" s="33">
        <f>INDEX('ZCB Curve - Payment Dates'!$D$2:$D$246,MATCH(B4883,'ZCB Curve - Payment Dates'!$A$2:$A$246,0))</f>
        <v>0.24443458292740508</v>
      </c>
      <c r="E4883" s="32">
        <f t="shared" si="76"/>
        <v>0.44303768155592171</v>
      </c>
    </row>
    <row r="4884" spans="1:5" x14ac:dyDescent="0.25">
      <c r="A4884" s="17">
        <v>341</v>
      </c>
      <c r="B4884" s="31">
        <v>56019</v>
      </c>
      <c r="C4884" s="32">
        <f>INDEX('Input Data'!$B:$B,A4884)/2+IF(A4884&lt;&gt;A4885,100,0)</f>
        <v>101.8125</v>
      </c>
      <c r="D4884" s="33">
        <f>INDEX('ZCB Curve - Payment Dates'!$D$2:$D$246,MATCH(B4884,'ZCB Curve - Payment Dates'!$A$2:$A$246,0))</f>
        <v>0.23878540660340086</v>
      </c>
      <c r="E4884" s="32">
        <f t="shared" si="76"/>
        <v>24.31133920980875</v>
      </c>
    </row>
    <row r="4885" spans="1:5" x14ac:dyDescent="0.25">
      <c r="A4885" s="17">
        <v>342</v>
      </c>
      <c r="B4885" s="31">
        <v>46433</v>
      </c>
      <c r="C4885" s="32">
        <f>INDEX('Input Data'!$B:$B,A4885)/2+IF(A4885&lt;&gt;A4886,100,0)</f>
        <v>2.0625</v>
      </c>
      <c r="D4885" s="33">
        <f>INDEX('ZCB Curve - Payment Dates'!$D$2:$D$246,MATCH(B4885,'ZCB Curve - Payment Dates'!$A$2:$A$246,0))</f>
        <v>0.98242671792446301</v>
      </c>
      <c r="E4885" s="32">
        <f t="shared" si="76"/>
        <v>2.0262551057192049</v>
      </c>
    </row>
    <row r="4886" spans="1:5" x14ac:dyDescent="0.25">
      <c r="A4886" s="17">
        <v>342</v>
      </c>
      <c r="B4886" s="31">
        <v>46614</v>
      </c>
      <c r="C4886" s="32">
        <f>INDEX('Input Data'!$B:$B,A4886)/2+IF(A4886&lt;&gt;A4887,100,0)</f>
        <v>2.0625</v>
      </c>
      <c r="D4886" s="33">
        <f>INDEX('ZCB Curve - Payment Dates'!$D$2:$D$246,MATCH(B4886,'ZCB Curve - Payment Dates'!$A$2:$A$246,0))</f>
        <v>0.96187948164765535</v>
      </c>
      <c r="E4886" s="32">
        <f t="shared" si="76"/>
        <v>1.9838764308982892</v>
      </c>
    </row>
    <row r="4887" spans="1:5" x14ac:dyDescent="0.25">
      <c r="A4887" s="17">
        <v>342</v>
      </c>
      <c r="B4887" s="31">
        <v>46798</v>
      </c>
      <c r="C4887" s="32">
        <f>INDEX('Input Data'!$B:$B,A4887)/2+IF(A4887&lt;&gt;A4888,100,0)</f>
        <v>2.0625</v>
      </c>
      <c r="D4887" s="33">
        <f>INDEX('ZCB Curve - Payment Dates'!$D$2:$D$246,MATCH(B4887,'ZCB Curve - Payment Dates'!$A$2:$A$246,0))</f>
        <v>0.94049096132648802</v>
      </c>
      <c r="E4887" s="32">
        <f t="shared" si="76"/>
        <v>1.9397626077358816</v>
      </c>
    </row>
    <row r="4888" spans="1:5" x14ac:dyDescent="0.25">
      <c r="A4888" s="17">
        <v>342</v>
      </c>
      <c r="B4888" s="31">
        <v>46980</v>
      </c>
      <c r="C4888" s="32">
        <f>INDEX('Input Data'!$B:$B,A4888)/2+IF(A4888&lt;&gt;A4889,100,0)</f>
        <v>2.0625</v>
      </c>
      <c r="D4888" s="33">
        <f>INDEX('ZCB Curve - Payment Dates'!$D$2:$D$246,MATCH(B4888,'ZCB Curve - Payment Dates'!$A$2:$A$246,0))</f>
        <v>0.91931844130238327</v>
      </c>
      <c r="E4888" s="32">
        <f t="shared" si="76"/>
        <v>1.8960942851861655</v>
      </c>
    </row>
    <row r="4889" spans="1:5" x14ac:dyDescent="0.25">
      <c r="A4889" s="17">
        <v>342</v>
      </c>
      <c r="B4889" s="31">
        <v>47164</v>
      </c>
      <c r="C4889" s="32">
        <f>INDEX('Input Data'!$B:$B,A4889)/2+IF(A4889&lt;&gt;A4890,100,0)</f>
        <v>2.0625</v>
      </c>
      <c r="D4889" s="33">
        <f>INDEX('ZCB Curve - Payment Dates'!$D$2:$D$246,MATCH(B4889,'ZCB Curve - Payment Dates'!$A$2:$A$246,0))</f>
        <v>0.89817430058086534</v>
      </c>
      <c r="E4889" s="32">
        <f t="shared" si="76"/>
        <v>1.8524844949480348</v>
      </c>
    </row>
    <row r="4890" spans="1:5" x14ac:dyDescent="0.25">
      <c r="A4890" s="17">
        <v>342</v>
      </c>
      <c r="B4890" s="31">
        <v>47345</v>
      </c>
      <c r="C4890" s="32">
        <f>INDEX('Input Data'!$B:$B,A4890)/2+IF(A4890&lt;&gt;A4891,100,0)</f>
        <v>2.0625</v>
      </c>
      <c r="D4890" s="33">
        <f>INDEX('ZCB Curve - Payment Dates'!$D$2:$D$246,MATCH(B4890,'ZCB Curve - Payment Dates'!$A$2:$A$246,0))</f>
        <v>0.87778421628860481</v>
      </c>
      <c r="E4890" s="32">
        <f t="shared" si="76"/>
        <v>1.8104299460952473</v>
      </c>
    </row>
    <row r="4891" spans="1:5" x14ac:dyDescent="0.25">
      <c r="A4891" s="17">
        <v>342</v>
      </c>
      <c r="B4891" s="31">
        <v>47529</v>
      </c>
      <c r="C4891" s="32">
        <f>INDEX('Input Data'!$B:$B,A4891)/2+IF(A4891&lt;&gt;A4892,100,0)</f>
        <v>2.0625</v>
      </c>
      <c r="D4891" s="33">
        <f>INDEX('ZCB Curve - Payment Dates'!$D$2:$D$246,MATCH(B4891,'ZCB Curve - Payment Dates'!$A$2:$A$246,0))</f>
        <v>0.85751015570959666</v>
      </c>
      <c r="E4891" s="32">
        <f t="shared" si="76"/>
        <v>1.7686146961510432</v>
      </c>
    </row>
    <row r="4892" spans="1:5" x14ac:dyDescent="0.25">
      <c r="A4892" s="17">
        <v>342</v>
      </c>
      <c r="B4892" s="31">
        <v>47710</v>
      </c>
      <c r="C4892" s="32">
        <f>INDEX('Input Data'!$B:$B,A4892)/2+IF(A4892&lt;&gt;A4893,100,0)</f>
        <v>2.0625</v>
      </c>
      <c r="D4892" s="33">
        <f>INDEX('ZCB Curve - Payment Dates'!$D$2:$D$246,MATCH(B4892,'ZCB Curve - Payment Dates'!$A$2:$A$246,0))</f>
        <v>0.83802423748211174</v>
      </c>
      <c r="E4892" s="32">
        <f t="shared" si="76"/>
        <v>1.7284249898068555</v>
      </c>
    </row>
    <row r="4893" spans="1:5" x14ac:dyDescent="0.25">
      <c r="A4893" s="17">
        <v>342</v>
      </c>
      <c r="B4893" s="31">
        <v>47894</v>
      </c>
      <c r="C4893" s="32">
        <f>INDEX('Input Data'!$B:$B,A4893)/2+IF(A4893&lt;&gt;A4894,100,0)</f>
        <v>2.0625</v>
      </c>
      <c r="D4893" s="33">
        <f>INDEX('ZCB Curve - Payment Dates'!$D$2:$D$246,MATCH(B4893,'ZCB Curve - Payment Dates'!$A$2:$A$246,0))</f>
        <v>0.8186305474741673</v>
      </c>
      <c r="E4893" s="32">
        <f t="shared" si="76"/>
        <v>1.6884255041654701</v>
      </c>
    </row>
    <row r="4894" spans="1:5" x14ac:dyDescent="0.25">
      <c r="A4894" s="17">
        <v>342</v>
      </c>
      <c r="B4894" s="31">
        <v>48075</v>
      </c>
      <c r="C4894" s="32">
        <f>INDEX('Input Data'!$B:$B,A4894)/2+IF(A4894&lt;&gt;A4895,100,0)</f>
        <v>2.0625</v>
      </c>
      <c r="D4894" s="33">
        <f>INDEX('ZCB Curve - Payment Dates'!$D$2:$D$246,MATCH(B4894,'ZCB Curve - Payment Dates'!$A$2:$A$246,0))</f>
        <v>0.7999252334775927</v>
      </c>
      <c r="E4894" s="32">
        <f t="shared" si="76"/>
        <v>1.6498457940475348</v>
      </c>
    </row>
    <row r="4895" spans="1:5" x14ac:dyDescent="0.25">
      <c r="A4895" s="17">
        <v>342</v>
      </c>
      <c r="B4895" s="31">
        <v>48259</v>
      </c>
      <c r="C4895" s="32">
        <f>INDEX('Input Data'!$B:$B,A4895)/2+IF(A4895&lt;&gt;A4896,100,0)</f>
        <v>2.0625</v>
      </c>
      <c r="D4895" s="33">
        <f>INDEX('ZCB Curve - Payment Dates'!$D$2:$D$246,MATCH(B4895,'ZCB Curve - Payment Dates'!$A$2:$A$246,0))</f>
        <v>0.78121887027612602</v>
      </c>
      <c r="E4895" s="32">
        <f t="shared" si="76"/>
        <v>1.61126391994451</v>
      </c>
    </row>
    <row r="4896" spans="1:5" x14ac:dyDescent="0.25">
      <c r="A4896" s="17">
        <v>342</v>
      </c>
      <c r="B4896" s="31">
        <v>48441</v>
      </c>
      <c r="C4896" s="32">
        <f>INDEX('Input Data'!$B:$B,A4896)/2+IF(A4896&lt;&gt;A4897,100,0)</f>
        <v>2.0625</v>
      </c>
      <c r="D4896" s="33">
        <f>INDEX('ZCB Curve - Payment Dates'!$D$2:$D$246,MATCH(B4896,'ZCB Curve - Payment Dates'!$A$2:$A$246,0))</f>
        <v>0.76298123459017864</v>
      </c>
      <c r="E4896" s="32">
        <f t="shared" si="76"/>
        <v>1.5736487963422434</v>
      </c>
    </row>
    <row r="4897" spans="1:5" x14ac:dyDescent="0.25">
      <c r="A4897" s="17">
        <v>342</v>
      </c>
      <c r="B4897" s="31">
        <v>48625</v>
      </c>
      <c r="C4897" s="32">
        <f>INDEX('Input Data'!$B:$B,A4897)/2+IF(A4897&lt;&gt;A4898,100,0)</f>
        <v>2.0625</v>
      </c>
      <c r="D4897" s="33">
        <f>INDEX('ZCB Curve - Payment Dates'!$D$2:$D$246,MATCH(B4897,'ZCB Curve - Payment Dates'!$A$2:$A$246,0))</f>
        <v>0.74476011611938586</v>
      </c>
      <c r="E4897" s="32">
        <f t="shared" si="76"/>
        <v>1.5360677394962334</v>
      </c>
    </row>
    <row r="4898" spans="1:5" x14ac:dyDescent="0.25">
      <c r="A4898" s="17">
        <v>342</v>
      </c>
      <c r="B4898" s="31">
        <v>48806</v>
      </c>
      <c r="C4898" s="32">
        <f>INDEX('Input Data'!$B:$B,A4898)/2+IF(A4898&lt;&gt;A4899,100,0)</f>
        <v>2.0625</v>
      </c>
      <c r="D4898" s="33">
        <f>INDEX('ZCB Curve - Payment Dates'!$D$2:$D$246,MATCH(B4898,'ZCB Curve - Payment Dates'!$A$2:$A$246,0))</f>
        <v>0.72701302496114584</v>
      </c>
      <c r="E4898" s="32">
        <f t="shared" si="76"/>
        <v>1.4994643639823633</v>
      </c>
    </row>
    <row r="4899" spans="1:5" x14ac:dyDescent="0.25">
      <c r="A4899" s="17">
        <v>342</v>
      </c>
      <c r="B4899" s="31">
        <v>48990</v>
      </c>
      <c r="C4899" s="32">
        <f>INDEX('Input Data'!$B:$B,A4899)/2+IF(A4899&lt;&gt;A4900,100,0)</f>
        <v>2.0625</v>
      </c>
      <c r="D4899" s="33">
        <f>INDEX('ZCB Curve - Payment Dates'!$D$2:$D$246,MATCH(B4899,'ZCB Curve - Payment Dates'!$A$2:$A$246,0))</f>
        <v>0.70912647031380449</v>
      </c>
      <c r="E4899" s="32">
        <f t="shared" si="76"/>
        <v>1.4625733450222218</v>
      </c>
    </row>
    <row r="4900" spans="1:5" x14ac:dyDescent="0.25">
      <c r="A4900" s="17">
        <v>342</v>
      </c>
      <c r="B4900" s="31">
        <v>49171</v>
      </c>
      <c r="C4900" s="32">
        <f>INDEX('Input Data'!$B:$B,A4900)/2+IF(A4900&lt;&gt;A4901,100,0)</f>
        <v>2.0625</v>
      </c>
      <c r="D4900" s="33">
        <f>INDEX('ZCB Curve - Payment Dates'!$D$2:$D$246,MATCH(B4900,'ZCB Curve - Payment Dates'!$A$2:$A$246,0))</f>
        <v>0.6916661505723215</v>
      </c>
      <c r="E4900" s="32">
        <f t="shared" si="76"/>
        <v>1.426561435555413</v>
      </c>
    </row>
    <row r="4901" spans="1:5" x14ac:dyDescent="0.25">
      <c r="A4901" s="17">
        <v>342</v>
      </c>
      <c r="B4901" s="31">
        <v>49355</v>
      </c>
      <c r="C4901" s="32">
        <f>INDEX('Input Data'!$B:$B,A4901)/2+IF(A4901&lt;&gt;A4902,100,0)</f>
        <v>2.0625</v>
      </c>
      <c r="D4901" s="33">
        <f>INDEX('ZCB Curve - Payment Dates'!$D$2:$D$246,MATCH(B4901,'ZCB Curve - Payment Dates'!$A$2:$A$246,0))</f>
        <v>0.674047377898778</v>
      </c>
      <c r="E4901" s="32">
        <f t="shared" si="76"/>
        <v>1.3902227169162296</v>
      </c>
    </row>
    <row r="4902" spans="1:5" x14ac:dyDescent="0.25">
      <c r="A4902" s="17">
        <v>342</v>
      </c>
      <c r="B4902" s="31">
        <v>49536</v>
      </c>
      <c r="C4902" s="32">
        <f>INDEX('Input Data'!$B:$B,A4902)/2+IF(A4902&lt;&gt;A4903,100,0)</f>
        <v>2.0625</v>
      </c>
      <c r="D4902" s="33">
        <f>INDEX('ZCB Curve - Payment Dates'!$D$2:$D$246,MATCH(B4902,'ZCB Curve - Payment Dates'!$A$2:$A$246,0))</f>
        <v>0.65684432300638129</v>
      </c>
      <c r="E4902" s="32">
        <f t="shared" si="76"/>
        <v>1.3547414162006615</v>
      </c>
    </row>
    <row r="4903" spans="1:5" x14ac:dyDescent="0.25">
      <c r="A4903" s="17">
        <v>342</v>
      </c>
      <c r="B4903" s="31">
        <v>49720</v>
      </c>
      <c r="C4903" s="32">
        <f>INDEX('Input Data'!$B:$B,A4903)/2+IF(A4903&lt;&gt;A4904,100,0)</f>
        <v>2.0625</v>
      </c>
      <c r="D4903" s="33">
        <f>INDEX('ZCB Curve - Payment Dates'!$D$2:$D$246,MATCH(B4903,'ZCB Curve - Payment Dates'!$A$2:$A$246,0))</f>
        <v>0.63949604524993764</v>
      </c>
      <c r="E4903" s="32">
        <f t="shared" si="76"/>
        <v>1.3189605933279964</v>
      </c>
    </row>
    <row r="4904" spans="1:5" x14ac:dyDescent="0.25">
      <c r="A4904" s="17">
        <v>342</v>
      </c>
      <c r="B4904" s="31">
        <v>49902</v>
      </c>
      <c r="C4904" s="32">
        <f>INDEX('Input Data'!$B:$B,A4904)/2+IF(A4904&lt;&gt;A4905,100,0)</f>
        <v>2.0625</v>
      </c>
      <c r="D4904" s="33">
        <f>INDEX('ZCB Curve - Payment Dates'!$D$2:$D$246,MATCH(B4904,'ZCB Curve - Payment Dates'!$A$2:$A$246,0))</f>
        <v>0.62248862376822711</v>
      </c>
      <c r="E4904" s="32">
        <f t="shared" si="76"/>
        <v>1.2838827865219684</v>
      </c>
    </row>
    <row r="4905" spans="1:5" x14ac:dyDescent="0.25">
      <c r="A4905" s="17">
        <v>342</v>
      </c>
      <c r="B4905" s="31">
        <v>50086</v>
      </c>
      <c r="C4905" s="32">
        <f>INDEX('Input Data'!$B:$B,A4905)/2+IF(A4905&lt;&gt;A4906,100,0)</f>
        <v>2.0625</v>
      </c>
      <c r="D4905" s="33">
        <f>INDEX('ZCB Curve - Payment Dates'!$D$2:$D$246,MATCH(B4905,'ZCB Curve - Payment Dates'!$A$2:$A$246,0))</f>
        <v>0.60546490876014969</v>
      </c>
      <c r="E4905" s="32">
        <f t="shared" si="76"/>
        <v>1.2487713743178088</v>
      </c>
    </row>
    <row r="4906" spans="1:5" x14ac:dyDescent="0.25">
      <c r="A4906" s="17">
        <v>342</v>
      </c>
      <c r="B4906" s="31">
        <v>50267</v>
      </c>
      <c r="C4906" s="32">
        <f>INDEX('Input Data'!$B:$B,A4906)/2+IF(A4906&lt;&gt;A4907,100,0)</f>
        <v>2.0625</v>
      </c>
      <c r="D4906" s="33">
        <f>INDEX('ZCB Curve - Payment Dates'!$D$2:$D$246,MATCH(B4906,'ZCB Curve - Payment Dates'!$A$2:$A$246,0))</f>
        <v>0.58890683803346977</v>
      </c>
      <c r="E4906" s="32">
        <f t="shared" si="76"/>
        <v>1.2146203534440314</v>
      </c>
    </row>
    <row r="4907" spans="1:5" x14ac:dyDescent="0.25">
      <c r="A4907" s="17">
        <v>342</v>
      </c>
      <c r="B4907" s="31">
        <v>50451</v>
      </c>
      <c r="C4907" s="32">
        <f>INDEX('Input Data'!$B:$B,A4907)/2+IF(A4907&lt;&gt;A4908,100,0)</f>
        <v>2.0625</v>
      </c>
      <c r="D4907" s="33">
        <f>INDEX('ZCB Curve - Payment Dates'!$D$2:$D$246,MATCH(B4907,'ZCB Curve - Payment Dates'!$A$2:$A$246,0))</f>
        <v>0.57228983695479263</v>
      </c>
      <c r="E4907" s="32">
        <f t="shared" si="76"/>
        <v>1.1803477887192597</v>
      </c>
    </row>
    <row r="4908" spans="1:5" x14ac:dyDescent="0.25">
      <c r="A4908" s="17">
        <v>342</v>
      </c>
      <c r="B4908" s="31">
        <v>50632</v>
      </c>
      <c r="C4908" s="32">
        <f>INDEX('Input Data'!$B:$B,A4908)/2+IF(A4908&lt;&gt;A4909,100,0)</f>
        <v>2.0625</v>
      </c>
      <c r="D4908" s="33">
        <f>INDEX('ZCB Curve - Payment Dates'!$D$2:$D$246,MATCH(B4908,'ZCB Curve - Payment Dates'!$A$2:$A$246,0))</f>
        <v>0.55617795699202288</v>
      </c>
      <c r="E4908" s="32">
        <f t="shared" si="76"/>
        <v>1.1471170362960472</v>
      </c>
    </row>
    <row r="4909" spans="1:5" x14ac:dyDescent="0.25">
      <c r="A4909" s="17">
        <v>342</v>
      </c>
      <c r="B4909" s="31">
        <v>50816</v>
      </c>
      <c r="C4909" s="32">
        <f>INDEX('Input Data'!$B:$B,A4909)/2+IF(A4909&lt;&gt;A4910,100,0)</f>
        <v>2.0625</v>
      </c>
      <c r="D4909" s="33">
        <f>INDEX('ZCB Curve - Payment Dates'!$D$2:$D$246,MATCH(B4909,'ZCB Curve - Payment Dates'!$A$2:$A$246,0))</f>
        <v>0.54006240951211237</v>
      </c>
      <c r="E4909" s="32">
        <f t="shared" si="76"/>
        <v>1.1138787196187319</v>
      </c>
    </row>
    <row r="4910" spans="1:5" x14ac:dyDescent="0.25">
      <c r="A4910" s="17">
        <v>342</v>
      </c>
      <c r="B4910" s="31">
        <v>50997</v>
      </c>
      <c r="C4910" s="32">
        <f>INDEX('Input Data'!$B:$B,A4910)/2+IF(A4910&lt;&gt;A4911,100,0)</f>
        <v>2.0625</v>
      </c>
      <c r="D4910" s="33">
        <f>INDEX('ZCB Curve - Payment Dates'!$D$2:$D$246,MATCH(B4910,'ZCB Curve - Payment Dates'!$A$2:$A$246,0))</f>
        <v>0.52449040173194583</v>
      </c>
      <c r="E4910" s="32">
        <f t="shared" si="76"/>
        <v>1.0817614535721383</v>
      </c>
    </row>
    <row r="4911" spans="1:5" x14ac:dyDescent="0.25">
      <c r="A4911" s="17">
        <v>342</v>
      </c>
      <c r="B4911" s="31">
        <v>51181</v>
      </c>
      <c r="C4911" s="32">
        <f>INDEX('Input Data'!$B:$B,A4911)/2+IF(A4911&lt;&gt;A4912,100,0)</f>
        <v>2.0625</v>
      </c>
      <c r="D4911" s="33">
        <f>INDEX('ZCB Curve - Payment Dates'!$D$2:$D$246,MATCH(B4911,'ZCB Curve - Payment Dates'!$A$2:$A$246,0))</f>
        <v>0.5089691698468306</v>
      </c>
      <c r="E4911" s="32">
        <f t="shared" si="76"/>
        <v>1.0497489128090882</v>
      </c>
    </row>
    <row r="4912" spans="1:5" x14ac:dyDescent="0.25">
      <c r="A4912" s="17">
        <v>342</v>
      </c>
      <c r="B4912" s="31">
        <v>51363</v>
      </c>
      <c r="C4912" s="32">
        <f>INDEX('Input Data'!$B:$B,A4912)/2+IF(A4912&lt;&gt;A4913,100,0)</f>
        <v>2.0625</v>
      </c>
      <c r="D4912" s="33">
        <f>INDEX('ZCB Curve - Payment Dates'!$D$2:$D$246,MATCH(B4912,'ZCB Curve - Payment Dates'!$A$2:$A$246,0))</f>
        <v>0.49394036022330806</v>
      </c>
      <c r="E4912" s="32">
        <f t="shared" si="76"/>
        <v>1.0187519929605728</v>
      </c>
    </row>
    <row r="4913" spans="1:5" x14ac:dyDescent="0.25">
      <c r="A4913" s="17">
        <v>342</v>
      </c>
      <c r="B4913" s="31">
        <v>51547</v>
      </c>
      <c r="C4913" s="32">
        <f>INDEX('Input Data'!$B:$B,A4913)/2+IF(A4913&lt;&gt;A4914,100,0)</f>
        <v>2.0625</v>
      </c>
      <c r="D4913" s="33">
        <f>INDEX('ZCB Curve - Payment Dates'!$D$2:$D$246,MATCH(B4913,'ZCB Curve - Payment Dates'!$A$2:$A$246,0))</f>
        <v>0.47909718957588998</v>
      </c>
      <c r="E4913" s="32">
        <f t="shared" si="76"/>
        <v>0.98813795350027311</v>
      </c>
    </row>
    <row r="4914" spans="1:5" x14ac:dyDescent="0.25">
      <c r="A4914" s="17">
        <v>342</v>
      </c>
      <c r="B4914" s="31">
        <v>51728</v>
      </c>
      <c r="C4914" s="32">
        <f>INDEX('Input Data'!$B:$B,A4914)/2+IF(A4914&lt;&gt;A4915,100,0)</f>
        <v>2.0625</v>
      </c>
      <c r="D4914" s="33">
        <f>INDEX('ZCB Curve - Payment Dates'!$D$2:$D$246,MATCH(B4914,'ZCB Curve - Payment Dates'!$A$2:$A$246,0))</f>
        <v>0.46485329459616059</v>
      </c>
      <c r="E4914" s="32">
        <f t="shared" si="76"/>
        <v>0.95875992010458122</v>
      </c>
    </row>
    <row r="4915" spans="1:5" x14ac:dyDescent="0.25">
      <c r="A4915" s="17">
        <v>342</v>
      </c>
      <c r="B4915" s="31">
        <v>51912</v>
      </c>
      <c r="C4915" s="32">
        <f>INDEX('Input Data'!$B:$B,A4915)/2+IF(A4915&lt;&gt;A4916,100,0)</f>
        <v>2.0625</v>
      </c>
      <c r="D4915" s="33">
        <f>INDEX('ZCB Curve - Payment Dates'!$D$2:$D$246,MATCH(B4915,'ZCB Curve - Payment Dates'!$A$2:$A$246,0))</f>
        <v>0.45075168915212815</v>
      </c>
      <c r="E4915" s="32">
        <f t="shared" si="76"/>
        <v>0.92967535887626429</v>
      </c>
    </row>
    <row r="4916" spans="1:5" x14ac:dyDescent="0.25">
      <c r="A4916" s="17">
        <v>342</v>
      </c>
      <c r="B4916" s="31">
        <v>52093</v>
      </c>
      <c r="C4916" s="32">
        <f>INDEX('Input Data'!$B:$B,A4916)/2+IF(A4916&lt;&gt;A4917,100,0)</f>
        <v>2.0625</v>
      </c>
      <c r="D4916" s="33">
        <f>INDEX('ZCB Curve - Payment Dates'!$D$2:$D$246,MATCH(B4916,'ZCB Curve - Payment Dates'!$A$2:$A$246,0))</f>
        <v>0.43726259018094221</v>
      </c>
      <c r="E4916" s="32">
        <f t="shared" si="76"/>
        <v>0.90185409224819335</v>
      </c>
    </row>
    <row r="4917" spans="1:5" x14ac:dyDescent="0.25">
      <c r="A4917" s="17">
        <v>342</v>
      </c>
      <c r="B4917" s="31">
        <v>52277</v>
      </c>
      <c r="C4917" s="32">
        <f>INDEX('Input Data'!$B:$B,A4917)/2+IF(A4917&lt;&gt;A4918,100,0)</f>
        <v>2.0625</v>
      </c>
      <c r="D4917" s="33">
        <f>INDEX('ZCB Curve - Payment Dates'!$D$2:$D$246,MATCH(B4917,'ZCB Curve - Payment Dates'!$A$2:$A$246,0))</f>
        <v>0.4239492285351204</v>
      </c>
      <c r="E4917" s="32">
        <f t="shared" si="76"/>
        <v>0.87439528385368581</v>
      </c>
    </row>
    <row r="4918" spans="1:5" x14ac:dyDescent="0.25">
      <c r="A4918" s="17">
        <v>342</v>
      </c>
      <c r="B4918" s="31">
        <v>52458</v>
      </c>
      <c r="C4918" s="32">
        <f>INDEX('Input Data'!$B:$B,A4918)/2+IF(A4918&lt;&gt;A4919,100,0)</f>
        <v>2.0625</v>
      </c>
      <c r="D4918" s="33">
        <f>INDEX('ZCB Curve - Payment Dates'!$D$2:$D$246,MATCH(B4918,'ZCB Curve - Payment Dates'!$A$2:$A$246,0))</f>
        <v>0.4112516019468152</v>
      </c>
      <c r="E4918" s="32">
        <f t="shared" si="76"/>
        <v>0.84820642901530641</v>
      </c>
    </row>
    <row r="4919" spans="1:5" x14ac:dyDescent="0.25">
      <c r="A4919" s="17">
        <v>342</v>
      </c>
      <c r="B4919" s="31">
        <v>52642</v>
      </c>
      <c r="C4919" s="32">
        <f>INDEX('Input Data'!$B:$B,A4919)/2+IF(A4919&lt;&gt;A4920,100,0)</f>
        <v>2.0625</v>
      </c>
      <c r="D4919" s="33">
        <f>INDEX('ZCB Curve - Payment Dates'!$D$2:$D$246,MATCH(B4919,'ZCB Curve - Payment Dates'!$A$2:$A$246,0))</f>
        <v>0.39875459879352759</v>
      </c>
      <c r="E4919" s="32">
        <f t="shared" si="76"/>
        <v>0.82243136001165063</v>
      </c>
    </row>
    <row r="4920" spans="1:5" x14ac:dyDescent="0.25">
      <c r="A4920" s="17">
        <v>342</v>
      </c>
      <c r="B4920" s="31">
        <v>52824</v>
      </c>
      <c r="C4920" s="32">
        <f>INDEX('Input Data'!$B:$B,A4920)/2+IF(A4920&lt;&gt;A4921,100,0)</f>
        <v>2.0625</v>
      </c>
      <c r="D4920" s="33">
        <f>INDEX('ZCB Curve - Payment Dates'!$D$2:$D$246,MATCH(B4920,'ZCB Curve - Payment Dates'!$A$2:$A$246,0))</f>
        <v>0.38680384560622083</v>
      </c>
      <c r="E4920" s="32">
        <f t="shared" si="76"/>
        <v>0.79778293156283042</v>
      </c>
    </row>
    <row r="4921" spans="1:5" x14ac:dyDescent="0.25">
      <c r="A4921" s="17">
        <v>342</v>
      </c>
      <c r="B4921" s="31">
        <v>53008</v>
      </c>
      <c r="C4921" s="32">
        <f>INDEX('Input Data'!$B:$B,A4921)/2+IF(A4921&lt;&gt;A4922,100,0)</f>
        <v>2.0625</v>
      </c>
      <c r="D4921" s="33">
        <f>INDEX('ZCB Curve - Payment Dates'!$D$2:$D$246,MATCH(B4921,'ZCB Curve - Payment Dates'!$A$2:$A$246,0))</f>
        <v>0.37513648791915083</v>
      </c>
      <c r="E4921" s="32">
        <f t="shared" si="76"/>
        <v>0.77371900633324864</v>
      </c>
    </row>
    <row r="4922" spans="1:5" x14ac:dyDescent="0.25">
      <c r="A4922" s="17">
        <v>342</v>
      </c>
      <c r="B4922" s="31">
        <v>53189</v>
      </c>
      <c r="C4922" s="32">
        <f>INDEX('Input Data'!$B:$B,A4922)/2+IF(A4922&lt;&gt;A4923,100,0)</f>
        <v>2.0625</v>
      </c>
      <c r="D4922" s="33">
        <f>INDEX('ZCB Curve - Payment Dates'!$D$2:$D$246,MATCH(B4922,'ZCB Curve - Payment Dates'!$A$2:$A$246,0))</f>
        <v>0.36406533257851953</v>
      </c>
      <c r="E4922" s="32">
        <f t="shared" si="76"/>
        <v>0.75088474844319653</v>
      </c>
    </row>
    <row r="4923" spans="1:5" x14ac:dyDescent="0.25">
      <c r="A4923" s="17">
        <v>342</v>
      </c>
      <c r="B4923" s="31">
        <v>53373</v>
      </c>
      <c r="C4923" s="32">
        <f>INDEX('Input Data'!$B:$B,A4923)/2+IF(A4923&lt;&gt;A4924,100,0)</f>
        <v>2.0625</v>
      </c>
      <c r="D4923" s="33">
        <f>INDEX('ZCB Curve - Payment Dates'!$D$2:$D$246,MATCH(B4923,'ZCB Curve - Payment Dates'!$A$2:$A$246,0))</f>
        <v>0.35322166892031259</v>
      </c>
      <c r="E4923" s="32">
        <f t="shared" si="76"/>
        <v>0.72851969214814472</v>
      </c>
    </row>
    <row r="4924" spans="1:5" x14ac:dyDescent="0.25">
      <c r="A4924" s="17">
        <v>342</v>
      </c>
      <c r="B4924" s="31">
        <v>53554</v>
      </c>
      <c r="C4924" s="32">
        <f>INDEX('Input Data'!$B:$B,A4924)/2+IF(A4924&lt;&gt;A4925,100,0)</f>
        <v>2.0625</v>
      </c>
      <c r="D4924" s="33">
        <f>INDEX('ZCB Curve - Payment Dates'!$D$2:$D$246,MATCH(B4924,'ZCB Curve - Payment Dates'!$A$2:$A$246,0))</f>
        <v>0.34295436226619208</v>
      </c>
      <c r="E4924" s="32">
        <f t="shared" si="76"/>
        <v>0.70734337217402121</v>
      </c>
    </row>
    <row r="4925" spans="1:5" x14ac:dyDescent="0.25">
      <c r="A4925" s="17">
        <v>342</v>
      </c>
      <c r="B4925" s="31">
        <v>53738</v>
      </c>
      <c r="C4925" s="32">
        <f>INDEX('Input Data'!$B:$B,A4925)/2+IF(A4925&lt;&gt;A4926,100,0)</f>
        <v>2.0625</v>
      </c>
      <c r="D4925" s="33">
        <f>INDEX('ZCB Curve - Payment Dates'!$D$2:$D$246,MATCH(B4925,'ZCB Curve - Payment Dates'!$A$2:$A$246,0))</f>
        <v>0.33291860450360972</v>
      </c>
      <c r="E4925" s="32">
        <f t="shared" si="76"/>
        <v>0.68664462178869501</v>
      </c>
    </row>
    <row r="4926" spans="1:5" x14ac:dyDescent="0.25">
      <c r="A4926" s="17">
        <v>342</v>
      </c>
      <c r="B4926" s="31">
        <v>53919</v>
      </c>
      <c r="C4926" s="32">
        <f>INDEX('Input Data'!$B:$B,A4926)/2+IF(A4926&lt;&gt;A4927,100,0)</f>
        <v>2.0625</v>
      </c>
      <c r="D4926" s="33">
        <f>INDEX('ZCB Curve - Payment Dates'!$D$2:$D$246,MATCH(B4926,'ZCB Curve - Payment Dates'!$A$2:$A$246,0))</f>
        <v>0.32343468195091313</v>
      </c>
      <c r="E4926" s="32">
        <f t="shared" si="76"/>
        <v>0.66708403152375828</v>
      </c>
    </row>
    <row r="4927" spans="1:5" x14ac:dyDescent="0.25">
      <c r="A4927" s="17">
        <v>342</v>
      </c>
      <c r="B4927" s="31">
        <v>54103</v>
      </c>
      <c r="C4927" s="32">
        <f>INDEX('Input Data'!$B:$B,A4927)/2+IF(A4927&lt;&gt;A4928,100,0)</f>
        <v>2.0625</v>
      </c>
      <c r="D4927" s="33">
        <f>INDEX('ZCB Curve - Payment Dates'!$D$2:$D$246,MATCH(B4927,'ZCB Curve - Payment Dates'!$A$2:$A$246,0))</f>
        <v>0.31418167147949361</v>
      </c>
      <c r="E4927" s="32">
        <f t="shared" si="76"/>
        <v>0.64799969742645558</v>
      </c>
    </row>
    <row r="4928" spans="1:5" x14ac:dyDescent="0.25">
      <c r="A4928" s="17">
        <v>342</v>
      </c>
      <c r="B4928" s="31">
        <v>54285</v>
      </c>
      <c r="C4928" s="32">
        <f>INDEX('Input Data'!$B:$B,A4928)/2+IF(A4928&lt;&gt;A4929,100,0)</f>
        <v>2.0625</v>
      </c>
      <c r="D4928" s="33">
        <f>INDEX('ZCB Curve - Payment Dates'!$D$2:$D$246,MATCH(B4928,'ZCB Curve - Payment Dates'!$A$2:$A$246,0))</f>
        <v>0.30540618878290843</v>
      </c>
      <c r="E4928" s="32">
        <f t="shared" si="76"/>
        <v>0.62990026436474866</v>
      </c>
    </row>
    <row r="4929" spans="1:5" x14ac:dyDescent="0.25">
      <c r="A4929" s="17">
        <v>342</v>
      </c>
      <c r="B4929" s="31">
        <v>54469</v>
      </c>
      <c r="C4929" s="32">
        <f>INDEX('Input Data'!$B:$B,A4929)/2+IF(A4929&lt;&gt;A4930,100,0)</f>
        <v>2.0625</v>
      </c>
      <c r="D4929" s="33">
        <f>INDEX('ZCB Curve - Payment Dates'!$D$2:$D$246,MATCH(B4929,'ZCB Curve - Payment Dates'!$A$2:$A$246,0))</f>
        <v>0.29690423521941833</v>
      </c>
      <c r="E4929" s="32">
        <f t="shared" si="76"/>
        <v>0.61236498514005033</v>
      </c>
    </row>
    <row r="4930" spans="1:5" x14ac:dyDescent="0.25">
      <c r="A4930" s="17">
        <v>342</v>
      </c>
      <c r="B4930" s="31">
        <v>54650</v>
      </c>
      <c r="C4930" s="32">
        <f>INDEX('Input Data'!$B:$B,A4930)/2+IF(A4930&lt;&gt;A4931,100,0)</f>
        <v>2.0625</v>
      </c>
      <c r="D4930" s="33">
        <f>INDEX('ZCB Curve - Payment Dates'!$D$2:$D$246,MATCH(B4930,'ZCB Curve - Payment Dates'!$A$2:$A$246,0))</f>
        <v>0.2888997564491238</v>
      </c>
      <c r="E4930" s="32">
        <f t="shared" ref="E4930:E4993" si="77">C4930*D4930</f>
        <v>0.59585574767631788</v>
      </c>
    </row>
    <row r="4931" spans="1:5" x14ac:dyDescent="0.25">
      <c r="A4931" s="17">
        <v>342</v>
      </c>
      <c r="B4931" s="31">
        <v>54834</v>
      </c>
      <c r="C4931" s="32">
        <f>INDEX('Input Data'!$B:$B,A4931)/2+IF(A4931&lt;&gt;A4932,100,0)</f>
        <v>2.0625</v>
      </c>
      <c r="D4931" s="33">
        <f>INDEX('ZCB Curve - Payment Dates'!$D$2:$D$246,MATCH(B4931,'ZCB Curve - Payment Dates'!$A$2:$A$246,0))</f>
        <v>0.28111189964037164</v>
      </c>
      <c r="E4931" s="32">
        <f t="shared" si="77"/>
        <v>0.57979329300826654</v>
      </c>
    </row>
    <row r="4932" spans="1:5" x14ac:dyDescent="0.25">
      <c r="A4932" s="17">
        <v>342</v>
      </c>
      <c r="B4932" s="31">
        <v>55015</v>
      </c>
      <c r="C4932" s="32">
        <f>INDEX('Input Data'!$B:$B,A4932)/2+IF(A4932&lt;&gt;A4933,100,0)</f>
        <v>2.0625</v>
      </c>
      <c r="D4932" s="33">
        <f>INDEX('ZCB Curve - Payment Dates'!$D$2:$D$246,MATCH(B4932,'ZCB Curve - Payment Dates'!$A$2:$A$246,0))</f>
        <v>0.27379046078597996</v>
      </c>
      <c r="E4932" s="32">
        <f t="shared" si="77"/>
        <v>0.56469282537108367</v>
      </c>
    </row>
    <row r="4933" spans="1:5" x14ac:dyDescent="0.25">
      <c r="A4933" s="17">
        <v>342</v>
      </c>
      <c r="B4933" s="31">
        <v>55199</v>
      </c>
      <c r="C4933" s="32">
        <f>INDEX('Input Data'!$B:$B,A4933)/2+IF(A4933&lt;&gt;A4934,100,0)</f>
        <v>2.0625</v>
      </c>
      <c r="D4933" s="33">
        <f>INDEX('ZCB Curve - Payment Dates'!$D$2:$D$246,MATCH(B4933,'ZCB Curve - Payment Dates'!$A$2:$A$246,0))</f>
        <v>0.26667724322397307</v>
      </c>
      <c r="E4933" s="32">
        <f t="shared" si="77"/>
        <v>0.55002181414944451</v>
      </c>
    </row>
    <row r="4934" spans="1:5" x14ac:dyDescent="0.25">
      <c r="A4934" s="17">
        <v>342</v>
      </c>
      <c r="B4934" s="31">
        <v>55380</v>
      </c>
      <c r="C4934" s="32">
        <f>INDEX('Input Data'!$B:$B,A4934)/2+IF(A4934&lt;&gt;A4935,100,0)</f>
        <v>2.0625</v>
      </c>
      <c r="D4934" s="33">
        <f>INDEX('ZCB Curve - Payment Dates'!$D$2:$D$246,MATCH(B4934,'ZCB Curve - Payment Dates'!$A$2:$A$246,0))</f>
        <v>0.25999926234228898</v>
      </c>
      <c r="E4934" s="32">
        <f t="shared" si="77"/>
        <v>0.53624847858097102</v>
      </c>
    </row>
    <row r="4935" spans="1:5" x14ac:dyDescent="0.25">
      <c r="A4935" s="17">
        <v>342</v>
      </c>
      <c r="B4935" s="31">
        <v>55564</v>
      </c>
      <c r="C4935" s="32">
        <f>INDEX('Input Data'!$B:$B,A4935)/2+IF(A4935&lt;&gt;A4936,100,0)</f>
        <v>2.0625</v>
      </c>
      <c r="D4935" s="33">
        <f>INDEX('ZCB Curve - Payment Dates'!$D$2:$D$246,MATCH(B4935,'ZCB Curve - Payment Dates'!$A$2:$A$246,0))</f>
        <v>0.25351997596294801</v>
      </c>
      <c r="E4935" s="32">
        <f t="shared" si="77"/>
        <v>0.5228849504235803</v>
      </c>
    </row>
    <row r="4936" spans="1:5" x14ac:dyDescent="0.25">
      <c r="A4936" s="17">
        <v>342</v>
      </c>
      <c r="B4936" s="31">
        <v>55746</v>
      </c>
      <c r="C4936" s="32">
        <f>INDEX('Input Data'!$B:$B,A4936)/2+IF(A4936&lt;&gt;A4937,100,0)</f>
        <v>2.0625</v>
      </c>
      <c r="D4936" s="33">
        <f>INDEX('ZCB Curve - Payment Dates'!$D$2:$D$246,MATCH(B4936,'ZCB Curve - Payment Dates'!$A$2:$A$246,0))</f>
        <v>0.24741177833471262</v>
      </c>
      <c r="E4936" s="32">
        <f t="shared" si="77"/>
        <v>0.51028679281534473</v>
      </c>
    </row>
    <row r="4937" spans="1:5" x14ac:dyDescent="0.25">
      <c r="A4937" s="17">
        <v>342</v>
      </c>
      <c r="B4937" s="31">
        <v>55930</v>
      </c>
      <c r="C4937" s="32">
        <f>INDEX('Input Data'!$B:$B,A4937)/2+IF(A4937&lt;&gt;A4938,100,0)</f>
        <v>2.0625</v>
      </c>
      <c r="D4937" s="33">
        <f>INDEX('ZCB Curve - Payment Dates'!$D$2:$D$246,MATCH(B4937,'ZCB Curve - Payment Dates'!$A$2:$A$246,0))</f>
        <v>0.24152840552252464</v>
      </c>
      <c r="E4937" s="32">
        <f t="shared" si="77"/>
        <v>0.49815233639020706</v>
      </c>
    </row>
    <row r="4938" spans="1:5" x14ac:dyDescent="0.25">
      <c r="A4938" s="17">
        <v>342</v>
      </c>
      <c r="B4938" s="31">
        <v>56111</v>
      </c>
      <c r="C4938" s="32">
        <f>INDEX('Input Data'!$B:$B,A4938)/2+IF(A4938&lt;&gt;A4939,100,0)</f>
        <v>102.0625</v>
      </c>
      <c r="D4938" s="33">
        <f>INDEX('ZCB Curve - Payment Dates'!$D$2:$D$246,MATCH(B4938,'ZCB Curve - Payment Dates'!$A$2:$A$246,0))</f>
        <v>0.23601759993777988</v>
      </c>
      <c r="E4938" s="32">
        <f t="shared" si="77"/>
        <v>24.08854629364966</v>
      </c>
    </row>
    <row r="4939" spans="1:5" x14ac:dyDescent="0.25">
      <c r="A4939" s="17">
        <v>343</v>
      </c>
      <c r="B4939" s="31">
        <v>46341</v>
      </c>
      <c r="C4939" s="32">
        <f>INDEX('Input Data'!$B:$B,A4939)/2+IF(A4939&lt;&gt;A4940,100,0)</f>
        <v>2.375</v>
      </c>
      <c r="D4939" s="33">
        <f>INDEX('ZCB Curve - Payment Dates'!$D$2:$D$246,MATCH(B4939,'ZCB Curve - Payment Dates'!$A$2:$A$246,0))</f>
        <v>0.99245367292309439</v>
      </c>
      <c r="E4939" s="32">
        <f t="shared" si="77"/>
        <v>2.3570774731923492</v>
      </c>
    </row>
    <row r="4940" spans="1:5" x14ac:dyDescent="0.25">
      <c r="A4940" s="17">
        <v>343</v>
      </c>
      <c r="B4940" s="31">
        <v>46522</v>
      </c>
      <c r="C4940" s="32">
        <f>INDEX('Input Data'!$B:$B,A4940)/2+IF(A4940&lt;&gt;A4941,100,0)</f>
        <v>2.375</v>
      </c>
      <c r="D4940" s="33">
        <f>INDEX('ZCB Curve - Payment Dates'!$D$2:$D$246,MATCH(B4940,'ZCB Curve - Payment Dates'!$A$2:$A$246,0))</f>
        <v>0.97242179559611874</v>
      </c>
      <c r="E4940" s="32">
        <f t="shared" si="77"/>
        <v>2.3095017645407818</v>
      </c>
    </row>
    <row r="4941" spans="1:5" x14ac:dyDescent="0.25">
      <c r="A4941" s="17">
        <v>343</v>
      </c>
      <c r="B4941" s="31">
        <v>46706</v>
      </c>
      <c r="C4941" s="32">
        <f>INDEX('Input Data'!$B:$B,A4941)/2+IF(A4941&lt;&gt;A4942,100,0)</f>
        <v>2.375</v>
      </c>
      <c r="D4941" s="33">
        <f>INDEX('ZCB Curve - Payment Dates'!$D$2:$D$246,MATCH(B4941,'ZCB Curve - Payment Dates'!$A$2:$A$246,0))</f>
        <v>0.95121018311627348</v>
      </c>
      <c r="E4941" s="32">
        <f t="shared" si="77"/>
        <v>2.2591241849011494</v>
      </c>
    </row>
    <row r="4942" spans="1:5" x14ac:dyDescent="0.25">
      <c r="A4942" s="17">
        <v>343</v>
      </c>
      <c r="B4942" s="31">
        <v>46888</v>
      </c>
      <c r="C4942" s="32">
        <f>INDEX('Input Data'!$B:$B,A4942)/2+IF(A4942&lt;&gt;A4943,100,0)</f>
        <v>2.375</v>
      </c>
      <c r="D4942" s="33">
        <f>INDEX('ZCB Curve - Payment Dates'!$D$2:$D$246,MATCH(B4942,'ZCB Curve - Payment Dates'!$A$2:$A$246,0))</f>
        <v>0.93000025435083566</v>
      </c>
      <c r="E4942" s="32">
        <f t="shared" si="77"/>
        <v>2.2087506040832348</v>
      </c>
    </row>
    <row r="4943" spans="1:5" x14ac:dyDescent="0.25">
      <c r="A4943" s="17">
        <v>343</v>
      </c>
      <c r="B4943" s="31">
        <v>47072</v>
      </c>
      <c r="C4943" s="32">
        <f>INDEX('Input Data'!$B:$B,A4943)/2+IF(A4943&lt;&gt;A4944,100,0)</f>
        <v>2.375</v>
      </c>
      <c r="D4943" s="33">
        <f>INDEX('ZCB Curve - Payment Dates'!$D$2:$D$246,MATCH(B4943,'ZCB Curve - Payment Dates'!$A$2:$A$246,0))</f>
        <v>0.90870125167038918</v>
      </c>
      <c r="E4943" s="32">
        <f t="shared" si="77"/>
        <v>2.1581654727171742</v>
      </c>
    </row>
    <row r="4944" spans="1:5" x14ac:dyDescent="0.25">
      <c r="A4944" s="17">
        <v>343</v>
      </c>
      <c r="B4944" s="31">
        <v>47253</v>
      </c>
      <c r="C4944" s="32">
        <f>INDEX('Input Data'!$B:$B,A4944)/2+IF(A4944&lt;&gt;A4945,100,0)</f>
        <v>2.375</v>
      </c>
      <c r="D4944" s="33">
        <f>INDEX('ZCB Curve - Payment Dates'!$D$2:$D$246,MATCH(B4944,'ZCB Curve - Payment Dates'!$A$2:$A$246,0))</f>
        <v>0.88809325063638844</v>
      </c>
      <c r="E4944" s="32">
        <f t="shared" si="77"/>
        <v>2.1092214702614225</v>
      </c>
    </row>
    <row r="4945" spans="1:5" x14ac:dyDescent="0.25">
      <c r="A4945" s="17">
        <v>343</v>
      </c>
      <c r="B4945" s="31">
        <v>47437</v>
      </c>
      <c r="C4945" s="32">
        <f>INDEX('Input Data'!$B:$B,A4945)/2+IF(A4945&lt;&gt;A4946,100,0)</f>
        <v>2.375</v>
      </c>
      <c r="D4945" s="33">
        <f>INDEX('ZCB Curve - Payment Dates'!$D$2:$D$246,MATCH(B4945,'ZCB Curve - Payment Dates'!$A$2:$A$246,0))</f>
        <v>0.86758824089536279</v>
      </c>
      <c r="E4945" s="32">
        <f t="shared" si="77"/>
        <v>2.0605220721264867</v>
      </c>
    </row>
    <row r="4946" spans="1:5" x14ac:dyDescent="0.25">
      <c r="A4946" s="17">
        <v>343</v>
      </c>
      <c r="B4946" s="31">
        <v>47618</v>
      </c>
      <c r="C4946" s="32">
        <f>INDEX('Input Data'!$B:$B,A4946)/2+IF(A4946&lt;&gt;A4947,100,0)</f>
        <v>2.375</v>
      </c>
      <c r="D4946" s="33">
        <f>INDEX('ZCB Curve - Payment Dates'!$D$2:$D$246,MATCH(B4946,'ZCB Curve - Payment Dates'!$A$2:$A$246,0))</f>
        <v>0.84787416911783064</v>
      </c>
      <c r="E4946" s="32">
        <f t="shared" si="77"/>
        <v>2.013701151654848</v>
      </c>
    </row>
    <row r="4947" spans="1:5" x14ac:dyDescent="0.25">
      <c r="A4947" s="17">
        <v>343</v>
      </c>
      <c r="B4947" s="31">
        <v>47802</v>
      </c>
      <c r="C4947" s="32">
        <f>INDEX('Input Data'!$B:$B,A4947)/2+IF(A4947&lt;&gt;A4948,100,0)</f>
        <v>2.375</v>
      </c>
      <c r="D4947" s="33">
        <f>INDEX('ZCB Curve - Payment Dates'!$D$2:$D$246,MATCH(B4947,'ZCB Curve - Payment Dates'!$A$2:$A$246,0))</f>
        <v>0.82827715028796722</v>
      </c>
      <c r="E4947" s="32">
        <f t="shared" si="77"/>
        <v>1.9671582319339223</v>
      </c>
    </row>
    <row r="4948" spans="1:5" x14ac:dyDescent="0.25">
      <c r="A4948" s="17">
        <v>343</v>
      </c>
      <c r="B4948" s="31">
        <v>47983</v>
      </c>
      <c r="C4948" s="32">
        <f>INDEX('Input Data'!$B:$B,A4948)/2+IF(A4948&lt;&gt;A4949,100,0)</f>
        <v>2.375</v>
      </c>
      <c r="D4948" s="33">
        <f>INDEX('ZCB Curve - Payment Dates'!$D$2:$D$246,MATCH(B4948,'ZCB Curve - Payment Dates'!$A$2:$A$246,0))</f>
        <v>0.80939067484273564</v>
      </c>
      <c r="E4948" s="32">
        <f t="shared" si="77"/>
        <v>1.9223028527514971</v>
      </c>
    </row>
    <row r="4949" spans="1:5" x14ac:dyDescent="0.25">
      <c r="A4949" s="17">
        <v>343</v>
      </c>
      <c r="B4949" s="31">
        <v>48167</v>
      </c>
      <c r="C4949" s="32">
        <f>INDEX('Input Data'!$B:$B,A4949)/2+IF(A4949&lt;&gt;A4950,100,0)</f>
        <v>2.375</v>
      </c>
      <c r="D4949" s="33">
        <f>INDEX('ZCB Curve - Payment Dates'!$D$2:$D$246,MATCH(B4949,'ZCB Curve - Payment Dates'!$A$2:$A$246,0))</f>
        <v>0.79053567842581962</v>
      </c>
      <c r="E4949" s="32">
        <f t="shared" si="77"/>
        <v>1.8775222362613215</v>
      </c>
    </row>
    <row r="4950" spans="1:5" x14ac:dyDescent="0.25">
      <c r="A4950" s="17">
        <v>343</v>
      </c>
      <c r="B4950" s="31">
        <v>48349</v>
      </c>
      <c r="C4950" s="32">
        <f>INDEX('Input Data'!$B:$B,A4950)/2+IF(A4950&lt;&gt;A4951,100,0)</f>
        <v>2.375</v>
      </c>
      <c r="D4950" s="33">
        <f>INDEX('ZCB Curve - Payment Dates'!$D$2:$D$246,MATCH(B4950,'ZCB Curve - Payment Dates'!$A$2:$A$246,0))</f>
        <v>0.77217305702007488</v>
      </c>
      <c r="E4950" s="32">
        <f t="shared" si="77"/>
        <v>1.8339110104226779</v>
      </c>
    </row>
    <row r="4951" spans="1:5" x14ac:dyDescent="0.25">
      <c r="A4951" s="17">
        <v>343</v>
      </c>
      <c r="B4951" s="31">
        <v>48533</v>
      </c>
      <c r="C4951" s="32">
        <f>INDEX('Input Data'!$B:$B,A4951)/2+IF(A4951&lt;&gt;A4952,100,0)</f>
        <v>2.375</v>
      </c>
      <c r="D4951" s="33">
        <f>INDEX('ZCB Curve - Payment Dates'!$D$2:$D$246,MATCH(B4951,'ZCB Curve - Payment Dates'!$A$2:$A$246,0))</f>
        <v>0.75384766072076514</v>
      </c>
      <c r="E4951" s="32">
        <f t="shared" si="77"/>
        <v>1.7903881942118172</v>
      </c>
    </row>
    <row r="4952" spans="1:5" x14ac:dyDescent="0.25">
      <c r="A4952" s="17">
        <v>343</v>
      </c>
      <c r="B4952" s="31">
        <v>48714</v>
      </c>
      <c r="C4952" s="32">
        <f>INDEX('Input Data'!$B:$B,A4952)/2+IF(A4952&lt;&gt;A4953,100,0)</f>
        <v>2.375</v>
      </c>
      <c r="D4952" s="33">
        <f>INDEX('ZCB Curve - Payment Dates'!$D$2:$D$246,MATCH(B4952,'ZCB Curve - Payment Dates'!$A$2:$A$246,0))</f>
        <v>0.73601491848746747</v>
      </c>
      <c r="E4952" s="32">
        <f t="shared" si="77"/>
        <v>1.7480354314077353</v>
      </c>
    </row>
    <row r="4953" spans="1:5" x14ac:dyDescent="0.25">
      <c r="A4953" s="17">
        <v>343</v>
      </c>
      <c r="B4953" s="31">
        <v>48898</v>
      </c>
      <c r="C4953" s="32">
        <f>INDEX('Input Data'!$B:$B,A4953)/2+IF(A4953&lt;&gt;A4954,100,0)</f>
        <v>2.375</v>
      </c>
      <c r="D4953" s="33">
        <f>INDEX('ZCB Curve - Payment Dates'!$D$2:$D$246,MATCH(B4953,'ZCB Curve - Payment Dates'!$A$2:$A$246,0))</f>
        <v>0.71805338140354003</v>
      </c>
      <c r="E4953" s="32">
        <f t="shared" si="77"/>
        <v>1.7053767808334075</v>
      </c>
    </row>
    <row r="4954" spans="1:5" x14ac:dyDescent="0.25">
      <c r="A4954" s="17">
        <v>343</v>
      </c>
      <c r="B4954" s="31">
        <v>49079</v>
      </c>
      <c r="C4954" s="32">
        <f>INDEX('Input Data'!$B:$B,A4954)/2+IF(A4954&lt;&gt;A4955,100,0)</f>
        <v>2.375</v>
      </c>
      <c r="D4954" s="33">
        <f>INDEX('ZCB Curve - Payment Dates'!$D$2:$D$246,MATCH(B4954,'ZCB Curve - Payment Dates'!$A$2:$A$246,0))</f>
        <v>0.70052630492471468</v>
      </c>
      <c r="E4954" s="32">
        <f t="shared" si="77"/>
        <v>1.6637499741961974</v>
      </c>
    </row>
    <row r="4955" spans="1:5" x14ac:dyDescent="0.25">
      <c r="A4955" s="17">
        <v>343</v>
      </c>
      <c r="B4955" s="31">
        <v>49263</v>
      </c>
      <c r="C4955" s="32">
        <f>INDEX('Input Data'!$B:$B,A4955)/2+IF(A4955&lt;&gt;A4956,100,0)</f>
        <v>2.375</v>
      </c>
      <c r="D4955" s="33">
        <f>INDEX('ZCB Curve - Payment Dates'!$D$2:$D$246,MATCH(B4955,'ZCB Curve - Payment Dates'!$A$2:$A$246,0))</f>
        <v>0.68284221202539863</v>
      </c>
      <c r="E4955" s="32">
        <f t="shared" si="77"/>
        <v>1.6217502535603217</v>
      </c>
    </row>
    <row r="4956" spans="1:5" x14ac:dyDescent="0.25">
      <c r="A4956" s="17">
        <v>343</v>
      </c>
      <c r="B4956" s="31">
        <v>49444</v>
      </c>
      <c r="C4956" s="32">
        <f>INDEX('Input Data'!$B:$B,A4956)/2+IF(A4956&lt;&gt;A4957,100,0)</f>
        <v>2.375</v>
      </c>
      <c r="D4956" s="33">
        <f>INDEX('ZCB Curve - Payment Dates'!$D$2:$D$246,MATCH(B4956,'ZCB Curve - Payment Dates'!$A$2:$A$246,0))</f>
        <v>0.66557347415228496</v>
      </c>
      <c r="E4956" s="32">
        <f t="shared" si="77"/>
        <v>1.5807370011116768</v>
      </c>
    </row>
    <row r="4957" spans="1:5" x14ac:dyDescent="0.25">
      <c r="A4957" s="17">
        <v>343</v>
      </c>
      <c r="B4957" s="31">
        <v>49628</v>
      </c>
      <c r="C4957" s="32">
        <f>INDEX('Input Data'!$B:$B,A4957)/2+IF(A4957&lt;&gt;A4958,100,0)</f>
        <v>2.375</v>
      </c>
      <c r="D4957" s="33">
        <f>INDEX('ZCB Curve - Payment Dates'!$D$2:$D$246,MATCH(B4957,'ZCB Curve - Payment Dates'!$A$2:$A$246,0))</f>
        <v>0.64815361918127823</v>
      </c>
      <c r="E4957" s="32">
        <f t="shared" si="77"/>
        <v>1.5393648455555358</v>
      </c>
    </row>
    <row r="4958" spans="1:5" x14ac:dyDescent="0.25">
      <c r="A4958" s="17">
        <v>343</v>
      </c>
      <c r="B4958" s="31">
        <v>49810</v>
      </c>
      <c r="C4958" s="32">
        <f>INDEX('Input Data'!$B:$B,A4958)/2+IF(A4958&lt;&gt;A4959,100,0)</f>
        <v>2.375</v>
      </c>
      <c r="D4958" s="33">
        <f>INDEX('ZCB Curve - Payment Dates'!$D$2:$D$246,MATCH(B4958,'ZCB Curve - Payment Dates'!$A$2:$A$246,0))</f>
        <v>0.63106457078577471</v>
      </c>
      <c r="E4958" s="32">
        <f t="shared" si="77"/>
        <v>1.4987783556162149</v>
      </c>
    </row>
    <row r="4959" spans="1:5" x14ac:dyDescent="0.25">
      <c r="A4959" s="17">
        <v>343</v>
      </c>
      <c r="B4959" s="31">
        <v>49994</v>
      </c>
      <c r="C4959" s="32">
        <f>INDEX('Input Data'!$B:$B,A4959)/2+IF(A4959&lt;&gt;A4960,100,0)</f>
        <v>2.375</v>
      </c>
      <c r="D4959" s="33">
        <f>INDEX('ZCB Curve - Payment Dates'!$D$2:$D$246,MATCH(B4959,'ZCB Curve - Payment Dates'!$A$2:$A$246,0))</f>
        <v>0.61395227923184648</v>
      </c>
      <c r="E4959" s="32">
        <f t="shared" si="77"/>
        <v>1.4581366631756354</v>
      </c>
    </row>
    <row r="4960" spans="1:5" x14ac:dyDescent="0.25">
      <c r="A4960" s="17">
        <v>343</v>
      </c>
      <c r="B4960" s="31">
        <v>50175</v>
      </c>
      <c r="C4960" s="32">
        <f>INDEX('Input Data'!$B:$B,A4960)/2+IF(A4960&lt;&gt;A4961,100,0)</f>
        <v>2.375</v>
      </c>
      <c r="D4960" s="33">
        <f>INDEX('ZCB Curve - Payment Dates'!$D$2:$D$246,MATCH(B4960,'ZCB Curve - Payment Dates'!$A$2:$A$246,0))</f>
        <v>0.5972963482314616</v>
      </c>
      <c r="E4960" s="32">
        <f t="shared" si="77"/>
        <v>1.4185788270497213</v>
      </c>
    </row>
    <row r="4961" spans="1:5" x14ac:dyDescent="0.25">
      <c r="A4961" s="17">
        <v>343</v>
      </c>
      <c r="B4961" s="31">
        <v>50359</v>
      </c>
      <c r="C4961" s="32">
        <f>INDEX('Input Data'!$B:$B,A4961)/2+IF(A4961&lt;&gt;A4962,100,0)</f>
        <v>2.375</v>
      </c>
      <c r="D4961" s="33">
        <f>INDEX('ZCB Curve - Payment Dates'!$D$2:$D$246,MATCH(B4961,'ZCB Curve - Payment Dates'!$A$2:$A$246,0))</f>
        <v>0.58056812006155756</v>
      </c>
      <c r="E4961" s="32">
        <f t="shared" si="77"/>
        <v>1.3788492851461993</v>
      </c>
    </row>
    <row r="4962" spans="1:5" x14ac:dyDescent="0.25">
      <c r="A4962" s="17">
        <v>343</v>
      </c>
      <c r="B4962" s="31">
        <v>50540</v>
      </c>
      <c r="C4962" s="32">
        <f>INDEX('Input Data'!$B:$B,A4962)/2+IF(A4962&lt;&gt;A4963,100,0)</f>
        <v>2.375</v>
      </c>
      <c r="D4962" s="33">
        <f>INDEX('ZCB Curve - Payment Dates'!$D$2:$D$246,MATCH(B4962,'ZCB Curve - Payment Dates'!$A$2:$A$246,0))</f>
        <v>0.56433491315969797</v>
      </c>
      <c r="E4962" s="32">
        <f t="shared" si="77"/>
        <v>1.3402954187542826</v>
      </c>
    </row>
    <row r="4963" spans="1:5" x14ac:dyDescent="0.25">
      <c r="A4963" s="17">
        <v>343</v>
      </c>
      <c r="B4963" s="31">
        <v>50724</v>
      </c>
      <c r="C4963" s="32">
        <f>INDEX('Input Data'!$B:$B,A4963)/2+IF(A4963&lt;&gt;A4964,100,0)</f>
        <v>2.375</v>
      </c>
      <c r="D4963" s="33">
        <f>INDEX('ZCB Curve - Payment Dates'!$D$2:$D$246,MATCH(B4963,'ZCB Curve - Payment Dates'!$A$2:$A$246,0))</f>
        <v>0.54808398139057424</v>
      </c>
      <c r="E4963" s="32">
        <f t="shared" si="77"/>
        <v>1.3016994558026138</v>
      </c>
    </row>
    <row r="4964" spans="1:5" x14ac:dyDescent="0.25">
      <c r="A4964" s="17">
        <v>343</v>
      </c>
      <c r="B4964" s="31">
        <v>50905</v>
      </c>
      <c r="C4964" s="32">
        <f>INDEX('Input Data'!$B:$B,A4964)/2+IF(A4964&lt;&gt;A4965,100,0)</f>
        <v>2.375</v>
      </c>
      <c r="D4964" s="33">
        <f>INDEX('ZCB Curve - Payment Dates'!$D$2:$D$246,MATCH(B4964,'ZCB Curve - Payment Dates'!$A$2:$A$246,0))</f>
        <v>0.5323673246083096</v>
      </c>
      <c r="E4964" s="32">
        <f t="shared" si="77"/>
        <v>1.2643723959447353</v>
      </c>
    </row>
    <row r="4965" spans="1:5" x14ac:dyDescent="0.25">
      <c r="A4965" s="17">
        <v>343</v>
      </c>
      <c r="B4965" s="31">
        <v>51089</v>
      </c>
      <c r="C4965" s="32">
        <f>INDEX('Input Data'!$B:$B,A4965)/2+IF(A4965&lt;&gt;A4966,100,0)</f>
        <v>2.375</v>
      </c>
      <c r="D4965" s="33">
        <f>INDEX('ZCB Curve - Payment Dates'!$D$2:$D$246,MATCH(B4965,'ZCB Curve - Payment Dates'!$A$2:$A$246,0))</f>
        <v>0.51668806431098135</v>
      </c>
      <c r="E4965" s="32">
        <f t="shared" si="77"/>
        <v>1.2271341527385806</v>
      </c>
    </row>
    <row r="4966" spans="1:5" x14ac:dyDescent="0.25">
      <c r="A4966" s="17">
        <v>343</v>
      </c>
      <c r="B4966" s="31">
        <v>51271</v>
      </c>
      <c r="C4966" s="32">
        <f>INDEX('Input Data'!$B:$B,A4966)/2+IF(A4966&lt;&gt;A4967,100,0)</f>
        <v>2.375</v>
      </c>
      <c r="D4966" s="33">
        <f>INDEX('ZCB Curve - Payment Dates'!$D$2:$D$246,MATCH(B4966,'ZCB Curve - Payment Dates'!$A$2:$A$246,0))</f>
        <v>0.50149590020417278</v>
      </c>
      <c r="E4966" s="32">
        <f t="shared" si="77"/>
        <v>1.1910527629849104</v>
      </c>
    </row>
    <row r="4967" spans="1:5" x14ac:dyDescent="0.25">
      <c r="A4967" s="17">
        <v>343</v>
      </c>
      <c r="B4967" s="31">
        <v>51455</v>
      </c>
      <c r="C4967" s="32">
        <f>INDEX('Input Data'!$B:$B,A4967)/2+IF(A4967&lt;&gt;A4968,100,0)</f>
        <v>2.375</v>
      </c>
      <c r="D4967" s="33">
        <f>INDEX('ZCB Curve - Payment Dates'!$D$2:$D$246,MATCH(B4967,'ZCB Curve - Payment Dates'!$A$2:$A$246,0))</f>
        <v>0.48647538074270091</v>
      </c>
      <c r="E4967" s="32">
        <f t="shared" si="77"/>
        <v>1.1553790292639148</v>
      </c>
    </row>
    <row r="4968" spans="1:5" x14ac:dyDescent="0.25">
      <c r="A4968" s="17">
        <v>343</v>
      </c>
      <c r="B4968" s="31">
        <v>51636</v>
      </c>
      <c r="C4968" s="32">
        <f>INDEX('Input Data'!$B:$B,A4968)/2+IF(A4968&lt;&gt;A4969,100,0)</f>
        <v>2.375</v>
      </c>
      <c r="D4968" s="33">
        <f>INDEX('ZCB Curve - Payment Dates'!$D$2:$D$246,MATCH(B4968,'ZCB Curve - Payment Dates'!$A$2:$A$246,0))</f>
        <v>0.47204918703719451</v>
      </c>
      <c r="E4968" s="32">
        <f t="shared" si="77"/>
        <v>1.1211168192133369</v>
      </c>
    </row>
    <row r="4969" spans="1:5" x14ac:dyDescent="0.25">
      <c r="A4969" s="17">
        <v>343</v>
      </c>
      <c r="B4969" s="31">
        <v>51820</v>
      </c>
      <c r="C4969" s="32">
        <f>INDEX('Input Data'!$B:$B,A4969)/2+IF(A4969&lt;&gt;A4970,100,0)</f>
        <v>2.375</v>
      </c>
      <c r="D4969" s="33">
        <f>INDEX('ZCB Curve - Payment Dates'!$D$2:$D$246,MATCH(B4969,'ZCB Curve - Payment Dates'!$A$2:$A$246,0))</f>
        <v>0.45775548669345245</v>
      </c>
      <c r="E4969" s="32">
        <f t="shared" si="77"/>
        <v>1.0871692808969495</v>
      </c>
    </row>
    <row r="4970" spans="1:5" x14ac:dyDescent="0.25">
      <c r="A4970" s="17">
        <v>343</v>
      </c>
      <c r="B4970" s="31">
        <v>52001</v>
      </c>
      <c r="C4970" s="32">
        <f>INDEX('Input Data'!$B:$B,A4970)/2+IF(A4970&lt;&gt;A4971,100,0)</f>
        <v>2.375</v>
      </c>
      <c r="D4970" s="33">
        <f>INDEX('ZCB Curve - Payment Dates'!$D$2:$D$246,MATCH(B4970,'ZCB Curve - Payment Dates'!$A$2:$A$246,0))</f>
        <v>0.44407192118484318</v>
      </c>
      <c r="E4970" s="32">
        <f t="shared" si="77"/>
        <v>1.0546708128140025</v>
      </c>
    </row>
    <row r="4971" spans="1:5" x14ac:dyDescent="0.25">
      <c r="A4971" s="17">
        <v>343</v>
      </c>
      <c r="B4971" s="31">
        <v>52185</v>
      </c>
      <c r="C4971" s="32">
        <f>INDEX('Input Data'!$B:$B,A4971)/2+IF(A4971&lt;&gt;A4972,100,0)</f>
        <v>2.375</v>
      </c>
      <c r="D4971" s="33">
        <f>INDEX('ZCB Curve - Payment Dates'!$D$2:$D$246,MATCH(B4971,'ZCB Curve - Payment Dates'!$A$2:$A$246,0))</f>
        <v>0.43055647946672393</v>
      </c>
      <c r="E4971" s="32">
        <f t="shared" si="77"/>
        <v>1.0225716387334693</v>
      </c>
    </row>
    <row r="4972" spans="1:5" x14ac:dyDescent="0.25">
      <c r="A4972" s="17">
        <v>343</v>
      </c>
      <c r="B4972" s="31">
        <v>52366</v>
      </c>
      <c r="C4972" s="32">
        <f>INDEX('Input Data'!$B:$B,A4972)/2+IF(A4972&lt;&gt;A4973,100,0)</f>
        <v>2.375</v>
      </c>
      <c r="D4972" s="33">
        <f>INDEX('ZCB Curve - Payment Dates'!$D$2:$D$246,MATCH(B4972,'ZCB Curve - Payment Dates'!$A$2:$A$246,0))</f>
        <v>0.41765686229470528</v>
      </c>
      <c r="E4972" s="32">
        <f t="shared" si="77"/>
        <v>0.99193504794992504</v>
      </c>
    </row>
    <row r="4973" spans="1:5" x14ac:dyDescent="0.25">
      <c r="A4973" s="17">
        <v>343</v>
      </c>
      <c r="B4973" s="31">
        <v>52550</v>
      </c>
      <c r="C4973" s="32">
        <f>INDEX('Input Data'!$B:$B,A4973)/2+IF(A4973&lt;&gt;A4974,100,0)</f>
        <v>2.375</v>
      </c>
      <c r="D4973" s="33">
        <f>INDEX('ZCB Curve - Payment Dates'!$D$2:$D$246,MATCH(B4973,'ZCB Curve - Payment Dates'!$A$2:$A$246,0))</f>
        <v>0.40495237741553414</v>
      </c>
      <c r="E4973" s="32">
        <f t="shared" si="77"/>
        <v>0.96176189636189358</v>
      </c>
    </row>
    <row r="4974" spans="1:5" x14ac:dyDescent="0.25">
      <c r="A4974" s="17">
        <v>343</v>
      </c>
      <c r="B4974" s="31">
        <v>52732</v>
      </c>
      <c r="C4974" s="32">
        <f>INDEX('Input Data'!$B:$B,A4974)/2+IF(A4974&lt;&gt;A4975,100,0)</f>
        <v>2.375</v>
      </c>
      <c r="D4974" s="33">
        <f>INDEX('ZCB Curve - Payment Dates'!$D$2:$D$246,MATCH(B4974,'ZCB Curve - Payment Dates'!$A$2:$A$246,0))</f>
        <v>0.3927952920896523</v>
      </c>
      <c r="E4974" s="32">
        <f t="shared" si="77"/>
        <v>0.93288881871292417</v>
      </c>
    </row>
    <row r="4975" spans="1:5" x14ac:dyDescent="0.25">
      <c r="A4975" s="17">
        <v>343</v>
      </c>
      <c r="B4975" s="31">
        <v>52916</v>
      </c>
      <c r="C4975" s="32">
        <f>INDEX('Input Data'!$B:$B,A4975)/2+IF(A4975&lt;&gt;A4976,100,0)</f>
        <v>2.375</v>
      </c>
      <c r="D4975" s="33">
        <f>INDEX('ZCB Curve - Payment Dates'!$D$2:$D$246,MATCH(B4975,'ZCB Curve - Payment Dates'!$A$2:$A$246,0))</f>
        <v>0.38091684361752687</v>
      </c>
      <c r="E4975" s="32">
        <f t="shared" si="77"/>
        <v>0.90467750359162635</v>
      </c>
    </row>
    <row r="4976" spans="1:5" x14ac:dyDescent="0.25">
      <c r="A4976" s="17">
        <v>343</v>
      </c>
      <c r="B4976" s="31">
        <v>53097</v>
      </c>
      <c r="C4976" s="32">
        <f>INDEX('Input Data'!$B:$B,A4976)/2+IF(A4976&lt;&gt;A4977,100,0)</f>
        <v>2.375</v>
      </c>
      <c r="D4976" s="33">
        <f>INDEX('ZCB Curve - Payment Dates'!$D$2:$D$246,MATCH(B4976,'ZCB Curve - Payment Dates'!$A$2:$A$246,0))</f>
        <v>0.36964331092783359</v>
      </c>
      <c r="E4976" s="32">
        <f t="shared" si="77"/>
        <v>0.8779028634536048</v>
      </c>
    </row>
    <row r="4977" spans="1:5" x14ac:dyDescent="0.25">
      <c r="A4977" s="17">
        <v>343</v>
      </c>
      <c r="B4977" s="31">
        <v>53281</v>
      </c>
      <c r="C4977" s="32">
        <f>INDEX('Input Data'!$B:$B,A4977)/2+IF(A4977&lt;&gt;A4978,100,0)</f>
        <v>2.375</v>
      </c>
      <c r="D4977" s="33">
        <f>INDEX('ZCB Curve - Payment Dates'!$D$2:$D$246,MATCH(B4977,'ZCB Curve - Payment Dates'!$A$2:$A$246,0))</f>
        <v>0.35859090372935404</v>
      </c>
      <c r="E4977" s="32">
        <f t="shared" si="77"/>
        <v>0.85165339635721582</v>
      </c>
    </row>
    <row r="4978" spans="1:5" x14ac:dyDescent="0.25">
      <c r="A4978" s="17">
        <v>343</v>
      </c>
      <c r="B4978" s="31">
        <v>53462</v>
      </c>
      <c r="C4978" s="32">
        <f>INDEX('Input Data'!$B:$B,A4978)/2+IF(A4978&lt;&gt;A4979,100,0)</f>
        <v>2.375</v>
      </c>
      <c r="D4978" s="33">
        <f>INDEX('ZCB Curve - Payment Dates'!$D$2:$D$246,MATCH(B4978,'ZCB Curve - Payment Dates'!$A$2:$A$246,0))</f>
        <v>0.34812465854380154</v>
      </c>
      <c r="E4978" s="32">
        <f t="shared" si="77"/>
        <v>0.82679606404152861</v>
      </c>
    </row>
    <row r="4979" spans="1:5" x14ac:dyDescent="0.25">
      <c r="A4979" s="17">
        <v>343</v>
      </c>
      <c r="B4979" s="31">
        <v>53646</v>
      </c>
      <c r="C4979" s="32">
        <f>INDEX('Input Data'!$B:$B,A4979)/2+IF(A4979&lt;&gt;A4980,100,0)</f>
        <v>2.375</v>
      </c>
      <c r="D4979" s="33">
        <f>INDEX('ZCB Curve - Payment Dates'!$D$2:$D$246,MATCH(B4979,'ZCB Curve - Payment Dates'!$A$2:$A$246,0))</f>
        <v>0.33788528510382887</v>
      </c>
      <c r="E4979" s="32">
        <f t="shared" si="77"/>
        <v>0.80247755212159355</v>
      </c>
    </row>
    <row r="4980" spans="1:5" x14ac:dyDescent="0.25">
      <c r="A4980" s="17">
        <v>343</v>
      </c>
      <c r="B4980" s="31">
        <v>53827</v>
      </c>
      <c r="C4980" s="32">
        <f>INDEX('Input Data'!$B:$B,A4980)/2+IF(A4980&lt;&gt;A4981,100,0)</f>
        <v>2.375</v>
      </c>
      <c r="D4980" s="33">
        <f>INDEX('ZCB Curve - Payment Dates'!$D$2:$D$246,MATCH(B4980,'ZCB Curve - Payment Dates'!$A$2:$A$246,0))</f>
        <v>0.32820827061914198</v>
      </c>
      <c r="E4980" s="32">
        <f t="shared" si="77"/>
        <v>0.77949464272046221</v>
      </c>
    </row>
    <row r="4981" spans="1:5" x14ac:dyDescent="0.25">
      <c r="A4981" s="17">
        <v>343</v>
      </c>
      <c r="B4981" s="31">
        <v>54011</v>
      </c>
      <c r="C4981" s="32">
        <f>INDEX('Input Data'!$B:$B,A4981)/2+IF(A4981&lt;&gt;A4982,100,0)</f>
        <v>2.375</v>
      </c>
      <c r="D4981" s="33">
        <f>INDEX('ZCB Curve - Payment Dates'!$D$2:$D$246,MATCH(B4981,'ZCB Curve - Payment Dates'!$A$2:$A$246,0))</f>
        <v>0.31875888330253388</v>
      </c>
      <c r="E4981" s="32">
        <f t="shared" si="77"/>
        <v>0.75705234784351794</v>
      </c>
    </row>
    <row r="4982" spans="1:5" x14ac:dyDescent="0.25">
      <c r="A4982" s="17">
        <v>343</v>
      </c>
      <c r="B4982" s="31">
        <v>54193</v>
      </c>
      <c r="C4982" s="32">
        <f>INDEX('Input Data'!$B:$B,A4982)/2+IF(A4982&lt;&gt;A4983,100,0)</f>
        <v>2.375</v>
      </c>
      <c r="D4982" s="33">
        <f>INDEX('ZCB Curve - Payment Dates'!$D$2:$D$246,MATCH(B4982,'ZCB Curve - Payment Dates'!$A$2:$A$246,0))</f>
        <v>0.30979516521120642</v>
      </c>
      <c r="E4982" s="32">
        <f t="shared" si="77"/>
        <v>0.73576351737661527</v>
      </c>
    </row>
    <row r="4983" spans="1:5" x14ac:dyDescent="0.25">
      <c r="A4983" s="17">
        <v>343</v>
      </c>
      <c r="B4983" s="31">
        <v>54377</v>
      </c>
      <c r="C4983" s="32">
        <f>INDEX('Input Data'!$B:$B,A4983)/2+IF(A4983&lt;&gt;A4984,100,0)</f>
        <v>2.375</v>
      </c>
      <c r="D4983" s="33">
        <f>INDEX('ZCB Curve - Payment Dates'!$D$2:$D$246,MATCH(B4983,'ZCB Curve - Payment Dates'!$A$2:$A$246,0))</f>
        <v>0.30110901062008694</v>
      </c>
      <c r="E4983" s="32">
        <f t="shared" si="77"/>
        <v>0.71513390022270651</v>
      </c>
    </row>
    <row r="4984" spans="1:5" x14ac:dyDescent="0.25">
      <c r="A4984" s="17">
        <v>343</v>
      </c>
      <c r="B4984" s="31">
        <v>54558</v>
      </c>
      <c r="C4984" s="32">
        <f>INDEX('Input Data'!$B:$B,A4984)/2+IF(A4984&lt;&gt;A4985,100,0)</f>
        <v>2.375</v>
      </c>
      <c r="D4984" s="33">
        <f>INDEX('ZCB Curve - Payment Dates'!$D$2:$D$246,MATCH(B4984,'ZCB Curve - Payment Dates'!$A$2:$A$246,0))</f>
        <v>0.29292467059800714</v>
      </c>
      <c r="E4984" s="32">
        <f t="shared" si="77"/>
        <v>0.695696092670267</v>
      </c>
    </row>
    <row r="4985" spans="1:5" x14ac:dyDescent="0.25">
      <c r="A4985" s="17">
        <v>343</v>
      </c>
      <c r="B4985" s="31">
        <v>54742</v>
      </c>
      <c r="C4985" s="32">
        <f>INDEX('Input Data'!$B:$B,A4985)/2+IF(A4985&lt;&gt;A4986,100,0)</f>
        <v>2.375</v>
      </c>
      <c r="D4985" s="33">
        <f>INDEX('ZCB Curve - Payment Dates'!$D$2:$D$246,MATCH(B4985,'ZCB Curve - Payment Dates'!$A$2:$A$246,0))</f>
        <v>0.28496204444064566</v>
      </c>
      <c r="E4985" s="32">
        <f t="shared" si="77"/>
        <v>0.67678485554653345</v>
      </c>
    </row>
    <row r="4986" spans="1:5" x14ac:dyDescent="0.25">
      <c r="A4986" s="17">
        <v>343</v>
      </c>
      <c r="B4986" s="31">
        <v>54923</v>
      </c>
      <c r="C4986" s="32">
        <f>INDEX('Input Data'!$B:$B,A4986)/2+IF(A4986&lt;&gt;A4987,100,0)</f>
        <v>2.375</v>
      </c>
      <c r="D4986" s="33">
        <f>INDEX('ZCB Curve - Payment Dates'!$D$2:$D$246,MATCH(B4986,'ZCB Curve - Payment Dates'!$A$2:$A$246,0))</f>
        <v>0.27747061478742291</v>
      </c>
      <c r="E4986" s="32">
        <f t="shared" si="77"/>
        <v>0.65899271012012939</v>
      </c>
    </row>
    <row r="4987" spans="1:5" x14ac:dyDescent="0.25">
      <c r="A4987" s="17">
        <v>343</v>
      </c>
      <c r="B4987" s="31">
        <v>55107</v>
      </c>
      <c r="C4987" s="32">
        <f>INDEX('Input Data'!$B:$B,A4987)/2+IF(A4987&lt;&gt;A4988,100,0)</f>
        <v>2.375</v>
      </c>
      <c r="D4987" s="33">
        <f>INDEX('ZCB Curve - Payment Dates'!$D$2:$D$246,MATCH(B4987,'ZCB Curve - Payment Dates'!$A$2:$A$246,0))</f>
        <v>0.2701926092917406</v>
      </c>
      <c r="E4987" s="32">
        <f t="shared" si="77"/>
        <v>0.64170744706788396</v>
      </c>
    </row>
    <row r="4988" spans="1:5" x14ac:dyDescent="0.25">
      <c r="A4988" s="17">
        <v>343</v>
      </c>
      <c r="B4988" s="31">
        <v>55288</v>
      </c>
      <c r="C4988" s="32">
        <f>INDEX('Input Data'!$B:$B,A4988)/2+IF(A4988&lt;&gt;A4989,100,0)</f>
        <v>2.375</v>
      </c>
      <c r="D4988" s="33">
        <f>INDEX('ZCB Curve - Payment Dates'!$D$2:$D$246,MATCH(B4988,'ZCB Curve - Payment Dates'!$A$2:$A$246,0))</f>
        <v>0.26335484985695851</v>
      </c>
      <c r="E4988" s="32">
        <f t="shared" si="77"/>
        <v>0.6254677684102764</v>
      </c>
    </row>
    <row r="4989" spans="1:5" x14ac:dyDescent="0.25">
      <c r="A4989" s="17">
        <v>343</v>
      </c>
      <c r="B4989" s="31">
        <v>55472</v>
      </c>
      <c r="C4989" s="32">
        <f>INDEX('Input Data'!$B:$B,A4989)/2+IF(A4989&lt;&gt;A4990,100,0)</f>
        <v>2.375</v>
      </c>
      <c r="D4989" s="33">
        <f>INDEX('ZCB Curve - Payment Dates'!$D$2:$D$246,MATCH(B4989,'ZCB Curve - Payment Dates'!$A$2:$A$246,0))</f>
        <v>0.25672095505458636</v>
      </c>
      <c r="E4989" s="32">
        <f t="shared" si="77"/>
        <v>0.60971226825464264</v>
      </c>
    </row>
    <row r="4990" spans="1:5" x14ac:dyDescent="0.25">
      <c r="A4990" s="17">
        <v>343</v>
      </c>
      <c r="B4990" s="31">
        <v>55654</v>
      </c>
      <c r="C4990" s="32">
        <f>INDEX('Input Data'!$B:$B,A4990)/2+IF(A4990&lt;&gt;A4991,100,0)</f>
        <v>2.375</v>
      </c>
      <c r="D4990" s="33">
        <f>INDEX('ZCB Curve - Payment Dates'!$D$2:$D$246,MATCH(B4990,'ZCB Curve - Payment Dates'!$A$2:$A$246,0))</f>
        <v>0.25046362869454364</v>
      </c>
      <c r="E4990" s="32">
        <f t="shared" si="77"/>
        <v>0.59485111814954117</v>
      </c>
    </row>
    <row r="4991" spans="1:5" x14ac:dyDescent="0.25">
      <c r="A4991" s="17">
        <v>343</v>
      </c>
      <c r="B4991" s="31">
        <v>55838</v>
      </c>
      <c r="C4991" s="32">
        <f>INDEX('Input Data'!$B:$B,A4991)/2+IF(A4991&lt;&gt;A4992,100,0)</f>
        <v>2.375</v>
      </c>
      <c r="D4991" s="33">
        <f>INDEX('ZCB Curve - Payment Dates'!$D$2:$D$246,MATCH(B4991,'ZCB Curve - Payment Dates'!$A$2:$A$246,0))</f>
        <v>0.24443458292740508</v>
      </c>
      <c r="E4991" s="32">
        <f t="shared" si="77"/>
        <v>0.58053213445258711</v>
      </c>
    </row>
    <row r="4992" spans="1:5" x14ac:dyDescent="0.25">
      <c r="A4992" s="17">
        <v>343</v>
      </c>
      <c r="B4992" s="31">
        <v>56019</v>
      </c>
      <c r="C4992" s="32">
        <f>INDEX('Input Data'!$B:$B,A4992)/2+IF(A4992&lt;&gt;A4993,100,0)</f>
        <v>2.375</v>
      </c>
      <c r="D4992" s="33">
        <f>INDEX('ZCB Curve - Payment Dates'!$D$2:$D$246,MATCH(B4992,'ZCB Curve - Payment Dates'!$A$2:$A$246,0))</f>
        <v>0.23878540660340086</v>
      </c>
      <c r="E4992" s="32">
        <f t="shared" si="77"/>
        <v>0.56711534068307701</v>
      </c>
    </row>
    <row r="4993" spans="1:5" x14ac:dyDescent="0.25">
      <c r="A4993" s="17">
        <v>343</v>
      </c>
      <c r="B4993" s="31">
        <v>56203</v>
      </c>
      <c r="C4993" s="32">
        <f>INDEX('Input Data'!$B:$B,A4993)/2+IF(A4993&lt;&gt;A4994,100,0)</f>
        <v>102.375</v>
      </c>
      <c r="D4993" s="33">
        <f>INDEX('ZCB Curve - Payment Dates'!$D$2:$D$246,MATCH(B4993,'ZCB Curve - Payment Dates'!$A$2:$A$246,0))</f>
        <v>0.23331934656757974</v>
      </c>
      <c r="E4993" s="32">
        <f t="shared" si="77"/>
        <v>23.886068104855976</v>
      </c>
    </row>
    <row r="4994" spans="1:5" x14ac:dyDescent="0.25">
      <c r="A4994" s="17">
        <v>344</v>
      </c>
      <c r="B4994" s="31">
        <v>46433</v>
      </c>
      <c r="C4994" s="32">
        <f>INDEX('Input Data'!$B:$B,A4994)/2+IF(A4994&lt;&gt;A4995,100,0)</f>
        <v>2.125</v>
      </c>
      <c r="D4994" s="33">
        <f>INDEX('ZCB Curve - Payment Dates'!$D$2:$D$246,MATCH(B4994,'ZCB Curve - Payment Dates'!$A$2:$A$246,0))</f>
        <v>0.98242671792446301</v>
      </c>
      <c r="E4994" s="32">
        <f t="shared" ref="E4994:E5057" si="78">C4994*D4994</f>
        <v>2.0876567755894837</v>
      </c>
    </row>
    <row r="4995" spans="1:5" x14ac:dyDescent="0.25">
      <c r="A4995" s="17">
        <v>344</v>
      </c>
      <c r="B4995" s="31">
        <v>46614</v>
      </c>
      <c r="C4995" s="32">
        <f>INDEX('Input Data'!$B:$B,A4995)/2+IF(A4995&lt;&gt;A4996,100,0)</f>
        <v>2.125</v>
      </c>
      <c r="D4995" s="33">
        <f>INDEX('ZCB Curve - Payment Dates'!$D$2:$D$246,MATCH(B4995,'ZCB Curve - Payment Dates'!$A$2:$A$246,0))</f>
        <v>0.96187948164765535</v>
      </c>
      <c r="E4995" s="32">
        <f t="shared" si="78"/>
        <v>2.0439938985012676</v>
      </c>
    </row>
    <row r="4996" spans="1:5" x14ac:dyDescent="0.25">
      <c r="A4996" s="17">
        <v>344</v>
      </c>
      <c r="B4996" s="31">
        <v>46798</v>
      </c>
      <c r="C4996" s="32">
        <f>INDEX('Input Data'!$B:$B,A4996)/2+IF(A4996&lt;&gt;A4997,100,0)</f>
        <v>2.125</v>
      </c>
      <c r="D4996" s="33">
        <f>INDEX('ZCB Curve - Payment Dates'!$D$2:$D$246,MATCH(B4996,'ZCB Curve - Payment Dates'!$A$2:$A$246,0))</f>
        <v>0.94049096132648802</v>
      </c>
      <c r="E4996" s="32">
        <f t="shared" si="78"/>
        <v>1.998543292818787</v>
      </c>
    </row>
    <row r="4997" spans="1:5" x14ac:dyDescent="0.25">
      <c r="A4997" s="17">
        <v>344</v>
      </c>
      <c r="B4997" s="31">
        <v>46980</v>
      </c>
      <c r="C4997" s="32">
        <f>INDEX('Input Data'!$B:$B,A4997)/2+IF(A4997&lt;&gt;A4998,100,0)</f>
        <v>2.125</v>
      </c>
      <c r="D4997" s="33">
        <f>INDEX('ZCB Curve - Payment Dates'!$D$2:$D$246,MATCH(B4997,'ZCB Curve - Payment Dates'!$A$2:$A$246,0))</f>
        <v>0.91931844130238327</v>
      </c>
      <c r="E4997" s="32">
        <f t="shared" si="78"/>
        <v>1.9535516877675645</v>
      </c>
    </row>
    <row r="4998" spans="1:5" x14ac:dyDescent="0.25">
      <c r="A4998" s="17">
        <v>344</v>
      </c>
      <c r="B4998" s="31">
        <v>47164</v>
      </c>
      <c r="C4998" s="32">
        <f>INDEX('Input Data'!$B:$B,A4998)/2+IF(A4998&lt;&gt;A4999,100,0)</f>
        <v>2.125</v>
      </c>
      <c r="D4998" s="33">
        <f>INDEX('ZCB Curve - Payment Dates'!$D$2:$D$246,MATCH(B4998,'ZCB Curve - Payment Dates'!$A$2:$A$246,0))</f>
        <v>0.89817430058086534</v>
      </c>
      <c r="E4998" s="32">
        <f t="shared" si="78"/>
        <v>1.9086203887343389</v>
      </c>
    </row>
    <row r="4999" spans="1:5" x14ac:dyDescent="0.25">
      <c r="A4999" s="17">
        <v>344</v>
      </c>
      <c r="B4999" s="31">
        <v>47345</v>
      </c>
      <c r="C4999" s="32">
        <f>INDEX('Input Data'!$B:$B,A4999)/2+IF(A4999&lt;&gt;A5000,100,0)</f>
        <v>2.125</v>
      </c>
      <c r="D4999" s="33">
        <f>INDEX('ZCB Curve - Payment Dates'!$D$2:$D$246,MATCH(B4999,'ZCB Curve - Payment Dates'!$A$2:$A$246,0))</f>
        <v>0.87778421628860481</v>
      </c>
      <c r="E4999" s="32">
        <f t="shared" si="78"/>
        <v>1.8652914596132852</v>
      </c>
    </row>
    <row r="5000" spans="1:5" x14ac:dyDescent="0.25">
      <c r="A5000" s="17">
        <v>344</v>
      </c>
      <c r="B5000" s="31">
        <v>47529</v>
      </c>
      <c r="C5000" s="32">
        <f>INDEX('Input Data'!$B:$B,A5000)/2+IF(A5000&lt;&gt;A5001,100,0)</f>
        <v>2.125</v>
      </c>
      <c r="D5000" s="33">
        <f>INDEX('ZCB Curve - Payment Dates'!$D$2:$D$246,MATCH(B5000,'ZCB Curve - Payment Dates'!$A$2:$A$246,0))</f>
        <v>0.85751015570959666</v>
      </c>
      <c r="E5000" s="32">
        <f t="shared" si="78"/>
        <v>1.8222090808828928</v>
      </c>
    </row>
    <row r="5001" spans="1:5" x14ac:dyDescent="0.25">
      <c r="A5001" s="17">
        <v>344</v>
      </c>
      <c r="B5001" s="31">
        <v>47710</v>
      </c>
      <c r="C5001" s="32">
        <f>INDEX('Input Data'!$B:$B,A5001)/2+IF(A5001&lt;&gt;A5002,100,0)</f>
        <v>2.125</v>
      </c>
      <c r="D5001" s="33">
        <f>INDEX('ZCB Curve - Payment Dates'!$D$2:$D$246,MATCH(B5001,'ZCB Curve - Payment Dates'!$A$2:$A$246,0))</f>
        <v>0.83802423748211174</v>
      </c>
      <c r="E5001" s="32">
        <f t="shared" si="78"/>
        <v>1.7808015046494874</v>
      </c>
    </row>
    <row r="5002" spans="1:5" x14ac:dyDescent="0.25">
      <c r="A5002" s="17">
        <v>344</v>
      </c>
      <c r="B5002" s="31">
        <v>47894</v>
      </c>
      <c r="C5002" s="32">
        <f>INDEX('Input Data'!$B:$B,A5002)/2+IF(A5002&lt;&gt;A5003,100,0)</f>
        <v>2.125</v>
      </c>
      <c r="D5002" s="33">
        <f>INDEX('ZCB Curve - Payment Dates'!$D$2:$D$246,MATCH(B5002,'ZCB Curve - Payment Dates'!$A$2:$A$246,0))</f>
        <v>0.8186305474741673</v>
      </c>
      <c r="E5002" s="32">
        <f t="shared" si="78"/>
        <v>1.7395899133826056</v>
      </c>
    </row>
    <row r="5003" spans="1:5" x14ac:dyDescent="0.25">
      <c r="A5003" s="17">
        <v>344</v>
      </c>
      <c r="B5003" s="31">
        <v>48075</v>
      </c>
      <c r="C5003" s="32">
        <f>INDEX('Input Data'!$B:$B,A5003)/2+IF(A5003&lt;&gt;A5004,100,0)</f>
        <v>2.125</v>
      </c>
      <c r="D5003" s="33">
        <f>INDEX('ZCB Curve - Payment Dates'!$D$2:$D$246,MATCH(B5003,'ZCB Curve - Payment Dates'!$A$2:$A$246,0))</f>
        <v>0.7999252334775927</v>
      </c>
      <c r="E5003" s="32">
        <f t="shared" si="78"/>
        <v>1.6998411211398845</v>
      </c>
    </row>
    <row r="5004" spans="1:5" x14ac:dyDescent="0.25">
      <c r="A5004" s="17">
        <v>344</v>
      </c>
      <c r="B5004" s="31">
        <v>48259</v>
      </c>
      <c r="C5004" s="32">
        <f>INDEX('Input Data'!$B:$B,A5004)/2+IF(A5004&lt;&gt;A5005,100,0)</f>
        <v>2.125</v>
      </c>
      <c r="D5004" s="33">
        <f>INDEX('ZCB Curve - Payment Dates'!$D$2:$D$246,MATCH(B5004,'ZCB Curve - Payment Dates'!$A$2:$A$246,0))</f>
        <v>0.78121887027612602</v>
      </c>
      <c r="E5004" s="32">
        <f t="shared" si="78"/>
        <v>1.6600900993367678</v>
      </c>
    </row>
    <row r="5005" spans="1:5" x14ac:dyDescent="0.25">
      <c r="A5005" s="17">
        <v>344</v>
      </c>
      <c r="B5005" s="31">
        <v>48441</v>
      </c>
      <c r="C5005" s="32">
        <f>INDEX('Input Data'!$B:$B,A5005)/2+IF(A5005&lt;&gt;A5006,100,0)</f>
        <v>2.125</v>
      </c>
      <c r="D5005" s="33">
        <f>INDEX('ZCB Curve - Payment Dates'!$D$2:$D$246,MATCH(B5005,'ZCB Curve - Payment Dates'!$A$2:$A$246,0))</f>
        <v>0.76298123459017864</v>
      </c>
      <c r="E5005" s="32">
        <f t="shared" si="78"/>
        <v>1.6213351235041296</v>
      </c>
    </row>
    <row r="5006" spans="1:5" x14ac:dyDescent="0.25">
      <c r="A5006" s="17">
        <v>344</v>
      </c>
      <c r="B5006" s="31">
        <v>48625</v>
      </c>
      <c r="C5006" s="32">
        <f>INDEX('Input Data'!$B:$B,A5006)/2+IF(A5006&lt;&gt;A5007,100,0)</f>
        <v>2.125</v>
      </c>
      <c r="D5006" s="33">
        <f>INDEX('ZCB Curve - Payment Dates'!$D$2:$D$246,MATCH(B5006,'ZCB Curve - Payment Dates'!$A$2:$A$246,0))</f>
        <v>0.74476011611938586</v>
      </c>
      <c r="E5006" s="32">
        <f t="shared" si="78"/>
        <v>1.5826152467536949</v>
      </c>
    </row>
    <row r="5007" spans="1:5" x14ac:dyDescent="0.25">
      <c r="A5007" s="17">
        <v>344</v>
      </c>
      <c r="B5007" s="31">
        <v>48806</v>
      </c>
      <c r="C5007" s="32">
        <f>INDEX('Input Data'!$B:$B,A5007)/2+IF(A5007&lt;&gt;A5008,100,0)</f>
        <v>2.125</v>
      </c>
      <c r="D5007" s="33">
        <f>INDEX('ZCB Curve - Payment Dates'!$D$2:$D$246,MATCH(B5007,'ZCB Curve - Payment Dates'!$A$2:$A$246,0))</f>
        <v>0.72701302496114584</v>
      </c>
      <c r="E5007" s="32">
        <f t="shared" si="78"/>
        <v>1.5449026780424349</v>
      </c>
    </row>
    <row r="5008" spans="1:5" x14ac:dyDescent="0.25">
      <c r="A5008" s="17">
        <v>344</v>
      </c>
      <c r="B5008" s="31">
        <v>48990</v>
      </c>
      <c r="C5008" s="32">
        <f>INDEX('Input Data'!$B:$B,A5008)/2+IF(A5008&lt;&gt;A5009,100,0)</f>
        <v>2.125</v>
      </c>
      <c r="D5008" s="33">
        <f>INDEX('ZCB Curve - Payment Dates'!$D$2:$D$246,MATCH(B5008,'ZCB Curve - Payment Dates'!$A$2:$A$246,0))</f>
        <v>0.70912647031380449</v>
      </c>
      <c r="E5008" s="32">
        <f t="shared" si="78"/>
        <v>1.5068937494168346</v>
      </c>
    </row>
    <row r="5009" spans="1:5" x14ac:dyDescent="0.25">
      <c r="A5009" s="17">
        <v>344</v>
      </c>
      <c r="B5009" s="31">
        <v>49171</v>
      </c>
      <c r="C5009" s="32">
        <f>INDEX('Input Data'!$B:$B,A5009)/2+IF(A5009&lt;&gt;A5010,100,0)</f>
        <v>2.125</v>
      </c>
      <c r="D5009" s="33">
        <f>INDEX('ZCB Curve - Payment Dates'!$D$2:$D$246,MATCH(B5009,'ZCB Curve - Payment Dates'!$A$2:$A$246,0))</f>
        <v>0.6916661505723215</v>
      </c>
      <c r="E5009" s="32">
        <f t="shared" si="78"/>
        <v>1.4697905699661833</v>
      </c>
    </row>
    <row r="5010" spans="1:5" x14ac:dyDescent="0.25">
      <c r="A5010" s="17">
        <v>344</v>
      </c>
      <c r="B5010" s="31">
        <v>49355</v>
      </c>
      <c r="C5010" s="32">
        <f>INDEX('Input Data'!$B:$B,A5010)/2+IF(A5010&lt;&gt;A5011,100,0)</f>
        <v>2.125</v>
      </c>
      <c r="D5010" s="33">
        <f>INDEX('ZCB Curve - Payment Dates'!$D$2:$D$246,MATCH(B5010,'ZCB Curve - Payment Dates'!$A$2:$A$246,0))</f>
        <v>0.674047377898778</v>
      </c>
      <c r="E5010" s="32">
        <f t="shared" si="78"/>
        <v>1.4323506780349033</v>
      </c>
    </row>
    <row r="5011" spans="1:5" x14ac:dyDescent="0.25">
      <c r="A5011" s="17">
        <v>344</v>
      </c>
      <c r="B5011" s="31">
        <v>49536</v>
      </c>
      <c r="C5011" s="32">
        <f>INDEX('Input Data'!$B:$B,A5011)/2+IF(A5011&lt;&gt;A5012,100,0)</f>
        <v>2.125</v>
      </c>
      <c r="D5011" s="33">
        <f>INDEX('ZCB Curve - Payment Dates'!$D$2:$D$246,MATCH(B5011,'ZCB Curve - Payment Dates'!$A$2:$A$246,0))</f>
        <v>0.65684432300638129</v>
      </c>
      <c r="E5011" s="32">
        <f t="shared" si="78"/>
        <v>1.3957941863885603</v>
      </c>
    </row>
    <row r="5012" spans="1:5" x14ac:dyDescent="0.25">
      <c r="A5012" s="17">
        <v>344</v>
      </c>
      <c r="B5012" s="31">
        <v>49720</v>
      </c>
      <c r="C5012" s="32">
        <f>INDEX('Input Data'!$B:$B,A5012)/2+IF(A5012&lt;&gt;A5013,100,0)</f>
        <v>2.125</v>
      </c>
      <c r="D5012" s="33">
        <f>INDEX('ZCB Curve - Payment Dates'!$D$2:$D$246,MATCH(B5012,'ZCB Curve - Payment Dates'!$A$2:$A$246,0))</f>
        <v>0.63949604524993764</v>
      </c>
      <c r="E5012" s="32">
        <f t="shared" si="78"/>
        <v>1.3589290961561176</v>
      </c>
    </row>
    <row r="5013" spans="1:5" x14ac:dyDescent="0.25">
      <c r="A5013" s="17">
        <v>344</v>
      </c>
      <c r="B5013" s="31">
        <v>49902</v>
      </c>
      <c r="C5013" s="32">
        <f>INDEX('Input Data'!$B:$B,A5013)/2+IF(A5013&lt;&gt;A5014,100,0)</f>
        <v>2.125</v>
      </c>
      <c r="D5013" s="33">
        <f>INDEX('ZCB Curve - Payment Dates'!$D$2:$D$246,MATCH(B5013,'ZCB Curve - Payment Dates'!$A$2:$A$246,0))</f>
        <v>0.62248862376822711</v>
      </c>
      <c r="E5013" s="32">
        <f t="shared" si="78"/>
        <v>1.3227883255074826</v>
      </c>
    </row>
    <row r="5014" spans="1:5" x14ac:dyDescent="0.25">
      <c r="A5014" s="17">
        <v>344</v>
      </c>
      <c r="B5014" s="31">
        <v>50086</v>
      </c>
      <c r="C5014" s="32">
        <f>INDEX('Input Data'!$B:$B,A5014)/2+IF(A5014&lt;&gt;A5015,100,0)</f>
        <v>2.125</v>
      </c>
      <c r="D5014" s="33">
        <f>INDEX('ZCB Curve - Payment Dates'!$D$2:$D$246,MATCH(B5014,'ZCB Curve - Payment Dates'!$A$2:$A$246,0))</f>
        <v>0.60546490876014969</v>
      </c>
      <c r="E5014" s="32">
        <f t="shared" si="78"/>
        <v>1.286612931115318</v>
      </c>
    </row>
    <row r="5015" spans="1:5" x14ac:dyDescent="0.25">
      <c r="A5015" s="17">
        <v>344</v>
      </c>
      <c r="B5015" s="31">
        <v>50267</v>
      </c>
      <c r="C5015" s="32">
        <f>INDEX('Input Data'!$B:$B,A5015)/2+IF(A5015&lt;&gt;A5016,100,0)</f>
        <v>2.125</v>
      </c>
      <c r="D5015" s="33">
        <f>INDEX('ZCB Curve - Payment Dates'!$D$2:$D$246,MATCH(B5015,'ZCB Curve - Payment Dates'!$A$2:$A$246,0))</f>
        <v>0.58890683803346977</v>
      </c>
      <c r="E5015" s="32">
        <f t="shared" si="78"/>
        <v>1.2514270308211233</v>
      </c>
    </row>
    <row r="5016" spans="1:5" x14ac:dyDescent="0.25">
      <c r="A5016" s="17">
        <v>344</v>
      </c>
      <c r="B5016" s="31">
        <v>50451</v>
      </c>
      <c r="C5016" s="32">
        <f>INDEX('Input Data'!$B:$B,A5016)/2+IF(A5016&lt;&gt;A5017,100,0)</f>
        <v>2.125</v>
      </c>
      <c r="D5016" s="33">
        <f>INDEX('ZCB Curve - Payment Dates'!$D$2:$D$246,MATCH(B5016,'ZCB Curve - Payment Dates'!$A$2:$A$246,0))</f>
        <v>0.57228983695479263</v>
      </c>
      <c r="E5016" s="32">
        <f t="shared" si="78"/>
        <v>1.2161159035289344</v>
      </c>
    </row>
    <row r="5017" spans="1:5" x14ac:dyDescent="0.25">
      <c r="A5017" s="17">
        <v>344</v>
      </c>
      <c r="B5017" s="31">
        <v>50632</v>
      </c>
      <c r="C5017" s="32">
        <f>INDEX('Input Data'!$B:$B,A5017)/2+IF(A5017&lt;&gt;A5018,100,0)</f>
        <v>2.125</v>
      </c>
      <c r="D5017" s="33">
        <f>INDEX('ZCB Curve - Payment Dates'!$D$2:$D$246,MATCH(B5017,'ZCB Curve - Payment Dates'!$A$2:$A$246,0))</f>
        <v>0.55617795699202288</v>
      </c>
      <c r="E5017" s="32">
        <f t="shared" si="78"/>
        <v>1.1818781586080487</v>
      </c>
    </row>
    <row r="5018" spans="1:5" x14ac:dyDescent="0.25">
      <c r="A5018" s="17">
        <v>344</v>
      </c>
      <c r="B5018" s="31">
        <v>50816</v>
      </c>
      <c r="C5018" s="32">
        <f>INDEX('Input Data'!$B:$B,A5018)/2+IF(A5018&lt;&gt;A5019,100,0)</f>
        <v>2.125</v>
      </c>
      <c r="D5018" s="33">
        <f>INDEX('ZCB Curve - Payment Dates'!$D$2:$D$246,MATCH(B5018,'ZCB Curve - Payment Dates'!$A$2:$A$246,0))</f>
        <v>0.54006240951211237</v>
      </c>
      <c r="E5018" s="32">
        <f t="shared" si="78"/>
        <v>1.1476326202132388</v>
      </c>
    </row>
    <row r="5019" spans="1:5" x14ac:dyDescent="0.25">
      <c r="A5019" s="17">
        <v>344</v>
      </c>
      <c r="B5019" s="31">
        <v>50997</v>
      </c>
      <c r="C5019" s="32">
        <f>INDEX('Input Data'!$B:$B,A5019)/2+IF(A5019&lt;&gt;A5020,100,0)</f>
        <v>2.125</v>
      </c>
      <c r="D5019" s="33">
        <f>INDEX('ZCB Curve - Payment Dates'!$D$2:$D$246,MATCH(B5019,'ZCB Curve - Payment Dates'!$A$2:$A$246,0))</f>
        <v>0.52449040173194583</v>
      </c>
      <c r="E5019" s="32">
        <f t="shared" si="78"/>
        <v>1.1145421036803849</v>
      </c>
    </row>
    <row r="5020" spans="1:5" x14ac:dyDescent="0.25">
      <c r="A5020" s="17">
        <v>344</v>
      </c>
      <c r="B5020" s="31">
        <v>51181</v>
      </c>
      <c r="C5020" s="32">
        <f>INDEX('Input Data'!$B:$B,A5020)/2+IF(A5020&lt;&gt;A5021,100,0)</f>
        <v>2.125</v>
      </c>
      <c r="D5020" s="33">
        <f>INDEX('ZCB Curve - Payment Dates'!$D$2:$D$246,MATCH(B5020,'ZCB Curve - Payment Dates'!$A$2:$A$246,0))</f>
        <v>0.5089691698468306</v>
      </c>
      <c r="E5020" s="32">
        <f t="shared" si="78"/>
        <v>1.081559485924515</v>
      </c>
    </row>
    <row r="5021" spans="1:5" x14ac:dyDescent="0.25">
      <c r="A5021" s="17">
        <v>344</v>
      </c>
      <c r="B5021" s="31">
        <v>51363</v>
      </c>
      <c r="C5021" s="32">
        <f>INDEX('Input Data'!$B:$B,A5021)/2+IF(A5021&lt;&gt;A5022,100,0)</f>
        <v>2.125</v>
      </c>
      <c r="D5021" s="33">
        <f>INDEX('ZCB Curve - Payment Dates'!$D$2:$D$246,MATCH(B5021,'ZCB Curve - Payment Dates'!$A$2:$A$246,0))</f>
        <v>0.49394036022330806</v>
      </c>
      <c r="E5021" s="32">
        <f t="shared" si="78"/>
        <v>1.0496232654745297</v>
      </c>
    </row>
    <row r="5022" spans="1:5" x14ac:dyDescent="0.25">
      <c r="A5022" s="17">
        <v>344</v>
      </c>
      <c r="B5022" s="31">
        <v>51547</v>
      </c>
      <c r="C5022" s="32">
        <f>INDEX('Input Data'!$B:$B,A5022)/2+IF(A5022&lt;&gt;A5023,100,0)</f>
        <v>2.125</v>
      </c>
      <c r="D5022" s="33">
        <f>INDEX('ZCB Curve - Payment Dates'!$D$2:$D$246,MATCH(B5022,'ZCB Curve - Payment Dates'!$A$2:$A$246,0))</f>
        <v>0.47909718957588998</v>
      </c>
      <c r="E5022" s="32">
        <f t="shared" si="78"/>
        <v>1.0180815278487663</v>
      </c>
    </row>
    <row r="5023" spans="1:5" x14ac:dyDescent="0.25">
      <c r="A5023" s="17">
        <v>344</v>
      </c>
      <c r="B5023" s="31">
        <v>51728</v>
      </c>
      <c r="C5023" s="32">
        <f>INDEX('Input Data'!$B:$B,A5023)/2+IF(A5023&lt;&gt;A5024,100,0)</f>
        <v>2.125</v>
      </c>
      <c r="D5023" s="33">
        <f>INDEX('ZCB Curve - Payment Dates'!$D$2:$D$246,MATCH(B5023,'ZCB Curve - Payment Dates'!$A$2:$A$246,0))</f>
        <v>0.46485329459616059</v>
      </c>
      <c r="E5023" s="32">
        <f t="shared" si="78"/>
        <v>0.98781325101684125</v>
      </c>
    </row>
    <row r="5024" spans="1:5" x14ac:dyDescent="0.25">
      <c r="A5024" s="17">
        <v>344</v>
      </c>
      <c r="B5024" s="31">
        <v>51912</v>
      </c>
      <c r="C5024" s="32">
        <f>INDEX('Input Data'!$B:$B,A5024)/2+IF(A5024&lt;&gt;A5025,100,0)</f>
        <v>2.125</v>
      </c>
      <c r="D5024" s="33">
        <f>INDEX('ZCB Curve - Payment Dates'!$D$2:$D$246,MATCH(B5024,'ZCB Curve - Payment Dates'!$A$2:$A$246,0))</f>
        <v>0.45075168915212815</v>
      </c>
      <c r="E5024" s="32">
        <f t="shared" si="78"/>
        <v>0.95784733944827227</v>
      </c>
    </row>
    <row r="5025" spans="1:5" x14ac:dyDescent="0.25">
      <c r="A5025" s="17">
        <v>344</v>
      </c>
      <c r="B5025" s="31">
        <v>52093</v>
      </c>
      <c r="C5025" s="32">
        <f>INDEX('Input Data'!$B:$B,A5025)/2+IF(A5025&lt;&gt;A5026,100,0)</f>
        <v>2.125</v>
      </c>
      <c r="D5025" s="33">
        <f>INDEX('ZCB Curve - Payment Dates'!$D$2:$D$246,MATCH(B5025,'ZCB Curve - Payment Dates'!$A$2:$A$246,0))</f>
        <v>0.43726259018094221</v>
      </c>
      <c r="E5025" s="32">
        <f t="shared" si="78"/>
        <v>0.92918300413450217</v>
      </c>
    </row>
    <row r="5026" spans="1:5" x14ac:dyDescent="0.25">
      <c r="A5026" s="17">
        <v>344</v>
      </c>
      <c r="B5026" s="31">
        <v>52277</v>
      </c>
      <c r="C5026" s="32">
        <f>INDEX('Input Data'!$B:$B,A5026)/2+IF(A5026&lt;&gt;A5027,100,0)</f>
        <v>2.125</v>
      </c>
      <c r="D5026" s="33">
        <f>INDEX('ZCB Curve - Payment Dates'!$D$2:$D$246,MATCH(B5026,'ZCB Curve - Payment Dates'!$A$2:$A$246,0))</f>
        <v>0.4239492285351204</v>
      </c>
      <c r="E5026" s="32">
        <f t="shared" si="78"/>
        <v>0.90089211063713082</v>
      </c>
    </row>
    <row r="5027" spans="1:5" x14ac:dyDescent="0.25">
      <c r="A5027" s="17">
        <v>344</v>
      </c>
      <c r="B5027" s="31">
        <v>52458</v>
      </c>
      <c r="C5027" s="32">
        <f>INDEX('Input Data'!$B:$B,A5027)/2+IF(A5027&lt;&gt;A5028,100,0)</f>
        <v>2.125</v>
      </c>
      <c r="D5027" s="33">
        <f>INDEX('ZCB Curve - Payment Dates'!$D$2:$D$246,MATCH(B5027,'ZCB Curve - Payment Dates'!$A$2:$A$246,0))</f>
        <v>0.4112516019468152</v>
      </c>
      <c r="E5027" s="32">
        <f t="shared" si="78"/>
        <v>0.87390965413698229</v>
      </c>
    </row>
    <row r="5028" spans="1:5" x14ac:dyDescent="0.25">
      <c r="A5028" s="17">
        <v>344</v>
      </c>
      <c r="B5028" s="31">
        <v>52642</v>
      </c>
      <c r="C5028" s="32">
        <f>INDEX('Input Data'!$B:$B,A5028)/2+IF(A5028&lt;&gt;A5029,100,0)</f>
        <v>2.125</v>
      </c>
      <c r="D5028" s="33">
        <f>INDEX('ZCB Curve - Payment Dates'!$D$2:$D$246,MATCH(B5028,'ZCB Curve - Payment Dates'!$A$2:$A$246,0))</f>
        <v>0.39875459879352759</v>
      </c>
      <c r="E5028" s="32">
        <f t="shared" si="78"/>
        <v>0.84735352243624618</v>
      </c>
    </row>
    <row r="5029" spans="1:5" x14ac:dyDescent="0.25">
      <c r="A5029" s="17">
        <v>344</v>
      </c>
      <c r="B5029" s="31">
        <v>52824</v>
      </c>
      <c r="C5029" s="32">
        <f>INDEX('Input Data'!$B:$B,A5029)/2+IF(A5029&lt;&gt;A5030,100,0)</f>
        <v>2.125</v>
      </c>
      <c r="D5029" s="33">
        <f>INDEX('ZCB Curve - Payment Dates'!$D$2:$D$246,MATCH(B5029,'ZCB Curve - Payment Dates'!$A$2:$A$246,0))</f>
        <v>0.38680384560622083</v>
      </c>
      <c r="E5029" s="32">
        <f t="shared" si="78"/>
        <v>0.82195817191321929</v>
      </c>
    </row>
    <row r="5030" spans="1:5" x14ac:dyDescent="0.25">
      <c r="A5030" s="17">
        <v>344</v>
      </c>
      <c r="B5030" s="31">
        <v>53008</v>
      </c>
      <c r="C5030" s="32">
        <f>INDEX('Input Data'!$B:$B,A5030)/2+IF(A5030&lt;&gt;A5031,100,0)</f>
        <v>2.125</v>
      </c>
      <c r="D5030" s="33">
        <f>INDEX('ZCB Curve - Payment Dates'!$D$2:$D$246,MATCH(B5030,'ZCB Curve - Payment Dates'!$A$2:$A$246,0))</f>
        <v>0.37513648791915083</v>
      </c>
      <c r="E5030" s="32">
        <f t="shared" si="78"/>
        <v>0.79716503682819551</v>
      </c>
    </row>
    <row r="5031" spans="1:5" x14ac:dyDescent="0.25">
      <c r="A5031" s="17">
        <v>344</v>
      </c>
      <c r="B5031" s="31">
        <v>53189</v>
      </c>
      <c r="C5031" s="32">
        <f>INDEX('Input Data'!$B:$B,A5031)/2+IF(A5031&lt;&gt;A5032,100,0)</f>
        <v>2.125</v>
      </c>
      <c r="D5031" s="33">
        <f>INDEX('ZCB Curve - Payment Dates'!$D$2:$D$246,MATCH(B5031,'ZCB Curve - Payment Dates'!$A$2:$A$246,0))</f>
        <v>0.36406533257851953</v>
      </c>
      <c r="E5031" s="32">
        <f t="shared" si="78"/>
        <v>0.77363883172935399</v>
      </c>
    </row>
    <row r="5032" spans="1:5" x14ac:dyDescent="0.25">
      <c r="A5032" s="17">
        <v>344</v>
      </c>
      <c r="B5032" s="31">
        <v>53373</v>
      </c>
      <c r="C5032" s="32">
        <f>INDEX('Input Data'!$B:$B,A5032)/2+IF(A5032&lt;&gt;A5033,100,0)</f>
        <v>2.125</v>
      </c>
      <c r="D5032" s="33">
        <f>INDEX('ZCB Curve - Payment Dates'!$D$2:$D$246,MATCH(B5032,'ZCB Curve - Payment Dates'!$A$2:$A$246,0))</f>
        <v>0.35322166892031259</v>
      </c>
      <c r="E5032" s="32">
        <f t="shared" si="78"/>
        <v>0.75059604645566425</v>
      </c>
    </row>
    <row r="5033" spans="1:5" x14ac:dyDescent="0.25">
      <c r="A5033" s="17">
        <v>344</v>
      </c>
      <c r="B5033" s="31">
        <v>53554</v>
      </c>
      <c r="C5033" s="32">
        <f>INDEX('Input Data'!$B:$B,A5033)/2+IF(A5033&lt;&gt;A5034,100,0)</f>
        <v>2.125</v>
      </c>
      <c r="D5033" s="33">
        <f>INDEX('ZCB Curve - Payment Dates'!$D$2:$D$246,MATCH(B5033,'ZCB Curve - Payment Dates'!$A$2:$A$246,0))</f>
        <v>0.34295436226619208</v>
      </c>
      <c r="E5033" s="32">
        <f t="shared" si="78"/>
        <v>0.72877801981565815</v>
      </c>
    </row>
    <row r="5034" spans="1:5" x14ac:dyDescent="0.25">
      <c r="A5034" s="17">
        <v>344</v>
      </c>
      <c r="B5034" s="31">
        <v>53738</v>
      </c>
      <c r="C5034" s="32">
        <f>INDEX('Input Data'!$B:$B,A5034)/2+IF(A5034&lt;&gt;A5035,100,0)</f>
        <v>2.125</v>
      </c>
      <c r="D5034" s="33">
        <f>INDEX('ZCB Curve - Payment Dates'!$D$2:$D$246,MATCH(B5034,'ZCB Curve - Payment Dates'!$A$2:$A$246,0))</f>
        <v>0.33291860450360972</v>
      </c>
      <c r="E5034" s="32">
        <f t="shared" si="78"/>
        <v>0.7074520345701707</v>
      </c>
    </row>
    <row r="5035" spans="1:5" x14ac:dyDescent="0.25">
      <c r="A5035" s="17">
        <v>344</v>
      </c>
      <c r="B5035" s="31">
        <v>53919</v>
      </c>
      <c r="C5035" s="32">
        <f>INDEX('Input Data'!$B:$B,A5035)/2+IF(A5035&lt;&gt;A5036,100,0)</f>
        <v>2.125</v>
      </c>
      <c r="D5035" s="33">
        <f>INDEX('ZCB Curve - Payment Dates'!$D$2:$D$246,MATCH(B5035,'ZCB Curve - Payment Dates'!$A$2:$A$246,0))</f>
        <v>0.32343468195091313</v>
      </c>
      <c r="E5035" s="32">
        <f t="shared" si="78"/>
        <v>0.68729869914569042</v>
      </c>
    </row>
    <row r="5036" spans="1:5" x14ac:dyDescent="0.25">
      <c r="A5036" s="17">
        <v>344</v>
      </c>
      <c r="B5036" s="31">
        <v>54103</v>
      </c>
      <c r="C5036" s="32">
        <f>INDEX('Input Data'!$B:$B,A5036)/2+IF(A5036&lt;&gt;A5037,100,0)</f>
        <v>2.125</v>
      </c>
      <c r="D5036" s="33">
        <f>INDEX('ZCB Curve - Payment Dates'!$D$2:$D$246,MATCH(B5036,'ZCB Curve - Payment Dates'!$A$2:$A$246,0))</f>
        <v>0.31418167147949361</v>
      </c>
      <c r="E5036" s="32">
        <f t="shared" si="78"/>
        <v>0.66763605189392394</v>
      </c>
    </row>
    <row r="5037" spans="1:5" x14ac:dyDescent="0.25">
      <c r="A5037" s="17">
        <v>344</v>
      </c>
      <c r="B5037" s="31">
        <v>54285</v>
      </c>
      <c r="C5037" s="32">
        <f>INDEX('Input Data'!$B:$B,A5037)/2+IF(A5037&lt;&gt;A5038,100,0)</f>
        <v>2.125</v>
      </c>
      <c r="D5037" s="33">
        <f>INDEX('ZCB Curve - Payment Dates'!$D$2:$D$246,MATCH(B5037,'ZCB Curve - Payment Dates'!$A$2:$A$246,0))</f>
        <v>0.30540618878290843</v>
      </c>
      <c r="E5037" s="32">
        <f t="shared" si="78"/>
        <v>0.64898815116368036</v>
      </c>
    </row>
    <row r="5038" spans="1:5" x14ac:dyDescent="0.25">
      <c r="A5038" s="17">
        <v>344</v>
      </c>
      <c r="B5038" s="31">
        <v>54469</v>
      </c>
      <c r="C5038" s="32">
        <f>INDEX('Input Data'!$B:$B,A5038)/2+IF(A5038&lt;&gt;A5039,100,0)</f>
        <v>2.125</v>
      </c>
      <c r="D5038" s="33">
        <f>INDEX('ZCB Curve - Payment Dates'!$D$2:$D$246,MATCH(B5038,'ZCB Curve - Payment Dates'!$A$2:$A$246,0))</f>
        <v>0.29690423521941833</v>
      </c>
      <c r="E5038" s="32">
        <f t="shared" si="78"/>
        <v>0.630921499841264</v>
      </c>
    </row>
    <row r="5039" spans="1:5" x14ac:dyDescent="0.25">
      <c r="A5039" s="17">
        <v>344</v>
      </c>
      <c r="B5039" s="31">
        <v>54650</v>
      </c>
      <c r="C5039" s="32">
        <f>INDEX('Input Data'!$B:$B,A5039)/2+IF(A5039&lt;&gt;A5040,100,0)</f>
        <v>2.125</v>
      </c>
      <c r="D5039" s="33">
        <f>INDEX('ZCB Curve - Payment Dates'!$D$2:$D$246,MATCH(B5039,'ZCB Curve - Payment Dates'!$A$2:$A$246,0))</f>
        <v>0.2888997564491238</v>
      </c>
      <c r="E5039" s="32">
        <f t="shared" si="78"/>
        <v>0.61391198245438805</v>
      </c>
    </row>
    <row r="5040" spans="1:5" x14ac:dyDescent="0.25">
      <c r="A5040" s="17">
        <v>344</v>
      </c>
      <c r="B5040" s="31">
        <v>54834</v>
      </c>
      <c r="C5040" s="32">
        <f>INDEX('Input Data'!$B:$B,A5040)/2+IF(A5040&lt;&gt;A5041,100,0)</f>
        <v>2.125</v>
      </c>
      <c r="D5040" s="33">
        <f>INDEX('ZCB Curve - Payment Dates'!$D$2:$D$246,MATCH(B5040,'ZCB Curve - Payment Dates'!$A$2:$A$246,0))</f>
        <v>0.28111189964037164</v>
      </c>
      <c r="E5040" s="32">
        <f t="shared" si="78"/>
        <v>0.5973627867357898</v>
      </c>
    </row>
    <row r="5041" spans="1:5" x14ac:dyDescent="0.25">
      <c r="A5041" s="17">
        <v>344</v>
      </c>
      <c r="B5041" s="31">
        <v>55015</v>
      </c>
      <c r="C5041" s="32">
        <f>INDEX('Input Data'!$B:$B,A5041)/2+IF(A5041&lt;&gt;A5042,100,0)</f>
        <v>2.125</v>
      </c>
      <c r="D5041" s="33">
        <f>INDEX('ZCB Curve - Payment Dates'!$D$2:$D$246,MATCH(B5041,'ZCB Curve - Payment Dates'!$A$2:$A$246,0))</f>
        <v>0.27379046078597996</v>
      </c>
      <c r="E5041" s="32">
        <f t="shared" si="78"/>
        <v>0.58180472917020742</v>
      </c>
    </row>
    <row r="5042" spans="1:5" x14ac:dyDescent="0.25">
      <c r="A5042" s="17">
        <v>344</v>
      </c>
      <c r="B5042" s="31">
        <v>55199</v>
      </c>
      <c r="C5042" s="32">
        <f>INDEX('Input Data'!$B:$B,A5042)/2+IF(A5042&lt;&gt;A5043,100,0)</f>
        <v>2.125</v>
      </c>
      <c r="D5042" s="33">
        <f>INDEX('ZCB Curve - Payment Dates'!$D$2:$D$246,MATCH(B5042,'ZCB Curve - Payment Dates'!$A$2:$A$246,0))</f>
        <v>0.26667724322397307</v>
      </c>
      <c r="E5042" s="32">
        <f t="shared" si="78"/>
        <v>0.56668914185094277</v>
      </c>
    </row>
    <row r="5043" spans="1:5" x14ac:dyDescent="0.25">
      <c r="A5043" s="17">
        <v>344</v>
      </c>
      <c r="B5043" s="31">
        <v>55380</v>
      </c>
      <c r="C5043" s="32">
        <f>INDEX('Input Data'!$B:$B,A5043)/2+IF(A5043&lt;&gt;A5044,100,0)</f>
        <v>2.125</v>
      </c>
      <c r="D5043" s="33">
        <f>INDEX('ZCB Curve - Payment Dates'!$D$2:$D$246,MATCH(B5043,'ZCB Curve - Payment Dates'!$A$2:$A$246,0))</f>
        <v>0.25999926234228898</v>
      </c>
      <c r="E5043" s="32">
        <f t="shared" si="78"/>
        <v>0.55249843247736408</v>
      </c>
    </row>
    <row r="5044" spans="1:5" x14ac:dyDescent="0.25">
      <c r="A5044" s="17">
        <v>344</v>
      </c>
      <c r="B5044" s="31">
        <v>55564</v>
      </c>
      <c r="C5044" s="32">
        <f>INDEX('Input Data'!$B:$B,A5044)/2+IF(A5044&lt;&gt;A5045,100,0)</f>
        <v>2.125</v>
      </c>
      <c r="D5044" s="33">
        <f>INDEX('ZCB Curve - Payment Dates'!$D$2:$D$246,MATCH(B5044,'ZCB Curve - Payment Dates'!$A$2:$A$246,0))</f>
        <v>0.25351997596294801</v>
      </c>
      <c r="E5044" s="32">
        <f t="shared" si="78"/>
        <v>0.53872994892126447</v>
      </c>
    </row>
    <row r="5045" spans="1:5" x14ac:dyDescent="0.25">
      <c r="A5045" s="17">
        <v>344</v>
      </c>
      <c r="B5045" s="31">
        <v>55746</v>
      </c>
      <c r="C5045" s="32">
        <f>INDEX('Input Data'!$B:$B,A5045)/2+IF(A5045&lt;&gt;A5046,100,0)</f>
        <v>2.125</v>
      </c>
      <c r="D5045" s="33">
        <f>INDEX('ZCB Curve - Payment Dates'!$D$2:$D$246,MATCH(B5045,'ZCB Curve - Payment Dates'!$A$2:$A$246,0))</f>
        <v>0.24741177833471262</v>
      </c>
      <c r="E5045" s="32">
        <f t="shared" si="78"/>
        <v>0.52575002896126433</v>
      </c>
    </row>
    <row r="5046" spans="1:5" x14ac:dyDescent="0.25">
      <c r="A5046" s="17">
        <v>344</v>
      </c>
      <c r="B5046" s="31">
        <v>55930</v>
      </c>
      <c r="C5046" s="32">
        <f>INDEX('Input Data'!$B:$B,A5046)/2+IF(A5046&lt;&gt;A5047,100,0)</f>
        <v>2.125</v>
      </c>
      <c r="D5046" s="33">
        <f>INDEX('ZCB Curve - Payment Dates'!$D$2:$D$246,MATCH(B5046,'ZCB Curve - Payment Dates'!$A$2:$A$246,0))</f>
        <v>0.24152840552252464</v>
      </c>
      <c r="E5046" s="32">
        <f t="shared" si="78"/>
        <v>0.51324786173536485</v>
      </c>
    </row>
    <row r="5047" spans="1:5" x14ac:dyDescent="0.25">
      <c r="A5047" s="17">
        <v>344</v>
      </c>
      <c r="B5047" s="31">
        <v>56111</v>
      </c>
      <c r="C5047" s="32">
        <f>INDEX('Input Data'!$B:$B,A5047)/2+IF(A5047&lt;&gt;A5048,100,0)</f>
        <v>2.125</v>
      </c>
      <c r="D5047" s="33">
        <f>INDEX('ZCB Curve - Payment Dates'!$D$2:$D$246,MATCH(B5047,'ZCB Curve - Payment Dates'!$A$2:$A$246,0))</f>
        <v>0.23601759993777988</v>
      </c>
      <c r="E5047" s="32">
        <f t="shared" si="78"/>
        <v>0.50153739986778223</v>
      </c>
    </row>
    <row r="5048" spans="1:5" x14ac:dyDescent="0.25">
      <c r="A5048" s="17">
        <v>344</v>
      </c>
      <c r="B5048" s="31">
        <v>56295</v>
      </c>
      <c r="C5048" s="32">
        <f>INDEX('Input Data'!$B:$B,A5048)/2+IF(A5048&lt;&gt;A5049,100,0)</f>
        <v>102.125</v>
      </c>
      <c r="D5048" s="33">
        <f>INDEX('ZCB Curve - Payment Dates'!$D$2:$D$246,MATCH(B5048,'ZCB Curve - Payment Dates'!$A$2:$A$246,0))</f>
        <v>0.23068727764963001</v>
      </c>
      <c r="E5048" s="32">
        <f t="shared" si="78"/>
        <v>23.558938229968465</v>
      </c>
    </row>
    <row r="5049" spans="1:5" x14ac:dyDescent="0.25">
      <c r="A5049" s="17">
        <v>345</v>
      </c>
      <c r="B5049" s="31">
        <v>46341</v>
      </c>
      <c r="C5049" s="32">
        <f>INDEX('Input Data'!$B:$B,A5049)/2+IF(A5049&lt;&gt;A5050,100,0)</f>
        <v>2.3125</v>
      </c>
      <c r="D5049" s="33">
        <f>INDEX('ZCB Curve - Payment Dates'!$D$2:$D$246,MATCH(B5049,'ZCB Curve - Payment Dates'!$A$2:$A$246,0))</f>
        <v>0.99245367292309439</v>
      </c>
      <c r="E5049" s="32">
        <f t="shared" si="78"/>
        <v>2.2950491186346555</v>
      </c>
    </row>
    <row r="5050" spans="1:5" x14ac:dyDescent="0.25">
      <c r="A5050" s="17">
        <v>345</v>
      </c>
      <c r="B5050" s="31">
        <v>46522</v>
      </c>
      <c r="C5050" s="32">
        <f>INDEX('Input Data'!$B:$B,A5050)/2+IF(A5050&lt;&gt;A5051,100,0)</f>
        <v>2.3125</v>
      </c>
      <c r="D5050" s="33">
        <f>INDEX('ZCB Curve - Payment Dates'!$D$2:$D$246,MATCH(B5050,'ZCB Curve - Payment Dates'!$A$2:$A$246,0))</f>
        <v>0.97242179559611874</v>
      </c>
      <c r="E5050" s="32">
        <f t="shared" si="78"/>
        <v>2.2487254023160248</v>
      </c>
    </row>
    <row r="5051" spans="1:5" x14ac:dyDescent="0.25">
      <c r="A5051" s="17">
        <v>345</v>
      </c>
      <c r="B5051" s="31">
        <v>46706</v>
      </c>
      <c r="C5051" s="32">
        <f>INDEX('Input Data'!$B:$B,A5051)/2+IF(A5051&lt;&gt;A5052,100,0)</f>
        <v>2.3125</v>
      </c>
      <c r="D5051" s="33">
        <f>INDEX('ZCB Curve - Payment Dates'!$D$2:$D$246,MATCH(B5051,'ZCB Curve - Payment Dates'!$A$2:$A$246,0))</f>
        <v>0.95121018311627348</v>
      </c>
      <c r="E5051" s="32">
        <f t="shared" si="78"/>
        <v>2.1996735484563823</v>
      </c>
    </row>
    <row r="5052" spans="1:5" x14ac:dyDescent="0.25">
      <c r="A5052" s="17">
        <v>345</v>
      </c>
      <c r="B5052" s="31">
        <v>46888</v>
      </c>
      <c r="C5052" s="32">
        <f>INDEX('Input Data'!$B:$B,A5052)/2+IF(A5052&lt;&gt;A5053,100,0)</f>
        <v>2.3125</v>
      </c>
      <c r="D5052" s="33">
        <f>INDEX('ZCB Curve - Payment Dates'!$D$2:$D$246,MATCH(B5052,'ZCB Curve - Payment Dates'!$A$2:$A$246,0))</f>
        <v>0.93000025435083566</v>
      </c>
      <c r="E5052" s="32">
        <f t="shared" si="78"/>
        <v>2.1506255881863074</v>
      </c>
    </row>
    <row r="5053" spans="1:5" x14ac:dyDescent="0.25">
      <c r="A5053" s="17">
        <v>345</v>
      </c>
      <c r="B5053" s="31">
        <v>47072</v>
      </c>
      <c r="C5053" s="32">
        <f>INDEX('Input Data'!$B:$B,A5053)/2+IF(A5053&lt;&gt;A5054,100,0)</f>
        <v>2.3125</v>
      </c>
      <c r="D5053" s="33">
        <f>INDEX('ZCB Curve - Payment Dates'!$D$2:$D$246,MATCH(B5053,'ZCB Curve - Payment Dates'!$A$2:$A$246,0))</f>
        <v>0.90870125167038918</v>
      </c>
      <c r="E5053" s="32">
        <f t="shared" si="78"/>
        <v>2.101371644487775</v>
      </c>
    </row>
    <row r="5054" spans="1:5" x14ac:dyDescent="0.25">
      <c r="A5054" s="17">
        <v>345</v>
      </c>
      <c r="B5054" s="31">
        <v>47253</v>
      </c>
      <c r="C5054" s="32">
        <f>INDEX('Input Data'!$B:$B,A5054)/2+IF(A5054&lt;&gt;A5055,100,0)</f>
        <v>2.3125</v>
      </c>
      <c r="D5054" s="33">
        <f>INDEX('ZCB Curve - Payment Dates'!$D$2:$D$246,MATCH(B5054,'ZCB Curve - Payment Dates'!$A$2:$A$246,0))</f>
        <v>0.88809325063638844</v>
      </c>
      <c r="E5054" s="32">
        <f t="shared" si="78"/>
        <v>2.0537156420966483</v>
      </c>
    </row>
    <row r="5055" spans="1:5" x14ac:dyDescent="0.25">
      <c r="A5055" s="17">
        <v>345</v>
      </c>
      <c r="B5055" s="31">
        <v>47437</v>
      </c>
      <c r="C5055" s="32">
        <f>INDEX('Input Data'!$B:$B,A5055)/2+IF(A5055&lt;&gt;A5056,100,0)</f>
        <v>2.3125</v>
      </c>
      <c r="D5055" s="33">
        <f>INDEX('ZCB Curve - Payment Dates'!$D$2:$D$246,MATCH(B5055,'ZCB Curve - Payment Dates'!$A$2:$A$246,0))</f>
        <v>0.86758824089536279</v>
      </c>
      <c r="E5055" s="32">
        <f t="shared" si="78"/>
        <v>2.0062978070705264</v>
      </c>
    </row>
    <row r="5056" spans="1:5" x14ac:dyDescent="0.25">
      <c r="A5056" s="17">
        <v>345</v>
      </c>
      <c r="B5056" s="31">
        <v>47618</v>
      </c>
      <c r="C5056" s="32">
        <f>INDEX('Input Data'!$B:$B,A5056)/2+IF(A5056&lt;&gt;A5057,100,0)</f>
        <v>2.3125</v>
      </c>
      <c r="D5056" s="33">
        <f>INDEX('ZCB Curve - Payment Dates'!$D$2:$D$246,MATCH(B5056,'ZCB Curve - Payment Dates'!$A$2:$A$246,0))</f>
        <v>0.84787416911783064</v>
      </c>
      <c r="E5056" s="32">
        <f t="shared" si="78"/>
        <v>1.9607090160849834</v>
      </c>
    </row>
    <row r="5057" spans="1:5" x14ac:dyDescent="0.25">
      <c r="A5057" s="17">
        <v>345</v>
      </c>
      <c r="B5057" s="31">
        <v>47802</v>
      </c>
      <c r="C5057" s="32">
        <f>INDEX('Input Data'!$B:$B,A5057)/2+IF(A5057&lt;&gt;A5058,100,0)</f>
        <v>2.3125</v>
      </c>
      <c r="D5057" s="33">
        <f>INDEX('ZCB Curve - Payment Dates'!$D$2:$D$246,MATCH(B5057,'ZCB Curve - Payment Dates'!$A$2:$A$246,0))</f>
        <v>0.82827715028796722</v>
      </c>
      <c r="E5057" s="32">
        <f t="shared" si="78"/>
        <v>1.9153909100409241</v>
      </c>
    </row>
    <row r="5058" spans="1:5" x14ac:dyDescent="0.25">
      <c r="A5058" s="17">
        <v>345</v>
      </c>
      <c r="B5058" s="31">
        <v>47983</v>
      </c>
      <c r="C5058" s="32">
        <f>INDEX('Input Data'!$B:$B,A5058)/2+IF(A5058&lt;&gt;A5059,100,0)</f>
        <v>2.3125</v>
      </c>
      <c r="D5058" s="33">
        <f>INDEX('ZCB Curve - Payment Dates'!$D$2:$D$246,MATCH(B5058,'ZCB Curve - Payment Dates'!$A$2:$A$246,0))</f>
        <v>0.80939067484273564</v>
      </c>
      <c r="E5058" s="32">
        <f t="shared" ref="E5058:E5121" si="79">C5058*D5058</f>
        <v>1.8717159355738262</v>
      </c>
    </row>
    <row r="5059" spans="1:5" x14ac:dyDescent="0.25">
      <c r="A5059" s="17">
        <v>345</v>
      </c>
      <c r="B5059" s="31">
        <v>48167</v>
      </c>
      <c r="C5059" s="32">
        <f>INDEX('Input Data'!$B:$B,A5059)/2+IF(A5059&lt;&gt;A5060,100,0)</f>
        <v>2.3125</v>
      </c>
      <c r="D5059" s="33">
        <f>INDEX('ZCB Curve - Payment Dates'!$D$2:$D$246,MATCH(B5059,'ZCB Curve - Payment Dates'!$A$2:$A$246,0))</f>
        <v>0.79053567842581962</v>
      </c>
      <c r="E5059" s="32">
        <f t="shared" si="79"/>
        <v>1.8281137563597079</v>
      </c>
    </row>
    <row r="5060" spans="1:5" x14ac:dyDescent="0.25">
      <c r="A5060" s="17">
        <v>345</v>
      </c>
      <c r="B5060" s="31">
        <v>48349</v>
      </c>
      <c r="C5060" s="32">
        <f>INDEX('Input Data'!$B:$B,A5060)/2+IF(A5060&lt;&gt;A5061,100,0)</f>
        <v>2.3125</v>
      </c>
      <c r="D5060" s="33">
        <f>INDEX('ZCB Curve - Payment Dates'!$D$2:$D$246,MATCH(B5060,'ZCB Curve - Payment Dates'!$A$2:$A$246,0))</f>
        <v>0.77217305702007488</v>
      </c>
      <c r="E5060" s="32">
        <f t="shared" si="79"/>
        <v>1.7856501943589231</v>
      </c>
    </row>
    <row r="5061" spans="1:5" x14ac:dyDescent="0.25">
      <c r="A5061" s="17">
        <v>345</v>
      </c>
      <c r="B5061" s="31">
        <v>48533</v>
      </c>
      <c r="C5061" s="32">
        <f>INDEX('Input Data'!$B:$B,A5061)/2+IF(A5061&lt;&gt;A5062,100,0)</f>
        <v>2.3125</v>
      </c>
      <c r="D5061" s="33">
        <f>INDEX('ZCB Curve - Payment Dates'!$D$2:$D$246,MATCH(B5061,'ZCB Curve - Payment Dates'!$A$2:$A$246,0))</f>
        <v>0.75384766072076514</v>
      </c>
      <c r="E5061" s="32">
        <f t="shared" si="79"/>
        <v>1.7432727154167693</v>
      </c>
    </row>
    <row r="5062" spans="1:5" x14ac:dyDescent="0.25">
      <c r="A5062" s="17">
        <v>345</v>
      </c>
      <c r="B5062" s="31">
        <v>48714</v>
      </c>
      <c r="C5062" s="32">
        <f>INDEX('Input Data'!$B:$B,A5062)/2+IF(A5062&lt;&gt;A5063,100,0)</f>
        <v>2.3125</v>
      </c>
      <c r="D5062" s="33">
        <f>INDEX('ZCB Curve - Payment Dates'!$D$2:$D$246,MATCH(B5062,'ZCB Curve - Payment Dates'!$A$2:$A$246,0))</f>
        <v>0.73601491848746747</v>
      </c>
      <c r="E5062" s="32">
        <f t="shared" si="79"/>
        <v>1.7020344990022684</v>
      </c>
    </row>
    <row r="5063" spans="1:5" x14ac:dyDescent="0.25">
      <c r="A5063" s="17">
        <v>345</v>
      </c>
      <c r="B5063" s="31">
        <v>48898</v>
      </c>
      <c r="C5063" s="32">
        <f>INDEX('Input Data'!$B:$B,A5063)/2+IF(A5063&lt;&gt;A5064,100,0)</f>
        <v>2.3125</v>
      </c>
      <c r="D5063" s="33">
        <f>INDEX('ZCB Curve - Payment Dates'!$D$2:$D$246,MATCH(B5063,'ZCB Curve - Payment Dates'!$A$2:$A$246,0))</f>
        <v>0.71805338140354003</v>
      </c>
      <c r="E5063" s="32">
        <f t="shared" si="79"/>
        <v>1.6604984444956863</v>
      </c>
    </row>
    <row r="5064" spans="1:5" x14ac:dyDescent="0.25">
      <c r="A5064" s="17">
        <v>345</v>
      </c>
      <c r="B5064" s="31">
        <v>49079</v>
      </c>
      <c r="C5064" s="32">
        <f>INDEX('Input Data'!$B:$B,A5064)/2+IF(A5064&lt;&gt;A5065,100,0)</f>
        <v>2.3125</v>
      </c>
      <c r="D5064" s="33">
        <f>INDEX('ZCB Curve - Payment Dates'!$D$2:$D$246,MATCH(B5064,'ZCB Curve - Payment Dates'!$A$2:$A$246,0))</f>
        <v>0.70052630492471468</v>
      </c>
      <c r="E5064" s="32">
        <f t="shared" si="79"/>
        <v>1.6199670801384027</v>
      </c>
    </row>
    <row r="5065" spans="1:5" x14ac:dyDescent="0.25">
      <c r="A5065" s="17">
        <v>345</v>
      </c>
      <c r="B5065" s="31">
        <v>49263</v>
      </c>
      <c r="C5065" s="32">
        <f>INDEX('Input Data'!$B:$B,A5065)/2+IF(A5065&lt;&gt;A5066,100,0)</f>
        <v>2.3125</v>
      </c>
      <c r="D5065" s="33">
        <f>INDEX('ZCB Curve - Payment Dates'!$D$2:$D$246,MATCH(B5065,'ZCB Curve - Payment Dates'!$A$2:$A$246,0))</f>
        <v>0.68284221202539863</v>
      </c>
      <c r="E5065" s="32">
        <f t="shared" si="79"/>
        <v>1.5790726153087344</v>
      </c>
    </row>
    <row r="5066" spans="1:5" x14ac:dyDescent="0.25">
      <c r="A5066" s="17">
        <v>345</v>
      </c>
      <c r="B5066" s="31">
        <v>49444</v>
      </c>
      <c r="C5066" s="32">
        <f>INDEX('Input Data'!$B:$B,A5066)/2+IF(A5066&lt;&gt;A5067,100,0)</f>
        <v>2.3125</v>
      </c>
      <c r="D5066" s="33">
        <f>INDEX('ZCB Curve - Payment Dates'!$D$2:$D$246,MATCH(B5066,'ZCB Curve - Payment Dates'!$A$2:$A$246,0))</f>
        <v>0.66557347415228496</v>
      </c>
      <c r="E5066" s="32">
        <f t="shared" si="79"/>
        <v>1.539138658977159</v>
      </c>
    </row>
    <row r="5067" spans="1:5" x14ac:dyDescent="0.25">
      <c r="A5067" s="17">
        <v>345</v>
      </c>
      <c r="B5067" s="31">
        <v>49628</v>
      </c>
      <c r="C5067" s="32">
        <f>INDEX('Input Data'!$B:$B,A5067)/2+IF(A5067&lt;&gt;A5068,100,0)</f>
        <v>2.3125</v>
      </c>
      <c r="D5067" s="33">
        <f>INDEX('ZCB Curve - Payment Dates'!$D$2:$D$246,MATCH(B5067,'ZCB Curve - Payment Dates'!$A$2:$A$246,0))</f>
        <v>0.64815361918127823</v>
      </c>
      <c r="E5067" s="32">
        <f t="shared" si="79"/>
        <v>1.4988552443567058</v>
      </c>
    </row>
    <row r="5068" spans="1:5" x14ac:dyDescent="0.25">
      <c r="A5068" s="17">
        <v>345</v>
      </c>
      <c r="B5068" s="31">
        <v>49810</v>
      </c>
      <c r="C5068" s="32">
        <f>INDEX('Input Data'!$B:$B,A5068)/2+IF(A5068&lt;&gt;A5069,100,0)</f>
        <v>2.3125</v>
      </c>
      <c r="D5068" s="33">
        <f>INDEX('ZCB Curve - Payment Dates'!$D$2:$D$246,MATCH(B5068,'ZCB Curve - Payment Dates'!$A$2:$A$246,0))</f>
        <v>0.63106457078577471</v>
      </c>
      <c r="E5068" s="32">
        <f t="shared" si="79"/>
        <v>1.459336819942104</v>
      </c>
    </row>
    <row r="5069" spans="1:5" x14ac:dyDescent="0.25">
      <c r="A5069" s="17">
        <v>345</v>
      </c>
      <c r="B5069" s="31">
        <v>49994</v>
      </c>
      <c r="C5069" s="32">
        <f>INDEX('Input Data'!$B:$B,A5069)/2+IF(A5069&lt;&gt;A5070,100,0)</f>
        <v>2.3125</v>
      </c>
      <c r="D5069" s="33">
        <f>INDEX('ZCB Curve - Payment Dates'!$D$2:$D$246,MATCH(B5069,'ZCB Curve - Payment Dates'!$A$2:$A$246,0))</f>
        <v>0.61395227923184648</v>
      </c>
      <c r="E5069" s="32">
        <f t="shared" si="79"/>
        <v>1.419764645723645</v>
      </c>
    </row>
    <row r="5070" spans="1:5" x14ac:dyDescent="0.25">
      <c r="A5070" s="17">
        <v>345</v>
      </c>
      <c r="B5070" s="31">
        <v>50175</v>
      </c>
      <c r="C5070" s="32">
        <f>INDEX('Input Data'!$B:$B,A5070)/2+IF(A5070&lt;&gt;A5071,100,0)</f>
        <v>2.3125</v>
      </c>
      <c r="D5070" s="33">
        <f>INDEX('ZCB Curve - Payment Dates'!$D$2:$D$246,MATCH(B5070,'ZCB Curve - Payment Dates'!$A$2:$A$246,0))</f>
        <v>0.5972963482314616</v>
      </c>
      <c r="E5070" s="32">
        <f t="shared" si="79"/>
        <v>1.381247805285255</v>
      </c>
    </row>
    <row r="5071" spans="1:5" x14ac:dyDescent="0.25">
      <c r="A5071" s="17">
        <v>345</v>
      </c>
      <c r="B5071" s="31">
        <v>50359</v>
      </c>
      <c r="C5071" s="32">
        <f>INDEX('Input Data'!$B:$B,A5071)/2+IF(A5071&lt;&gt;A5072,100,0)</f>
        <v>2.3125</v>
      </c>
      <c r="D5071" s="33">
        <f>INDEX('ZCB Curve - Payment Dates'!$D$2:$D$246,MATCH(B5071,'ZCB Curve - Payment Dates'!$A$2:$A$246,0))</f>
        <v>0.58056812006155756</v>
      </c>
      <c r="E5071" s="32">
        <f t="shared" si="79"/>
        <v>1.3425637776423518</v>
      </c>
    </row>
    <row r="5072" spans="1:5" x14ac:dyDescent="0.25">
      <c r="A5072" s="17">
        <v>345</v>
      </c>
      <c r="B5072" s="31">
        <v>50540</v>
      </c>
      <c r="C5072" s="32">
        <f>INDEX('Input Data'!$B:$B,A5072)/2+IF(A5072&lt;&gt;A5073,100,0)</f>
        <v>2.3125</v>
      </c>
      <c r="D5072" s="33">
        <f>INDEX('ZCB Curve - Payment Dates'!$D$2:$D$246,MATCH(B5072,'ZCB Curve - Payment Dates'!$A$2:$A$246,0))</f>
        <v>0.56433491315969797</v>
      </c>
      <c r="E5072" s="32">
        <f t="shared" si="79"/>
        <v>1.3050244866818015</v>
      </c>
    </row>
    <row r="5073" spans="1:5" x14ac:dyDescent="0.25">
      <c r="A5073" s="17">
        <v>345</v>
      </c>
      <c r="B5073" s="31">
        <v>50724</v>
      </c>
      <c r="C5073" s="32">
        <f>INDEX('Input Data'!$B:$B,A5073)/2+IF(A5073&lt;&gt;A5074,100,0)</f>
        <v>2.3125</v>
      </c>
      <c r="D5073" s="33">
        <f>INDEX('ZCB Curve - Payment Dates'!$D$2:$D$246,MATCH(B5073,'ZCB Curve - Payment Dates'!$A$2:$A$246,0))</f>
        <v>0.54808398139057424</v>
      </c>
      <c r="E5073" s="32">
        <f t="shared" si="79"/>
        <v>1.267444206965703</v>
      </c>
    </row>
    <row r="5074" spans="1:5" x14ac:dyDescent="0.25">
      <c r="A5074" s="17">
        <v>345</v>
      </c>
      <c r="B5074" s="31">
        <v>50905</v>
      </c>
      <c r="C5074" s="32">
        <f>INDEX('Input Data'!$B:$B,A5074)/2+IF(A5074&lt;&gt;A5075,100,0)</f>
        <v>2.3125</v>
      </c>
      <c r="D5074" s="33">
        <f>INDEX('ZCB Curve - Payment Dates'!$D$2:$D$246,MATCH(B5074,'ZCB Curve - Payment Dates'!$A$2:$A$246,0))</f>
        <v>0.5323673246083096</v>
      </c>
      <c r="E5074" s="32">
        <f t="shared" si="79"/>
        <v>1.231099438156716</v>
      </c>
    </row>
    <row r="5075" spans="1:5" x14ac:dyDescent="0.25">
      <c r="A5075" s="17">
        <v>345</v>
      </c>
      <c r="B5075" s="31">
        <v>51089</v>
      </c>
      <c r="C5075" s="32">
        <f>INDEX('Input Data'!$B:$B,A5075)/2+IF(A5075&lt;&gt;A5076,100,0)</f>
        <v>2.3125</v>
      </c>
      <c r="D5075" s="33">
        <f>INDEX('ZCB Curve - Payment Dates'!$D$2:$D$246,MATCH(B5075,'ZCB Curve - Payment Dates'!$A$2:$A$246,0))</f>
        <v>0.51668806431098135</v>
      </c>
      <c r="E5075" s="32">
        <f t="shared" si="79"/>
        <v>1.1948411487191444</v>
      </c>
    </row>
    <row r="5076" spans="1:5" x14ac:dyDescent="0.25">
      <c r="A5076" s="17">
        <v>345</v>
      </c>
      <c r="B5076" s="31">
        <v>51271</v>
      </c>
      <c r="C5076" s="32">
        <f>INDEX('Input Data'!$B:$B,A5076)/2+IF(A5076&lt;&gt;A5077,100,0)</f>
        <v>2.3125</v>
      </c>
      <c r="D5076" s="33">
        <f>INDEX('ZCB Curve - Payment Dates'!$D$2:$D$246,MATCH(B5076,'ZCB Curve - Payment Dates'!$A$2:$A$246,0))</f>
        <v>0.50149590020417278</v>
      </c>
      <c r="E5076" s="32">
        <f t="shared" si="79"/>
        <v>1.1597092692221496</v>
      </c>
    </row>
    <row r="5077" spans="1:5" x14ac:dyDescent="0.25">
      <c r="A5077" s="17">
        <v>345</v>
      </c>
      <c r="B5077" s="31">
        <v>51455</v>
      </c>
      <c r="C5077" s="32">
        <f>INDEX('Input Data'!$B:$B,A5077)/2+IF(A5077&lt;&gt;A5078,100,0)</f>
        <v>2.3125</v>
      </c>
      <c r="D5077" s="33">
        <f>INDEX('ZCB Curve - Payment Dates'!$D$2:$D$246,MATCH(B5077,'ZCB Curve - Payment Dates'!$A$2:$A$246,0))</f>
        <v>0.48647538074270091</v>
      </c>
      <c r="E5077" s="32">
        <f t="shared" si="79"/>
        <v>1.1249743179674958</v>
      </c>
    </row>
    <row r="5078" spans="1:5" x14ac:dyDescent="0.25">
      <c r="A5078" s="17">
        <v>345</v>
      </c>
      <c r="B5078" s="31">
        <v>51636</v>
      </c>
      <c r="C5078" s="32">
        <f>INDEX('Input Data'!$B:$B,A5078)/2+IF(A5078&lt;&gt;A5079,100,0)</f>
        <v>2.3125</v>
      </c>
      <c r="D5078" s="33">
        <f>INDEX('ZCB Curve - Payment Dates'!$D$2:$D$246,MATCH(B5078,'ZCB Curve - Payment Dates'!$A$2:$A$246,0))</f>
        <v>0.47204918703719451</v>
      </c>
      <c r="E5078" s="32">
        <f t="shared" si="79"/>
        <v>1.0916137450235124</v>
      </c>
    </row>
    <row r="5079" spans="1:5" x14ac:dyDescent="0.25">
      <c r="A5079" s="17">
        <v>345</v>
      </c>
      <c r="B5079" s="31">
        <v>51820</v>
      </c>
      <c r="C5079" s="32">
        <f>INDEX('Input Data'!$B:$B,A5079)/2+IF(A5079&lt;&gt;A5080,100,0)</f>
        <v>2.3125</v>
      </c>
      <c r="D5079" s="33">
        <f>INDEX('ZCB Curve - Payment Dates'!$D$2:$D$246,MATCH(B5079,'ZCB Curve - Payment Dates'!$A$2:$A$246,0))</f>
        <v>0.45775548669345245</v>
      </c>
      <c r="E5079" s="32">
        <f t="shared" si="79"/>
        <v>1.0585595629786089</v>
      </c>
    </row>
    <row r="5080" spans="1:5" x14ac:dyDescent="0.25">
      <c r="A5080" s="17">
        <v>345</v>
      </c>
      <c r="B5080" s="31">
        <v>52001</v>
      </c>
      <c r="C5080" s="32">
        <f>INDEX('Input Data'!$B:$B,A5080)/2+IF(A5080&lt;&gt;A5081,100,0)</f>
        <v>2.3125</v>
      </c>
      <c r="D5080" s="33">
        <f>INDEX('ZCB Curve - Payment Dates'!$D$2:$D$246,MATCH(B5080,'ZCB Curve - Payment Dates'!$A$2:$A$246,0))</f>
        <v>0.44407192118484318</v>
      </c>
      <c r="E5080" s="32">
        <f t="shared" si="79"/>
        <v>1.0269163177399498</v>
      </c>
    </row>
    <row r="5081" spans="1:5" x14ac:dyDescent="0.25">
      <c r="A5081" s="17">
        <v>345</v>
      </c>
      <c r="B5081" s="31">
        <v>52185</v>
      </c>
      <c r="C5081" s="32">
        <f>INDEX('Input Data'!$B:$B,A5081)/2+IF(A5081&lt;&gt;A5082,100,0)</f>
        <v>2.3125</v>
      </c>
      <c r="D5081" s="33">
        <f>INDEX('ZCB Curve - Payment Dates'!$D$2:$D$246,MATCH(B5081,'ZCB Curve - Payment Dates'!$A$2:$A$246,0))</f>
        <v>0.43055647946672393</v>
      </c>
      <c r="E5081" s="32">
        <f t="shared" si="79"/>
        <v>0.99566185876679913</v>
      </c>
    </row>
    <row r="5082" spans="1:5" x14ac:dyDescent="0.25">
      <c r="A5082" s="17">
        <v>345</v>
      </c>
      <c r="B5082" s="31">
        <v>52366</v>
      </c>
      <c r="C5082" s="32">
        <f>INDEX('Input Data'!$B:$B,A5082)/2+IF(A5082&lt;&gt;A5083,100,0)</f>
        <v>2.3125</v>
      </c>
      <c r="D5082" s="33">
        <f>INDEX('ZCB Curve - Payment Dates'!$D$2:$D$246,MATCH(B5082,'ZCB Curve - Payment Dates'!$A$2:$A$246,0))</f>
        <v>0.41765686229470528</v>
      </c>
      <c r="E5082" s="32">
        <f t="shared" si="79"/>
        <v>0.96583149405650592</v>
      </c>
    </row>
    <row r="5083" spans="1:5" x14ac:dyDescent="0.25">
      <c r="A5083" s="17">
        <v>345</v>
      </c>
      <c r="B5083" s="31">
        <v>52550</v>
      </c>
      <c r="C5083" s="32">
        <f>INDEX('Input Data'!$B:$B,A5083)/2+IF(A5083&lt;&gt;A5084,100,0)</f>
        <v>2.3125</v>
      </c>
      <c r="D5083" s="33">
        <f>INDEX('ZCB Curve - Payment Dates'!$D$2:$D$246,MATCH(B5083,'ZCB Curve - Payment Dates'!$A$2:$A$246,0))</f>
        <v>0.40495237741553414</v>
      </c>
      <c r="E5083" s="32">
        <f t="shared" si="79"/>
        <v>0.93645237277342264</v>
      </c>
    </row>
    <row r="5084" spans="1:5" x14ac:dyDescent="0.25">
      <c r="A5084" s="17">
        <v>345</v>
      </c>
      <c r="B5084" s="31">
        <v>52732</v>
      </c>
      <c r="C5084" s="32">
        <f>INDEX('Input Data'!$B:$B,A5084)/2+IF(A5084&lt;&gt;A5085,100,0)</f>
        <v>2.3125</v>
      </c>
      <c r="D5084" s="33">
        <f>INDEX('ZCB Curve - Payment Dates'!$D$2:$D$246,MATCH(B5084,'ZCB Curve - Payment Dates'!$A$2:$A$246,0))</f>
        <v>0.3927952920896523</v>
      </c>
      <c r="E5084" s="32">
        <f t="shared" si="79"/>
        <v>0.90833911295732095</v>
      </c>
    </row>
    <row r="5085" spans="1:5" x14ac:dyDescent="0.25">
      <c r="A5085" s="17">
        <v>345</v>
      </c>
      <c r="B5085" s="31">
        <v>52916</v>
      </c>
      <c r="C5085" s="32">
        <f>INDEX('Input Data'!$B:$B,A5085)/2+IF(A5085&lt;&gt;A5086,100,0)</f>
        <v>2.3125</v>
      </c>
      <c r="D5085" s="33">
        <f>INDEX('ZCB Curve - Payment Dates'!$D$2:$D$246,MATCH(B5085,'ZCB Curve - Payment Dates'!$A$2:$A$246,0))</f>
        <v>0.38091684361752687</v>
      </c>
      <c r="E5085" s="32">
        <f t="shared" si="79"/>
        <v>0.88087020086553092</v>
      </c>
    </row>
    <row r="5086" spans="1:5" x14ac:dyDescent="0.25">
      <c r="A5086" s="17">
        <v>345</v>
      </c>
      <c r="B5086" s="31">
        <v>53097</v>
      </c>
      <c r="C5086" s="32">
        <f>INDEX('Input Data'!$B:$B,A5086)/2+IF(A5086&lt;&gt;A5087,100,0)</f>
        <v>2.3125</v>
      </c>
      <c r="D5086" s="33">
        <f>INDEX('ZCB Curve - Payment Dates'!$D$2:$D$246,MATCH(B5086,'ZCB Curve - Payment Dates'!$A$2:$A$246,0))</f>
        <v>0.36964331092783359</v>
      </c>
      <c r="E5086" s="32">
        <f t="shared" si="79"/>
        <v>0.85480015652061514</v>
      </c>
    </row>
    <row r="5087" spans="1:5" x14ac:dyDescent="0.25">
      <c r="A5087" s="17">
        <v>345</v>
      </c>
      <c r="B5087" s="31">
        <v>53281</v>
      </c>
      <c r="C5087" s="32">
        <f>INDEX('Input Data'!$B:$B,A5087)/2+IF(A5087&lt;&gt;A5088,100,0)</f>
        <v>2.3125</v>
      </c>
      <c r="D5087" s="33">
        <f>INDEX('ZCB Curve - Payment Dates'!$D$2:$D$246,MATCH(B5087,'ZCB Curve - Payment Dates'!$A$2:$A$246,0))</f>
        <v>0.35859090372935404</v>
      </c>
      <c r="E5087" s="32">
        <f t="shared" si="79"/>
        <v>0.8292414648741312</v>
      </c>
    </row>
    <row r="5088" spans="1:5" x14ac:dyDescent="0.25">
      <c r="A5088" s="17">
        <v>345</v>
      </c>
      <c r="B5088" s="31">
        <v>53462</v>
      </c>
      <c r="C5088" s="32">
        <f>INDEX('Input Data'!$B:$B,A5088)/2+IF(A5088&lt;&gt;A5089,100,0)</f>
        <v>2.3125</v>
      </c>
      <c r="D5088" s="33">
        <f>INDEX('ZCB Curve - Payment Dates'!$D$2:$D$246,MATCH(B5088,'ZCB Curve - Payment Dates'!$A$2:$A$246,0))</f>
        <v>0.34812465854380154</v>
      </c>
      <c r="E5088" s="32">
        <f t="shared" si="79"/>
        <v>0.80503827288254104</v>
      </c>
    </row>
    <row r="5089" spans="1:5" x14ac:dyDescent="0.25">
      <c r="A5089" s="17">
        <v>345</v>
      </c>
      <c r="B5089" s="31">
        <v>53646</v>
      </c>
      <c r="C5089" s="32">
        <f>INDEX('Input Data'!$B:$B,A5089)/2+IF(A5089&lt;&gt;A5090,100,0)</f>
        <v>2.3125</v>
      </c>
      <c r="D5089" s="33">
        <f>INDEX('ZCB Curve - Payment Dates'!$D$2:$D$246,MATCH(B5089,'ZCB Curve - Payment Dates'!$A$2:$A$246,0))</f>
        <v>0.33788528510382887</v>
      </c>
      <c r="E5089" s="32">
        <f t="shared" si="79"/>
        <v>0.78135972180260427</v>
      </c>
    </row>
    <row r="5090" spans="1:5" x14ac:dyDescent="0.25">
      <c r="A5090" s="17">
        <v>345</v>
      </c>
      <c r="B5090" s="31">
        <v>53827</v>
      </c>
      <c r="C5090" s="32">
        <f>INDEX('Input Data'!$B:$B,A5090)/2+IF(A5090&lt;&gt;A5091,100,0)</f>
        <v>2.3125</v>
      </c>
      <c r="D5090" s="33">
        <f>INDEX('ZCB Curve - Payment Dates'!$D$2:$D$246,MATCH(B5090,'ZCB Curve - Payment Dates'!$A$2:$A$246,0))</f>
        <v>0.32820827061914198</v>
      </c>
      <c r="E5090" s="32">
        <f t="shared" si="79"/>
        <v>0.75898162580676587</v>
      </c>
    </row>
    <row r="5091" spans="1:5" x14ac:dyDescent="0.25">
      <c r="A5091" s="17">
        <v>345</v>
      </c>
      <c r="B5091" s="31">
        <v>54011</v>
      </c>
      <c r="C5091" s="32">
        <f>INDEX('Input Data'!$B:$B,A5091)/2+IF(A5091&lt;&gt;A5092,100,0)</f>
        <v>2.3125</v>
      </c>
      <c r="D5091" s="33">
        <f>INDEX('ZCB Curve - Payment Dates'!$D$2:$D$246,MATCH(B5091,'ZCB Curve - Payment Dates'!$A$2:$A$246,0))</f>
        <v>0.31875888330253388</v>
      </c>
      <c r="E5091" s="32">
        <f t="shared" si="79"/>
        <v>0.73712991763710956</v>
      </c>
    </row>
    <row r="5092" spans="1:5" x14ac:dyDescent="0.25">
      <c r="A5092" s="17">
        <v>345</v>
      </c>
      <c r="B5092" s="31">
        <v>54193</v>
      </c>
      <c r="C5092" s="32">
        <f>INDEX('Input Data'!$B:$B,A5092)/2+IF(A5092&lt;&gt;A5093,100,0)</f>
        <v>2.3125</v>
      </c>
      <c r="D5092" s="33">
        <f>INDEX('ZCB Curve - Payment Dates'!$D$2:$D$246,MATCH(B5092,'ZCB Curve - Payment Dates'!$A$2:$A$246,0))</f>
        <v>0.30979516521120642</v>
      </c>
      <c r="E5092" s="32">
        <f t="shared" si="79"/>
        <v>0.71640131955091491</v>
      </c>
    </row>
    <row r="5093" spans="1:5" x14ac:dyDescent="0.25">
      <c r="A5093" s="17">
        <v>345</v>
      </c>
      <c r="B5093" s="31">
        <v>54377</v>
      </c>
      <c r="C5093" s="32">
        <f>INDEX('Input Data'!$B:$B,A5093)/2+IF(A5093&lt;&gt;A5094,100,0)</f>
        <v>2.3125</v>
      </c>
      <c r="D5093" s="33">
        <f>INDEX('ZCB Curve - Payment Dates'!$D$2:$D$246,MATCH(B5093,'ZCB Curve - Payment Dates'!$A$2:$A$246,0))</f>
        <v>0.30110901062008694</v>
      </c>
      <c r="E5093" s="32">
        <f t="shared" si="79"/>
        <v>0.696314587058951</v>
      </c>
    </row>
    <row r="5094" spans="1:5" x14ac:dyDescent="0.25">
      <c r="A5094" s="17">
        <v>345</v>
      </c>
      <c r="B5094" s="31">
        <v>54558</v>
      </c>
      <c r="C5094" s="32">
        <f>INDEX('Input Data'!$B:$B,A5094)/2+IF(A5094&lt;&gt;A5095,100,0)</f>
        <v>2.3125</v>
      </c>
      <c r="D5094" s="33">
        <f>INDEX('ZCB Curve - Payment Dates'!$D$2:$D$246,MATCH(B5094,'ZCB Curve - Payment Dates'!$A$2:$A$246,0))</f>
        <v>0.29292467059800714</v>
      </c>
      <c r="E5094" s="32">
        <f t="shared" si="79"/>
        <v>0.67738830075789147</v>
      </c>
    </row>
    <row r="5095" spans="1:5" x14ac:dyDescent="0.25">
      <c r="A5095" s="17">
        <v>345</v>
      </c>
      <c r="B5095" s="31">
        <v>54742</v>
      </c>
      <c r="C5095" s="32">
        <f>INDEX('Input Data'!$B:$B,A5095)/2+IF(A5095&lt;&gt;A5096,100,0)</f>
        <v>2.3125</v>
      </c>
      <c r="D5095" s="33">
        <f>INDEX('ZCB Curve - Payment Dates'!$D$2:$D$246,MATCH(B5095,'ZCB Curve - Payment Dates'!$A$2:$A$246,0))</f>
        <v>0.28496204444064566</v>
      </c>
      <c r="E5095" s="32">
        <f t="shared" si="79"/>
        <v>0.65897472776899313</v>
      </c>
    </row>
    <row r="5096" spans="1:5" x14ac:dyDescent="0.25">
      <c r="A5096" s="17">
        <v>345</v>
      </c>
      <c r="B5096" s="31">
        <v>54923</v>
      </c>
      <c r="C5096" s="32">
        <f>INDEX('Input Data'!$B:$B,A5096)/2+IF(A5096&lt;&gt;A5097,100,0)</f>
        <v>2.3125</v>
      </c>
      <c r="D5096" s="33">
        <f>INDEX('ZCB Curve - Payment Dates'!$D$2:$D$246,MATCH(B5096,'ZCB Curve - Payment Dates'!$A$2:$A$246,0))</f>
        <v>0.27747061478742291</v>
      </c>
      <c r="E5096" s="32">
        <f t="shared" si="79"/>
        <v>0.64165079669591552</v>
      </c>
    </row>
    <row r="5097" spans="1:5" x14ac:dyDescent="0.25">
      <c r="A5097" s="17">
        <v>345</v>
      </c>
      <c r="B5097" s="31">
        <v>55107</v>
      </c>
      <c r="C5097" s="32">
        <f>INDEX('Input Data'!$B:$B,A5097)/2+IF(A5097&lt;&gt;A5098,100,0)</f>
        <v>2.3125</v>
      </c>
      <c r="D5097" s="33">
        <f>INDEX('ZCB Curve - Payment Dates'!$D$2:$D$246,MATCH(B5097,'ZCB Curve - Payment Dates'!$A$2:$A$246,0))</f>
        <v>0.2701926092917406</v>
      </c>
      <c r="E5097" s="32">
        <f t="shared" si="79"/>
        <v>0.62482040898715019</v>
      </c>
    </row>
    <row r="5098" spans="1:5" x14ac:dyDescent="0.25">
      <c r="A5098" s="17">
        <v>345</v>
      </c>
      <c r="B5098" s="31">
        <v>55288</v>
      </c>
      <c r="C5098" s="32">
        <f>INDEX('Input Data'!$B:$B,A5098)/2+IF(A5098&lt;&gt;A5099,100,0)</f>
        <v>2.3125</v>
      </c>
      <c r="D5098" s="33">
        <f>INDEX('ZCB Curve - Payment Dates'!$D$2:$D$246,MATCH(B5098,'ZCB Curve - Payment Dates'!$A$2:$A$246,0))</f>
        <v>0.26335484985695851</v>
      </c>
      <c r="E5098" s="32">
        <f t="shared" si="79"/>
        <v>0.60900809029421654</v>
      </c>
    </row>
    <row r="5099" spans="1:5" x14ac:dyDescent="0.25">
      <c r="A5099" s="17">
        <v>345</v>
      </c>
      <c r="B5099" s="31">
        <v>55472</v>
      </c>
      <c r="C5099" s="32">
        <f>INDEX('Input Data'!$B:$B,A5099)/2+IF(A5099&lt;&gt;A5100,100,0)</f>
        <v>2.3125</v>
      </c>
      <c r="D5099" s="33">
        <f>INDEX('ZCB Curve - Payment Dates'!$D$2:$D$246,MATCH(B5099,'ZCB Curve - Payment Dates'!$A$2:$A$246,0))</f>
        <v>0.25672095505458636</v>
      </c>
      <c r="E5099" s="32">
        <f t="shared" si="79"/>
        <v>0.59366720856373101</v>
      </c>
    </row>
    <row r="5100" spans="1:5" x14ac:dyDescent="0.25">
      <c r="A5100" s="17">
        <v>345</v>
      </c>
      <c r="B5100" s="31">
        <v>55654</v>
      </c>
      <c r="C5100" s="32">
        <f>INDEX('Input Data'!$B:$B,A5100)/2+IF(A5100&lt;&gt;A5101,100,0)</f>
        <v>2.3125</v>
      </c>
      <c r="D5100" s="33">
        <f>INDEX('ZCB Curve - Payment Dates'!$D$2:$D$246,MATCH(B5100,'ZCB Curve - Payment Dates'!$A$2:$A$246,0))</f>
        <v>0.25046362869454364</v>
      </c>
      <c r="E5100" s="32">
        <f t="shared" si="79"/>
        <v>0.57919714135613221</v>
      </c>
    </row>
    <row r="5101" spans="1:5" x14ac:dyDescent="0.25">
      <c r="A5101" s="17">
        <v>345</v>
      </c>
      <c r="B5101" s="31">
        <v>55838</v>
      </c>
      <c r="C5101" s="32">
        <f>INDEX('Input Data'!$B:$B,A5101)/2+IF(A5101&lt;&gt;A5102,100,0)</f>
        <v>2.3125</v>
      </c>
      <c r="D5101" s="33">
        <f>INDEX('ZCB Curve - Payment Dates'!$D$2:$D$246,MATCH(B5101,'ZCB Curve - Payment Dates'!$A$2:$A$246,0))</f>
        <v>0.24443458292740508</v>
      </c>
      <c r="E5101" s="32">
        <f t="shared" si="79"/>
        <v>0.56525497301962424</v>
      </c>
    </row>
    <row r="5102" spans="1:5" x14ac:dyDescent="0.25">
      <c r="A5102" s="17">
        <v>345</v>
      </c>
      <c r="B5102" s="31">
        <v>56019</v>
      </c>
      <c r="C5102" s="32">
        <f>INDEX('Input Data'!$B:$B,A5102)/2+IF(A5102&lt;&gt;A5103,100,0)</f>
        <v>2.3125</v>
      </c>
      <c r="D5102" s="33">
        <f>INDEX('ZCB Curve - Payment Dates'!$D$2:$D$246,MATCH(B5102,'ZCB Curve - Payment Dates'!$A$2:$A$246,0))</f>
        <v>0.23878540660340086</v>
      </c>
      <c r="E5102" s="32">
        <f t="shared" si="79"/>
        <v>0.55219125277036452</v>
      </c>
    </row>
    <row r="5103" spans="1:5" x14ac:dyDescent="0.25">
      <c r="A5103" s="17">
        <v>345</v>
      </c>
      <c r="B5103" s="31">
        <v>56203</v>
      </c>
      <c r="C5103" s="32">
        <f>INDEX('Input Data'!$B:$B,A5103)/2+IF(A5103&lt;&gt;A5104,100,0)</f>
        <v>2.3125</v>
      </c>
      <c r="D5103" s="33">
        <f>INDEX('ZCB Curve - Payment Dates'!$D$2:$D$246,MATCH(B5103,'ZCB Curve - Payment Dates'!$A$2:$A$246,0))</f>
        <v>0.23331934656757974</v>
      </c>
      <c r="E5103" s="32">
        <f t="shared" si="79"/>
        <v>0.53955098893752818</v>
      </c>
    </row>
    <row r="5104" spans="1:5" x14ac:dyDescent="0.25">
      <c r="A5104" s="17">
        <v>345</v>
      </c>
      <c r="B5104" s="31">
        <v>56384</v>
      </c>
      <c r="C5104" s="32">
        <f>INDEX('Input Data'!$B:$B,A5104)/2+IF(A5104&lt;&gt;A5105,100,0)</f>
        <v>102.3125</v>
      </c>
      <c r="D5104" s="33">
        <f>INDEX('ZCB Curve - Payment Dates'!$D$2:$D$246,MATCH(B5104,'ZCB Curve - Payment Dates'!$A$2:$A$246,0))</f>
        <v>0.22820470703897541</v>
      </c>
      <c r="E5104" s="32">
        <f t="shared" si="79"/>
        <v>23.348194088925172</v>
      </c>
    </row>
    <row r="5105" spans="1:5" x14ac:dyDescent="0.25">
      <c r="A5105" s="17">
        <v>346</v>
      </c>
      <c r="B5105" s="31">
        <v>46433</v>
      </c>
      <c r="C5105" s="32">
        <f>INDEX('Input Data'!$B:$B,A5105)/2+IF(A5105&lt;&gt;A5106,100,0)</f>
        <v>2.125</v>
      </c>
      <c r="D5105" s="33">
        <f>INDEX('ZCB Curve - Payment Dates'!$D$2:$D$246,MATCH(B5105,'ZCB Curve - Payment Dates'!$A$2:$A$246,0))</f>
        <v>0.98242671792446301</v>
      </c>
      <c r="E5105" s="32">
        <f t="shared" si="79"/>
        <v>2.0876567755894837</v>
      </c>
    </row>
    <row r="5106" spans="1:5" x14ac:dyDescent="0.25">
      <c r="A5106" s="17">
        <v>346</v>
      </c>
      <c r="B5106" s="31">
        <v>46614</v>
      </c>
      <c r="C5106" s="32">
        <f>INDEX('Input Data'!$B:$B,A5106)/2+IF(A5106&lt;&gt;A5107,100,0)</f>
        <v>2.125</v>
      </c>
      <c r="D5106" s="33">
        <f>INDEX('ZCB Curve - Payment Dates'!$D$2:$D$246,MATCH(B5106,'ZCB Curve - Payment Dates'!$A$2:$A$246,0))</f>
        <v>0.96187948164765535</v>
      </c>
      <c r="E5106" s="32">
        <f t="shared" si="79"/>
        <v>2.0439938985012676</v>
      </c>
    </row>
    <row r="5107" spans="1:5" x14ac:dyDescent="0.25">
      <c r="A5107" s="17">
        <v>346</v>
      </c>
      <c r="B5107" s="31">
        <v>46798</v>
      </c>
      <c r="C5107" s="32">
        <f>INDEX('Input Data'!$B:$B,A5107)/2+IF(A5107&lt;&gt;A5108,100,0)</f>
        <v>2.125</v>
      </c>
      <c r="D5107" s="33">
        <f>INDEX('ZCB Curve - Payment Dates'!$D$2:$D$246,MATCH(B5107,'ZCB Curve - Payment Dates'!$A$2:$A$246,0))</f>
        <v>0.94049096132648802</v>
      </c>
      <c r="E5107" s="32">
        <f t="shared" si="79"/>
        <v>1.998543292818787</v>
      </c>
    </row>
    <row r="5108" spans="1:5" x14ac:dyDescent="0.25">
      <c r="A5108" s="17">
        <v>346</v>
      </c>
      <c r="B5108" s="31">
        <v>46980</v>
      </c>
      <c r="C5108" s="32">
        <f>INDEX('Input Data'!$B:$B,A5108)/2+IF(A5108&lt;&gt;A5109,100,0)</f>
        <v>2.125</v>
      </c>
      <c r="D5108" s="33">
        <f>INDEX('ZCB Curve - Payment Dates'!$D$2:$D$246,MATCH(B5108,'ZCB Curve - Payment Dates'!$A$2:$A$246,0))</f>
        <v>0.91931844130238327</v>
      </c>
      <c r="E5108" s="32">
        <f t="shared" si="79"/>
        <v>1.9535516877675645</v>
      </c>
    </row>
    <row r="5109" spans="1:5" x14ac:dyDescent="0.25">
      <c r="A5109" s="17">
        <v>346</v>
      </c>
      <c r="B5109" s="31">
        <v>47164</v>
      </c>
      <c r="C5109" s="32">
        <f>INDEX('Input Data'!$B:$B,A5109)/2+IF(A5109&lt;&gt;A5110,100,0)</f>
        <v>2.125</v>
      </c>
      <c r="D5109" s="33">
        <f>INDEX('ZCB Curve - Payment Dates'!$D$2:$D$246,MATCH(B5109,'ZCB Curve - Payment Dates'!$A$2:$A$246,0))</f>
        <v>0.89817430058086534</v>
      </c>
      <c r="E5109" s="32">
        <f t="shared" si="79"/>
        <v>1.9086203887343389</v>
      </c>
    </row>
    <row r="5110" spans="1:5" x14ac:dyDescent="0.25">
      <c r="A5110" s="17">
        <v>346</v>
      </c>
      <c r="B5110" s="31">
        <v>47345</v>
      </c>
      <c r="C5110" s="32">
        <f>INDEX('Input Data'!$B:$B,A5110)/2+IF(A5110&lt;&gt;A5111,100,0)</f>
        <v>2.125</v>
      </c>
      <c r="D5110" s="33">
        <f>INDEX('ZCB Curve - Payment Dates'!$D$2:$D$246,MATCH(B5110,'ZCB Curve - Payment Dates'!$A$2:$A$246,0))</f>
        <v>0.87778421628860481</v>
      </c>
      <c r="E5110" s="32">
        <f t="shared" si="79"/>
        <v>1.8652914596132852</v>
      </c>
    </row>
    <row r="5111" spans="1:5" x14ac:dyDescent="0.25">
      <c r="A5111" s="17">
        <v>346</v>
      </c>
      <c r="B5111" s="31">
        <v>47529</v>
      </c>
      <c r="C5111" s="32">
        <f>INDEX('Input Data'!$B:$B,A5111)/2+IF(A5111&lt;&gt;A5112,100,0)</f>
        <v>2.125</v>
      </c>
      <c r="D5111" s="33">
        <f>INDEX('ZCB Curve - Payment Dates'!$D$2:$D$246,MATCH(B5111,'ZCB Curve - Payment Dates'!$A$2:$A$246,0))</f>
        <v>0.85751015570959666</v>
      </c>
      <c r="E5111" s="32">
        <f t="shared" si="79"/>
        <v>1.8222090808828928</v>
      </c>
    </row>
    <row r="5112" spans="1:5" x14ac:dyDescent="0.25">
      <c r="A5112" s="17">
        <v>346</v>
      </c>
      <c r="B5112" s="31">
        <v>47710</v>
      </c>
      <c r="C5112" s="32">
        <f>INDEX('Input Data'!$B:$B,A5112)/2+IF(A5112&lt;&gt;A5113,100,0)</f>
        <v>2.125</v>
      </c>
      <c r="D5112" s="33">
        <f>INDEX('ZCB Curve - Payment Dates'!$D$2:$D$246,MATCH(B5112,'ZCB Curve - Payment Dates'!$A$2:$A$246,0))</f>
        <v>0.83802423748211174</v>
      </c>
      <c r="E5112" s="32">
        <f t="shared" si="79"/>
        <v>1.7808015046494874</v>
      </c>
    </row>
    <row r="5113" spans="1:5" x14ac:dyDescent="0.25">
      <c r="A5113" s="17">
        <v>346</v>
      </c>
      <c r="B5113" s="31">
        <v>47894</v>
      </c>
      <c r="C5113" s="32">
        <f>INDEX('Input Data'!$B:$B,A5113)/2+IF(A5113&lt;&gt;A5114,100,0)</f>
        <v>2.125</v>
      </c>
      <c r="D5113" s="33">
        <f>INDEX('ZCB Curve - Payment Dates'!$D$2:$D$246,MATCH(B5113,'ZCB Curve - Payment Dates'!$A$2:$A$246,0))</f>
        <v>0.8186305474741673</v>
      </c>
      <c r="E5113" s="32">
        <f t="shared" si="79"/>
        <v>1.7395899133826056</v>
      </c>
    </row>
    <row r="5114" spans="1:5" x14ac:dyDescent="0.25">
      <c r="A5114" s="17">
        <v>346</v>
      </c>
      <c r="B5114" s="31">
        <v>48075</v>
      </c>
      <c r="C5114" s="32">
        <f>INDEX('Input Data'!$B:$B,A5114)/2+IF(A5114&lt;&gt;A5115,100,0)</f>
        <v>2.125</v>
      </c>
      <c r="D5114" s="33">
        <f>INDEX('ZCB Curve - Payment Dates'!$D$2:$D$246,MATCH(B5114,'ZCB Curve - Payment Dates'!$A$2:$A$246,0))</f>
        <v>0.7999252334775927</v>
      </c>
      <c r="E5114" s="32">
        <f t="shared" si="79"/>
        <v>1.6998411211398845</v>
      </c>
    </row>
    <row r="5115" spans="1:5" x14ac:dyDescent="0.25">
      <c r="A5115" s="17">
        <v>346</v>
      </c>
      <c r="B5115" s="31">
        <v>48259</v>
      </c>
      <c r="C5115" s="32">
        <f>INDEX('Input Data'!$B:$B,A5115)/2+IF(A5115&lt;&gt;A5116,100,0)</f>
        <v>2.125</v>
      </c>
      <c r="D5115" s="33">
        <f>INDEX('ZCB Curve - Payment Dates'!$D$2:$D$246,MATCH(B5115,'ZCB Curve - Payment Dates'!$A$2:$A$246,0))</f>
        <v>0.78121887027612602</v>
      </c>
      <c r="E5115" s="32">
        <f t="shared" si="79"/>
        <v>1.6600900993367678</v>
      </c>
    </row>
    <row r="5116" spans="1:5" x14ac:dyDescent="0.25">
      <c r="A5116" s="17">
        <v>346</v>
      </c>
      <c r="B5116" s="31">
        <v>48441</v>
      </c>
      <c r="C5116" s="32">
        <f>INDEX('Input Data'!$B:$B,A5116)/2+IF(A5116&lt;&gt;A5117,100,0)</f>
        <v>2.125</v>
      </c>
      <c r="D5116" s="33">
        <f>INDEX('ZCB Curve - Payment Dates'!$D$2:$D$246,MATCH(B5116,'ZCB Curve - Payment Dates'!$A$2:$A$246,0))</f>
        <v>0.76298123459017864</v>
      </c>
      <c r="E5116" s="32">
        <f t="shared" si="79"/>
        <v>1.6213351235041296</v>
      </c>
    </row>
    <row r="5117" spans="1:5" x14ac:dyDescent="0.25">
      <c r="A5117" s="17">
        <v>346</v>
      </c>
      <c r="B5117" s="31">
        <v>48625</v>
      </c>
      <c r="C5117" s="32">
        <f>INDEX('Input Data'!$B:$B,A5117)/2+IF(A5117&lt;&gt;A5118,100,0)</f>
        <v>2.125</v>
      </c>
      <c r="D5117" s="33">
        <f>INDEX('ZCB Curve - Payment Dates'!$D$2:$D$246,MATCH(B5117,'ZCB Curve - Payment Dates'!$A$2:$A$246,0))</f>
        <v>0.74476011611938586</v>
      </c>
      <c r="E5117" s="32">
        <f t="shared" si="79"/>
        <v>1.5826152467536949</v>
      </c>
    </row>
    <row r="5118" spans="1:5" x14ac:dyDescent="0.25">
      <c r="A5118" s="17">
        <v>346</v>
      </c>
      <c r="B5118" s="31">
        <v>48806</v>
      </c>
      <c r="C5118" s="32">
        <f>INDEX('Input Data'!$B:$B,A5118)/2+IF(A5118&lt;&gt;A5119,100,0)</f>
        <v>2.125</v>
      </c>
      <c r="D5118" s="33">
        <f>INDEX('ZCB Curve - Payment Dates'!$D$2:$D$246,MATCH(B5118,'ZCB Curve - Payment Dates'!$A$2:$A$246,0))</f>
        <v>0.72701302496114584</v>
      </c>
      <c r="E5118" s="32">
        <f t="shared" si="79"/>
        <v>1.5449026780424349</v>
      </c>
    </row>
    <row r="5119" spans="1:5" x14ac:dyDescent="0.25">
      <c r="A5119" s="17">
        <v>346</v>
      </c>
      <c r="B5119" s="31">
        <v>48990</v>
      </c>
      <c r="C5119" s="32">
        <f>INDEX('Input Data'!$B:$B,A5119)/2+IF(A5119&lt;&gt;A5120,100,0)</f>
        <v>2.125</v>
      </c>
      <c r="D5119" s="33">
        <f>INDEX('ZCB Curve - Payment Dates'!$D$2:$D$246,MATCH(B5119,'ZCB Curve - Payment Dates'!$A$2:$A$246,0))</f>
        <v>0.70912647031380449</v>
      </c>
      <c r="E5119" s="32">
        <f t="shared" si="79"/>
        <v>1.5068937494168346</v>
      </c>
    </row>
    <row r="5120" spans="1:5" x14ac:dyDescent="0.25">
      <c r="A5120" s="17">
        <v>346</v>
      </c>
      <c r="B5120" s="31">
        <v>49171</v>
      </c>
      <c r="C5120" s="32">
        <f>INDEX('Input Data'!$B:$B,A5120)/2+IF(A5120&lt;&gt;A5121,100,0)</f>
        <v>2.125</v>
      </c>
      <c r="D5120" s="33">
        <f>INDEX('ZCB Curve - Payment Dates'!$D$2:$D$246,MATCH(B5120,'ZCB Curve - Payment Dates'!$A$2:$A$246,0))</f>
        <v>0.6916661505723215</v>
      </c>
      <c r="E5120" s="32">
        <f t="shared" si="79"/>
        <v>1.4697905699661833</v>
      </c>
    </row>
    <row r="5121" spans="1:5" x14ac:dyDescent="0.25">
      <c r="A5121" s="17">
        <v>346</v>
      </c>
      <c r="B5121" s="31">
        <v>49355</v>
      </c>
      <c r="C5121" s="32">
        <f>INDEX('Input Data'!$B:$B,A5121)/2+IF(A5121&lt;&gt;A5122,100,0)</f>
        <v>2.125</v>
      </c>
      <c r="D5121" s="33">
        <f>INDEX('ZCB Curve - Payment Dates'!$D$2:$D$246,MATCH(B5121,'ZCB Curve - Payment Dates'!$A$2:$A$246,0))</f>
        <v>0.674047377898778</v>
      </c>
      <c r="E5121" s="32">
        <f t="shared" si="79"/>
        <v>1.4323506780349033</v>
      </c>
    </row>
    <row r="5122" spans="1:5" x14ac:dyDescent="0.25">
      <c r="A5122" s="17">
        <v>346</v>
      </c>
      <c r="B5122" s="31">
        <v>49536</v>
      </c>
      <c r="C5122" s="32">
        <f>INDEX('Input Data'!$B:$B,A5122)/2+IF(A5122&lt;&gt;A5123,100,0)</f>
        <v>2.125</v>
      </c>
      <c r="D5122" s="33">
        <f>INDEX('ZCB Curve - Payment Dates'!$D$2:$D$246,MATCH(B5122,'ZCB Curve - Payment Dates'!$A$2:$A$246,0))</f>
        <v>0.65684432300638129</v>
      </c>
      <c r="E5122" s="32">
        <f t="shared" ref="E5122:E5185" si="80">C5122*D5122</f>
        <v>1.3957941863885603</v>
      </c>
    </row>
    <row r="5123" spans="1:5" x14ac:dyDescent="0.25">
      <c r="A5123" s="17">
        <v>346</v>
      </c>
      <c r="B5123" s="31">
        <v>49720</v>
      </c>
      <c r="C5123" s="32">
        <f>INDEX('Input Data'!$B:$B,A5123)/2+IF(A5123&lt;&gt;A5124,100,0)</f>
        <v>2.125</v>
      </c>
      <c r="D5123" s="33">
        <f>INDEX('ZCB Curve - Payment Dates'!$D$2:$D$246,MATCH(B5123,'ZCB Curve - Payment Dates'!$A$2:$A$246,0))</f>
        <v>0.63949604524993764</v>
      </c>
      <c r="E5123" s="32">
        <f t="shared" si="80"/>
        <v>1.3589290961561176</v>
      </c>
    </row>
    <row r="5124" spans="1:5" x14ac:dyDescent="0.25">
      <c r="A5124" s="17">
        <v>346</v>
      </c>
      <c r="B5124" s="31">
        <v>49902</v>
      </c>
      <c r="C5124" s="32">
        <f>INDEX('Input Data'!$B:$B,A5124)/2+IF(A5124&lt;&gt;A5125,100,0)</f>
        <v>2.125</v>
      </c>
      <c r="D5124" s="33">
        <f>INDEX('ZCB Curve - Payment Dates'!$D$2:$D$246,MATCH(B5124,'ZCB Curve - Payment Dates'!$A$2:$A$246,0))</f>
        <v>0.62248862376822711</v>
      </c>
      <c r="E5124" s="32">
        <f t="shared" si="80"/>
        <v>1.3227883255074826</v>
      </c>
    </row>
    <row r="5125" spans="1:5" x14ac:dyDescent="0.25">
      <c r="A5125" s="17">
        <v>346</v>
      </c>
      <c r="B5125" s="31">
        <v>50086</v>
      </c>
      <c r="C5125" s="32">
        <f>INDEX('Input Data'!$B:$B,A5125)/2+IF(A5125&lt;&gt;A5126,100,0)</f>
        <v>2.125</v>
      </c>
      <c r="D5125" s="33">
        <f>INDEX('ZCB Curve - Payment Dates'!$D$2:$D$246,MATCH(B5125,'ZCB Curve - Payment Dates'!$A$2:$A$246,0))</f>
        <v>0.60546490876014969</v>
      </c>
      <c r="E5125" s="32">
        <f t="shared" si="80"/>
        <v>1.286612931115318</v>
      </c>
    </row>
    <row r="5126" spans="1:5" x14ac:dyDescent="0.25">
      <c r="A5126" s="17">
        <v>346</v>
      </c>
      <c r="B5126" s="31">
        <v>50267</v>
      </c>
      <c r="C5126" s="32">
        <f>INDEX('Input Data'!$B:$B,A5126)/2+IF(A5126&lt;&gt;A5127,100,0)</f>
        <v>2.125</v>
      </c>
      <c r="D5126" s="33">
        <f>INDEX('ZCB Curve - Payment Dates'!$D$2:$D$246,MATCH(B5126,'ZCB Curve - Payment Dates'!$A$2:$A$246,0))</f>
        <v>0.58890683803346977</v>
      </c>
      <c r="E5126" s="32">
        <f t="shared" si="80"/>
        <v>1.2514270308211233</v>
      </c>
    </row>
    <row r="5127" spans="1:5" x14ac:dyDescent="0.25">
      <c r="A5127" s="17">
        <v>346</v>
      </c>
      <c r="B5127" s="31">
        <v>50451</v>
      </c>
      <c r="C5127" s="32">
        <f>INDEX('Input Data'!$B:$B,A5127)/2+IF(A5127&lt;&gt;A5128,100,0)</f>
        <v>2.125</v>
      </c>
      <c r="D5127" s="33">
        <f>INDEX('ZCB Curve - Payment Dates'!$D$2:$D$246,MATCH(B5127,'ZCB Curve - Payment Dates'!$A$2:$A$246,0))</f>
        <v>0.57228983695479263</v>
      </c>
      <c r="E5127" s="32">
        <f t="shared" si="80"/>
        <v>1.2161159035289344</v>
      </c>
    </row>
    <row r="5128" spans="1:5" x14ac:dyDescent="0.25">
      <c r="A5128" s="17">
        <v>346</v>
      </c>
      <c r="B5128" s="31">
        <v>50632</v>
      </c>
      <c r="C5128" s="32">
        <f>INDEX('Input Data'!$B:$B,A5128)/2+IF(A5128&lt;&gt;A5129,100,0)</f>
        <v>2.125</v>
      </c>
      <c r="D5128" s="33">
        <f>INDEX('ZCB Curve - Payment Dates'!$D$2:$D$246,MATCH(B5128,'ZCB Curve - Payment Dates'!$A$2:$A$246,0))</f>
        <v>0.55617795699202288</v>
      </c>
      <c r="E5128" s="32">
        <f t="shared" si="80"/>
        <v>1.1818781586080487</v>
      </c>
    </row>
    <row r="5129" spans="1:5" x14ac:dyDescent="0.25">
      <c r="A5129" s="17">
        <v>346</v>
      </c>
      <c r="B5129" s="31">
        <v>50816</v>
      </c>
      <c r="C5129" s="32">
        <f>INDEX('Input Data'!$B:$B,A5129)/2+IF(A5129&lt;&gt;A5130,100,0)</f>
        <v>2.125</v>
      </c>
      <c r="D5129" s="33">
        <f>INDEX('ZCB Curve - Payment Dates'!$D$2:$D$246,MATCH(B5129,'ZCB Curve - Payment Dates'!$A$2:$A$246,0))</f>
        <v>0.54006240951211237</v>
      </c>
      <c r="E5129" s="32">
        <f t="shared" si="80"/>
        <v>1.1476326202132388</v>
      </c>
    </row>
    <row r="5130" spans="1:5" x14ac:dyDescent="0.25">
      <c r="A5130" s="17">
        <v>346</v>
      </c>
      <c r="B5130" s="31">
        <v>50997</v>
      </c>
      <c r="C5130" s="32">
        <f>INDEX('Input Data'!$B:$B,A5130)/2+IF(A5130&lt;&gt;A5131,100,0)</f>
        <v>2.125</v>
      </c>
      <c r="D5130" s="33">
        <f>INDEX('ZCB Curve - Payment Dates'!$D$2:$D$246,MATCH(B5130,'ZCB Curve - Payment Dates'!$A$2:$A$246,0))</f>
        <v>0.52449040173194583</v>
      </c>
      <c r="E5130" s="32">
        <f t="shared" si="80"/>
        <v>1.1145421036803849</v>
      </c>
    </row>
    <row r="5131" spans="1:5" x14ac:dyDescent="0.25">
      <c r="A5131" s="17">
        <v>346</v>
      </c>
      <c r="B5131" s="31">
        <v>51181</v>
      </c>
      <c r="C5131" s="32">
        <f>INDEX('Input Data'!$B:$B,A5131)/2+IF(A5131&lt;&gt;A5132,100,0)</f>
        <v>2.125</v>
      </c>
      <c r="D5131" s="33">
        <f>INDEX('ZCB Curve - Payment Dates'!$D$2:$D$246,MATCH(B5131,'ZCB Curve - Payment Dates'!$A$2:$A$246,0))</f>
        <v>0.5089691698468306</v>
      </c>
      <c r="E5131" s="32">
        <f t="shared" si="80"/>
        <v>1.081559485924515</v>
      </c>
    </row>
    <row r="5132" spans="1:5" x14ac:dyDescent="0.25">
      <c r="A5132" s="17">
        <v>346</v>
      </c>
      <c r="B5132" s="31">
        <v>51363</v>
      </c>
      <c r="C5132" s="32">
        <f>INDEX('Input Data'!$B:$B,A5132)/2+IF(A5132&lt;&gt;A5133,100,0)</f>
        <v>2.125</v>
      </c>
      <c r="D5132" s="33">
        <f>INDEX('ZCB Curve - Payment Dates'!$D$2:$D$246,MATCH(B5132,'ZCB Curve - Payment Dates'!$A$2:$A$246,0))</f>
        <v>0.49394036022330806</v>
      </c>
      <c r="E5132" s="32">
        <f t="shared" si="80"/>
        <v>1.0496232654745297</v>
      </c>
    </row>
    <row r="5133" spans="1:5" x14ac:dyDescent="0.25">
      <c r="A5133" s="17">
        <v>346</v>
      </c>
      <c r="B5133" s="31">
        <v>51547</v>
      </c>
      <c r="C5133" s="32">
        <f>INDEX('Input Data'!$B:$B,A5133)/2+IF(A5133&lt;&gt;A5134,100,0)</f>
        <v>2.125</v>
      </c>
      <c r="D5133" s="33">
        <f>INDEX('ZCB Curve - Payment Dates'!$D$2:$D$246,MATCH(B5133,'ZCB Curve - Payment Dates'!$A$2:$A$246,0))</f>
        <v>0.47909718957588998</v>
      </c>
      <c r="E5133" s="32">
        <f t="shared" si="80"/>
        <v>1.0180815278487663</v>
      </c>
    </row>
    <row r="5134" spans="1:5" x14ac:dyDescent="0.25">
      <c r="A5134" s="17">
        <v>346</v>
      </c>
      <c r="B5134" s="31">
        <v>51728</v>
      </c>
      <c r="C5134" s="32">
        <f>INDEX('Input Data'!$B:$B,A5134)/2+IF(A5134&lt;&gt;A5135,100,0)</f>
        <v>2.125</v>
      </c>
      <c r="D5134" s="33">
        <f>INDEX('ZCB Curve - Payment Dates'!$D$2:$D$246,MATCH(B5134,'ZCB Curve - Payment Dates'!$A$2:$A$246,0))</f>
        <v>0.46485329459616059</v>
      </c>
      <c r="E5134" s="32">
        <f t="shared" si="80"/>
        <v>0.98781325101684125</v>
      </c>
    </row>
    <row r="5135" spans="1:5" x14ac:dyDescent="0.25">
      <c r="A5135" s="17">
        <v>346</v>
      </c>
      <c r="B5135" s="31">
        <v>51912</v>
      </c>
      <c r="C5135" s="32">
        <f>INDEX('Input Data'!$B:$B,A5135)/2+IF(A5135&lt;&gt;A5136,100,0)</f>
        <v>2.125</v>
      </c>
      <c r="D5135" s="33">
        <f>INDEX('ZCB Curve - Payment Dates'!$D$2:$D$246,MATCH(B5135,'ZCB Curve - Payment Dates'!$A$2:$A$246,0))</f>
        <v>0.45075168915212815</v>
      </c>
      <c r="E5135" s="32">
        <f t="shared" si="80"/>
        <v>0.95784733944827227</v>
      </c>
    </row>
    <row r="5136" spans="1:5" x14ac:dyDescent="0.25">
      <c r="A5136" s="17">
        <v>346</v>
      </c>
      <c r="B5136" s="31">
        <v>52093</v>
      </c>
      <c r="C5136" s="32">
        <f>INDEX('Input Data'!$B:$B,A5136)/2+IF(A5136&lt;&gt;A5137,100,0)</f>
        <v>2.125</v>
      </c>
      <c r="D5136" s="33">
        <f>INDEX('ZCB Curve - Payment Dates'!$D$2:$D$246,MATCH(B5136,'ZCB Curve - Payment Dates'!$A$2:$A$246,0))</f>
        <v>0.43726259018094221</v>
      </c>
      <c r="E5136" s="32">
        <f t="shared" si="80"/>
        <v>0.92918300413450217</v>
      </c>
    </row>
    <row r="5137" spans="1:5" x14ac:dyDescent="0.25">
      <c r="A5137" s="17">
        <v>346</v>
      </c>
      <c r="B5137" s="31">
        <v>52277</v>
      </c>
      <c r="C5137" s="32">
        <f>INDEX('Input Data'!$B:$B,A5137)/2+IF(A5137&lt;&gt;A5138,100,0)</f>
        <v>2.125</v>
      </c>
      <c r="D5137" s="33">
        <f>INDEX('ZCB Curve - Payment Dates'!$D$2:$D$246,MATCH(B5137,'ZCB Curve - Payment Dates'!$A$2:$A$246,0))</f>
        <v>0.4239492285351204</v>
      </c>
      <c r="E5137" s="32">
        <f t="shared" si="80"/>
        <v>0.90089211063713082</v>
      </c>
    </row>
    <row r="5138" spans="1:5" x14ac:dyDescent="0.25">
      <c r="A5138" s="17">
        <v>346</v>
      </c>
      <c r="B5138" s="31">
        <v>52458</v>
      </c>
      <c r="C5138" s="32">
        <f>INDEX('Input Data'!$B:$B,A5138)/2+IF(A5138&lt;&gt;A5139,100,0)</f>
        <v>2.125</v>
      </c>
      <c r="D5138" s="33">
        <f>INDEX('ZCB Curve - Payment Dates'!$D$2:$D$246,MATCH(B5138,'ZCB Curve - Payment Dates'!$A$2:$A$246,0))</f>
        <v>0.4112516019468152</v>
      </c>
      <c r="E5138" s="32">
        <f t="shared" si="80"/>
        <v>0.87390965413698229</v>
      </c>
    </row>
    <row r="5139" spans="1:5" x14ac:dyDescent="0.25">
      <c r="A5139" s="17">
        <v>346</v>
      </c>
      <c r="B5139" s="31">
        <v>52642</v>
      </c>
      <c r="C5139" s="32">
        <f>INDEX('Input Data'!$B:$B,A5139)/2+IF(A5139&lt;&gt;A5140,100,0)</f>
        <v>2.125</v>
      </c>
      <c r="D5139" s="33">
        <f>INDEX('ZCB Curve - Payment Dates'!$D$2:$D$246,MATCH(B5139,'ZCB Curve - Payment Dates'!$A$2:$A$246,0))</f>
        <v>0.39875459879352759</v>
      </c>
      <c r="E5139" s="32">
        <f t="shared" si="80"/>
        <v>0.84735352243624618</v>
      </c>
    </row>
    <row r="5140" spans="1:5" x14ac:dyDescent="0.25">
      <c r="A5140" s="17">
        <v>346</v>
      </c>
      <c r="B5140" s="31">
        <v>52824</v>
      </c>
      <c r="C5140" s="32">
        <f>INDEX('Input Data'!$B:$B,A5140)/2+IF(A5140&lt;&gt;A5141,100,0)</f>
        <v>2.125</v>
      </c>
      <c r="D5140" s="33">
        <f>INDEX('ZCB Curve - Payment Dates'!$D$2:$D$246,MATCH(B5140,'ZCB Curve - Payment Dates'!$A$2:$A$246,0))</f>
        <v>0.38680384560622083</v>
      </c>
      <c r="E5140" s="32">
        <f t="shared" si="80"/>
        <v>0.82195817191321929</v>
      </c>
    </row>
    <row r="5141" spans="1:5" x14ac:dyDescent="0.25">
      <c r="A5141" s="17">
        <v>346</v>
      </c>
      <c r="B5141" s="31">
        <v>53008</v>
      </c>
      <c r="C5141" s="32">
        <f>INDEX('Input Data'!$B:$B,A5141)/2+IF(A5141&lt;&gt;A5142,100,0)</f>
        <v>2.125</v>
      </c>
      <c r="D5141" s="33">
        <f>INDEX('ZCB Curve - Payment Dates'!$D$2:$D$246,MATCH(B5141,'ZCB Curve - Payment Dates'!$A$2:$A$246,0))</f>
        <v>0.37513648791915083</v>
      </c>
      <c r="E5141" s="32">
        <f t="shared" si="80"/>
        <v>0.79716503682819551</v>
      </c>
    </row>
    <row r="5142" spans="1:5" x14ac:dyDescent="0.25">
      <c r="A5142" s="17">
        <v>346</v>
      </c>
      <c r="B5142" s="31">
        <v>53189</v>
      </c>
      <c r="C5142" s="32">
        <f>INDEX('Input Data'!$B:$B,A5142)/2+IF(A5142&lt;&gt;A5143,100,0)</f>
        <v>2.125</v>
      </c>
      <c r="D5142" s="33">
        <f>INDEX('ZCB Curve - Payment Dates'!$D$2:$D$246,MATCH(B5142,'ZCB Curve - Payment Dates'!$A$2:$A$246,0))</f>
        <v>0.36406533257851953</v>
      </c>
      <c r="E5142" s="32">
        <f t="shared" si="80"/>
        <v>0.77363883172935399</v>
      </c>
    </row>
    <row r="5143" spans="1:5" x14ac:dyDescent="0.25">
      <c r="A5143" s="17">
        <v>346</v>
      </c>
      <c r="B5143" s="31">
        <v>53373</v>
      </c>
      <c r="C5143" s="32">
        <f>INDEX('Input Data'!$B:$B,A5143)/2+IF(A5143&lt;&gt;A5144,100,0)</f>
        <v>2.125</v>
      </c>
      <c r="D5143" s="33">
        <f>INDEX('ZCB Curve - Payment Dates'!$D$2:$D$246,MATCH(B5143,'ZCB Curve - Payment Dates'!$A$2:$A$246,0))</f>
        <v>0.35322166892031259</v>
      </c>
      <c r="E5143" s="32">
        <f t="shared" si="80"/>
        <v>0.75059604645566425</v>
      </c>
    </row>
    <row r="5144" spans="1:5" x14ac:dyDescent="0.25">
      <c r="A5144" s="17">
        <v>346</v>
      </c>
      <c r="B5144" s="31">
        <v>53554</v>
      </c>
      <c r="C5144" s="32">
        <f>INDEX('Input Data'!$B:$B,A5144)/2+IF(A5144&lt;&gt;A5145,100,0)</f>
        <v>2.125</v>
      </c>
      <c r="D5144" s="33">
        <f>INDEX('ZCB Curve - Payment Dates'!$D$2:$D$246,MATCH(B5144,'ZCB Curve - Payment Dates'!$A$2:$A$246,0))</f>
        <v>0.34295436226619208</v>
      </c>
      <c r="E5144" s="32">
        <f t="shared" si="80"/>
        <v>0.72877801981565815</v>
      </c>
    </row>
    <row r="5145" spans="1:5" x14ac:dyDescent="0.25">
      <c r="A5145" s="17">
        <v>346</v>
      </c>
      <c r="B5145" s="31">
        <v>53738</v>
      </c>
      <c r="C5145" s="32">
        <f>INDEX('Input Data'!$B:$B,A5145)/2+IF(A5145&lt;&gt;A5146,100,0)</f>
        <v>2.125</v>
      </c>
      <c r="D5145" s="33">
        <f>INDEX('ZCB Curve - Payment Dates'!$D$2:$D$246,MATCH(B5145,'ZCB Curve - Payment Dates'!$A$2:$A$246,0))</f>
        <v>0.33291860450360972</v>
      </c>
      <c r="E5145" s="32">
        <f t="shared" si="80"/>
        <v>0.7074520345701707</v>
      </c>
    </row>
    <row r="5146" spans="1:5" x14ac:dyDescent="0.25">
      <c r="A5146" s="17">
        <v>346</v>
      </c>
      <c r="B5146" s="31">
        <v>53919</v>
      </c>
      <c r="C5146" s="32">
        <f>INDEX('Input Data'!$B:$B,A5146)/2+IF(A5146&lt;&gt;A5147,100,0)</f>
        <v>2.125</v>
      </c>
      <c r="D5146" s="33">
        <f>INDEX('ZCB Curve - Payment Dates'!$D$2:$D$246,MATCH(B5146,'ZCB Curve - Payment Dates'!$A$2:$A$246,0))</f>
        <v>0.32343468195091313</v>
      </c>
      <c r="E5146" s="32">
        <f t="shared" si="80"/>
        <v>0.68729869914569042</v>
      </c>
    </row>
    <row r="5147" spans="1:5" x14ac:dyDescent="0.25">
      <c r="A5147" s="17">
        <v>346</v>
      </c>
      <c r="B5147" s="31">
        <v>54103</v>
      </c>
      <c r="C5147" s="32">
        <f>INDEX('Input Data'!$B:$B,A5147)/2+IF(A5147&lt;&gt;A5148,100,0)</f>
        <v>2.125</v>
      </c>
      <c r="D5147" s="33">
        <f>INDEX('ZCB Curve - Payment Dates'!$D$2:$D$246,MATCH(B5147,'ZCB Curve - Payment Dates'!$A$2:$A$246,0))</f>
        <v>0.31418167147949361</v>
      </c>
      <c r="E5147" s="32">
        <f t="shared" si="80"/>
        <v>0.66763605189392394</v>
      </c>
    </row>
    <row r="5148" spans="1:5" x14ac:dyDescent="0.25">
      <c r="A5148" s="17">
        <v>346</v>
      </c>
      <c r="B5148" s="31">
        <v>54285</v>
      </c>
      <c r="C5148" s="32">
        <f>INDEX('Input Data'!$B:$B,A5148)/2+IF(A5148&lt;&gt;A5149,100,0)</f>
        <v>2.125</v>
      </c>
      <c r="D5148" s="33">
        <f>INDEX('ZCB Curve - Payment Dates'!$D$2:$D$246,MATCH(B5148,'ZCB Curve - Payment Dates'!$A$2:$A$246,0))</f>
        <v>0.30540618878290843</v>
      </c>
      <c r="E5148" s="32">
        <f t="shared" si="80"/>
        <v>0.64898815116368036</v>
      </c>
    </row>
    <row r="5149" spans="1:5" x14ac:dyDescent="0.25">
      <c r="A5149" s="17">
        <v>346</v>
      </c>
      <c r="B5149" s="31">
        <v>54469</v>
      </c>
      <c r="C5149" s="32">
        <f>INDEX('Input Data'!$B:$B,A5149)/2+IF(A5149&lt;&gt;A5150,100,0)</f>
        <v>2.125</v>
      </c>
      <c r="D5149" s="33">
        <f>INDEX('ZCB Curve - Payment Dates'!$D$2:$D$246,MATCH(B5149,'ZCB Curve - Payment Dates'!$A$2:$A$246,0))</f>
        <v>0.29690423521941833</v>
      </c>
      <c r="E5149" s="32">
        <f t="shared" si="80"/>
        <v>0.630921499841264</v>
      </c>
    </row>
    <row r="5150" spans="1:5" x14ac:dyDescent="0.25">
      <c r="A5150" s="17">
        <v>346</v>
      </c>
      <c r="B5150" s="31">
        <v>54650</v>
      </c>
      <c r="C5150" s="32">
        <f>INDEX('Input Data'!$B:$B,A5150)/2+IF(A5150&lt;&gt;A5151,100,0)</f>
        <v>2.125</v>
      </c>
      <c r="D5150" s="33">
        <f>INDEX('ZCB Curve - Payment Dates'!$D$2:$D$246,MATCH(B5150,'ZCB Curve - Payment Dates'!$A$2:$A$246,0))</f>
        <v>0.2888997564491238</v>
      </c>
      <c r="E5150" s="32">
        <f t="shared" si="80"/>
        <v>0.61391198245438805</v>
      </c>
    </row>
    <row r="5151" spans="1:5" x14ac:dyDescent="0.25">
      <c r="A5151" s="17">
        <v>346</v>
      </c>
      <c r="B5151" s="31">
        <v>54834</v>
      </c>
      <c r="C5151" s="32">
        <f>INDEX('Input Data'!$B:$B,A5151)/2+IF(A5151&lt;&gt;A5152,100,0)</f>
        <v>2.125</v>
      </c>
      <c r="D5151" s="33">
        <f>INDEX('ZCB Curve - Payment Dates'!$D$2:$D$246,MATCH(B5151,'ZCB Curve - Payment Dates'!$A$2:$A$246,0))</f>
        <v>0.28111189964037164</v>
      </c>
      <c r="E5151" s="32">
        <f t="shared" si="80"/>
        <v>0.5973627867357898</v>
      </c>
    </row>
    <row r="5152" spans="1:5" x14ac:dyDescent="0.25">
      <c r="A5152" s="17">
        <v>346</v>
      </c>
      <c r="B5152" s="31">
        <v>55015</v>
      </c>
      <c r="C5152" s="32">
        <f>INDEX('Input Data'!$B:$B,A5152)/2+IF(A5152&lt;&gt;A5153,100,0)</f>
        <v>2.125</v>
      </c>
      <c r="D5152" s="33">
        <f>INDEX('ZCB Curve - Payment Dates'!$D$2:$D$246,MATCH(B5152,'ZCB Curve - Payment Dates'!$A$2:$A$246,0))</f>
        <v>0.27379046078597996</v>
      </c>
      <c r="E5152" s="32">
        <f t="shared" si="80"/>
        <v>0.58180472917020742</v>
      </c>
    </row>
    <row r="5153" spans="1:5" x14ac:dyDescent="0.25">
      <c r="A5153" s="17">
        <v>346</v>
      </c>
      <c r="B5153" s="31">
        <v>55199</v>
      </c>
      <c r="C5153" s="32">
        <f>INDEX('Input Data'!$B:$B,A5153)/2+IF(A5153&lt;&gt;A5154,100,0)</f>
        <v>2.125</v>
      </c>
      <c r="D5153" s="33">
        <f>INDEX('ZCB Curve - Payment Dates'!$D$2:$D$246,MATCH(B5153,'ZCB Curve - Payment Dates'!$A$2:$A$246,0))</f>
        <v>0.26667724322397307</v>
      </c>
      <c r="E5153" s="32">
        <f t="shared" si="80"/>
        <v>0.56668914185094277</v>
      </c>
    </row>
    <row r="5154" spans="1:5" x14ac:dyDescent="0.25">
      <c r="A5154" s="17">
        <v>346</v>
      </c>
      <c r="B5154" s="31">
        <v>55380</v>
      </c>
      <c r="C5154" s="32">
        <f>INDEX('Input Data'!$B:$B,A5154)/2+IF(A5154&lt;&gt;A5155,100,0)</f>
        <v>2.125</v>
      </c>
      <c r="D5154" s="33">
        <f>INDEX('ZCB Curve - Payment Dates'!$D$2:$D$246,MATCH(B5154,'ZCB Curve - Payment Dates'!$A$2:$A$246,0))</f>
        <v>0.25999926234228898</v>
      </c>
      <c r="E5154" s="32">
        <f t="shared" si="80"/>
        <v>0.55249843247736408</v>
      </c>
    </row>
    <row r="5155" spans="1:5" x14ac:dyDescent="0.25">
      <c r="A5155" s="17">
        <v>346</v>
      </c>
      <c r="B5155" s="31">
        <v>55564</v>
      </c>
      <c r="C5155" s="32">
        <f>INDEX('Input Data'!$B:$B,A5155)/2+IF(A5155&lt;&gt;A5156,100,0)</f>
        <v>2.125</v>
      </c>
      <c r="D5155" s="33">
        <f>INDEX('ZCB Curve - Payment Dates'!$D$2:$D$246,MATCH(B5155,'ZCB Curve - Payment Dates'!$A$2:$A$246,0))</f>
        <v>0.25351997596294801</v>
      </c>
      <c r="E5155" s="32">
        <f t="shared" si="80"/>
        <v>0.53872994892126447</v>
      </c>
    </row>
    <row r="5156" spans="1:5" x14ac:dyDescent="0.25">
      <c r="A5156" s="17">
        <v>346</v>
      </c>
      <c r="B5156" s="31">
        <v>55746</v>
      </c>
      <c r="C5156" s="32">
        <f>INDEX('Input Data'!$B:$B,A5156)/2+IF(A5156&lt;&gt;A5157,100,0)</f>
        <v>2.125</v>
      </c>
      <c r="D5156" s="33">
        <f>INDEX('ZCB Curve - Payment Dates'!$D$2:$D$246,MATCH(B5156,'ZCB Curve - Payment Dates'!$A$2:$A$246,0))</f>
        <v>0.24741177833471262</v>
      </c>
      <c r="E5156" s="32">
        <f t="shared" si="80"/>
        <v>0.52575002896126433</v>
      </c>
    </row>
    <row r="5157" spans="1:5" x14ac:dyDescent="0.25">
      <c r="A5157" s="17">
        <v>346</v>
      </c>
      <c r="B5157" s="31">
        <v>55930</v>
      </c>
      <c r="C5157" s="32">
        <f>INDEX('Input Data'!$B:$B,A5157)/2+IF(A5157&lt;&gt;A5158,100,0)</f>
        <v>2.125</v>
      </c>
      <c r="D5157" s="33">
        <f>INDEX('ZCB Curve - Payment Dates'!$D$2:$D$246,MATCH(B5157,'ZCB Curve - Payment Dates'!$A$2:$A$246,0))</f>
        <v>0.24152840552252464</v>
      </c>
      <c r="E5157" s="32">
        <f t="shared" si="80"/>
        <v>0.51324786173536485</v>
      </c>
    </row>
    <row r="5158" spans="1:5" x14ac:dyDescent="0.25">
      <c r="A5158" s="17">
        <v>346</v>
      </c>
      <c r="B5158" s="31">
        <v>56111</v>
      </c>
      <c r="C5158" s="32">
        <f>INDEX('Input Data'!$B:$B,A5158)/2+IF(A5158&lt;&gt;A5159,100,0)</f>
        <v>2.125</v>
      </c>
      <c r="D5158" s="33">
        <f>INDEX('ZCB Curve - Payment Dates'!$D$2:$D$246,MATCH(B5158,'ZCB Curve - Payment Dates'!$A$2:$A$246,0))</f>
        <v>0.23601759993777988</v>
      </c>
      <c r="E5158" s="32">
        <f t="shared" si="80"/>
        <v>0.50153739986778223</v>
      </c>
    </row>
    <row r="5159" spans="1:5" x14ac:dyDescent="0.25">
      <c r="A5159" s="17">
        <v>346</v>
      </c>
      <c r="B5159" s="31">
        <v>56295</v>
      </c>
      <c r="C5159" s="32">
        <f>INDEX('Input Data'!$B:$B,A5159)/2+IF(A5159&lt;&gt;A5160,100,0)</f>
        <v>2.125</v>
      </c>
      <c r="D5159" s="33">
        <f>INDEX('ZCB Curve - Payment Dates'!$D$2:$D$246,MATCH(B5159,'ZCB Curve - Payment Dates'!$A$2:$A$246,0))</f>
        <v>0.23068727764963001</v>
      </c>
      <c r="E5159" s="32">
        <f t="shared" si="80"/>
        <v>0.49021046500546378</v>
      </c>
    </row>
    <row r="5160" spans="1:5" x14ac:dyDescent="0.25">
      <c r="A5160" s="17">
        <v>346</v>
      </c>
      <c r="B5160" s="31">
        <v>56476</v>
      </c>
      <c r="C5160" s="32">
        <f>INDEX('Input Data'!$B:$B,A5160)/2+IF(A5160&lt;&gt;A5161,100,0)</f>
        <v>102.125</v>
      </c>
      <c r="D5160" s="33">
        <f>INDEX('ZCB Curve - Payment Dates'!$D$2:$D$246,MATCH(B5160,'ZCB Curve - Payment Dates'!$A$2:$A$246,0))</f>
        <v>0.22570143434065604</v>
      </c>
      <c r="E5160" s="32">
        <f t="shared" si="80"/>
        <v>23.049758982039499</v>
      </c>
    </row>
    <row r="5161" spans="1:5" x14ac:dyDescent="0.25">
      <c r="A5161" s="17">
        <v>347</v>
      </c>
      <c r="B5161" s="31">
        <v>46341</v>
      </c>
      <c r="C5161" s="32">
        <f>INDEX('Input Data'!$B:$B,A5161)/2+IF(A5161&lt;&gt;A5162,100,0)</f>
        <v>2.25</v>
      </c>
      <c r="D5161" s="33">
        <f>INDEX('ZCB Curve - Payment Dates'!$D$2:$D$246,MATCH(B5161,'ZCB Curve - Payment Dates'!$A$2:$A$246,0))</f>
        <v>0.99245367292309439</v>
      </c>
      <c r="E5161" s="32">
        <f t="shared" si="80"/>
        <v>2.2330207640769624</v>
      </c>
    </row>
    <row r="5162" spans="1:5" x14ac:dyDescent="0.25">
      <c r="A5162" s="17">
        <v>347</v>
      </c>
      <c r="B5162" s="31">
        <v>46522</v>
      </c>
      <c r="C5162" s="32">
        <f>INDEX('Input Data'!$B:$B,A5162)/2+IF(A5162&lt;&gt;A5163,100,0)</f>
        <v>2.25</v>
      </c>
      <c r="D5162" s="33">
        <f>INDEX('ZCB Curve - Payment Dates'!$D$2:$D$246,MATCH(B5162,'ZCB Curve - Payment Dates'!$A$2:$A$246,0))</f>
        <v>0.97242179559611874</v>
      </c>
      <c r="E5162" s="32">
        <f t="shared" si="80"/>
        <v>2.1879490400912673</v>
      </c>
    </row>
    <row r="5163" spans="1:5" x14ac:dyDescent="0.25">
      <c r="A5163" s="17">
        <v>347</v>
      </c>
      <c r="B5163" s="31">
        <v>46706</v>
      </c>
      <c r="C5163" s="32">
        <f>INDEX('Input Data'!$B:$B,A5163)/2+IF(A5163&lt;&gt;A5164,100,0)</f>
        <v>2.25</v>
      </c>
      <c r="D5163" s="33">
        <f>INDEX('ZCB Curve - Payment Dates'!$D$2:$D$246,MATCH(B5163,'ZCB Curve - Payment Dates'!$A$2:$A$246,0))</f>
        <v>0.95121018311627348</v>
      </c>
      <c r="E5163" s="32">
        <f t="shared" si="80"/>
        <v>2.1402229120116152</v>
      </c>
    </row>
    <row r="5164" spans="1:5" x14ac:dyDescent="0.25">
      <c r="A5164" s="17">
        <v>347</v>
      </c>
      <c r="B5164" s="31">
        <v>46888</v>
      </c>
      <c r="C5164" s="32">
        <f>INDEX('Input Data'!$B:$B,A5164)/2+IF(A5164&lt;&gt;A5165,100,0)</f>
        <v>2.25</v>
      </c>
      <c r="D5164" s="33">
        <f>INDEX('ZCB Curve - Payment Dates'!$D$2:$D$246,MATCH(B5164,'ZCB Curve - Payment Dates'!$A$2:$A$246,0))</f>
        <v>0.93000025435083566</v>
      </c>
      <c r="E5164" s="32">
        <f t="shared" si="80"/>
        <v>2.0925005722893801</v>
      </c>
    </row>
    <row r="5165" spans="1:5" x14ac:dyDescent="0.25">
      <c r="A5165" s="17">
        <v>347</v>
      </c>
      <c r="B5165" s="31">
        <v>47072</v>
      </c>
      <c r="C5165" s="32">
        <f>INDEX('Input Data'!$B:$B,A5165)/2+IF(A5165&lt;&gt;A5166,100,0)</f>
        <v>2.25</v>
      </c>
      <c r="D5165" s="33">
        <f>INDEX('ZCB Curve - Payment Dates'!$D$2:$D$246,MATCH(B5165,'ZCB Curve - Payment Dates'!$A$2:$A$246,0))</f>
        <v>0.90870125167038918</v>
      </c>
      <c r="E5165" s="32">
        <f t="shared" si="80"/>
        <v>2.0445778162583759</v>
      </c>
    </row>
    <row r="5166" spans="1:5" x14ac:dyDescent="0.25">
      <c r="A5166" s="17">
        <v>347</v>
      </c>
      <c r="B5166" s="31">
        <v>47253</v>
      </c>
      <c r="C5166" s="32">
        <f>INDEX('Input Data'!$B:$B,A5166)/2+IF(A5166&lt;&gt;A5167,100,0)</f>
        <v>2.25</v>
      </c>
      <c r="D5166" s="33">
        <f>INDEX('ZCB Curve - Payment Dates'!$D$2:$D$246,MATCH(B5166,'ZCB Curve - Payment Dates'!$A$2:$A$246,0))</f>
        <v>0.88809325063638844</v>
      </c>
      <c r="E5166" s="32">
        <f t="shared" si="80"/>
        <v>1.998209813931874</v>
      </c>
    </row>
    <row r="5167" spans="1:5" x14ac:dyDescent="0.25">
      <c r="A5167" s="17">
        <v>347</v>
      </c>
      <c r="B5167" s="31">
        <v>47437</v>
      </c>
      <c r="C5167" s="32">
        <f>INDEX('Input Data'!$B:$B,A5167)/2+IF(A5167&lt;&gt;A5168,100,0)</f>
        <v>2.25</v>
      </c>
      <c r="D5167" s="33">
        <f>INDEX('ZCB Curve - Payment Dates'!$D$2:$D$246,MATCH(B5167,'ZCB Curve - Payment Dates'!$A$2:$A$246,0))</f>
        <v>0.86758824089536279</v>
      </c>
      <c r="E5167" s="32">
        <f t="shared" si="80"/>
        <v>1.9520735420145663</v>
      </c>
    </row>
    <row r="5168" spans="1:5" x14ac:dyDescent="0.25">
      <c r="A5168" s="17">
        <v>347</v>
      </c>
      <c r="B5168" s="31">
        <v>47618</v>
      </c>
      <c r="C5168" s="32">
        <f>INDEX('Input Data'!$B:$B,A5168)/2+IF(A5168&lt;&gt;A5169,100,0)</f>
        <v>2.25</v>
      </c>
      <c r="D5168" s="33">
        <f>INDEX('ZCB Curve - Payment Dates'!$D$2:$D$246,MATCH(B5168,'ZCB Curve - Payment Dates'!$A$2:$A$246,0))</f>
        <v>0.84787416911783064</v>
      </c>
      <c r="E5168" s="32">
        <f t="shared" si="80"/>
        <v>1.907716880515119</v>
      </c>
    </row>
    <row r="5169" spans="1:5" x14ac:dyDescent="0.25">
      <c r="A5169" s="17">
        <v>347</v>
      </c>
      <c r="B5169" s="31">
        <v>47802</v>
      </c>
      <c r="C5169" s="32">
        <f>INDEX('Input Data'!$B:$B,A5169)/2+IF(A5169&lt;&gt;A5170,100,0)</f>
        <v>2.25</v>
      </c>
      <c r="D5169" s="33">
        <f>INDEX('ZCB Curve - Payment Dates'!$D$2:$D$246,MATCH(B5169,'ZCB Curve - Payment Dates'!$A$2:$A$246,0))</f>
        <v>0.82827715028796722</v>
      </c>
      <c r="E5169" s="32">
        <f t="shared" si="80"/>
        <v>1.8636235881479262</v>
      </c>
    </row>
    <row r="5170" spans="1:5" x14ac:dyDescent="0.25">
      <c r="A5170" s="17">
        <v>347</v>
      </c>
      <c r="B5170" s="31">
        <v>47983</v>
      </c>
      <c r="C5170" s="32">
        <f>INDEX('Input Data'!$B:$B,A5170)/2+IF(A5170&lt;&gt;A5171,100,0)</f>
        <v>2.25</v>
      </c>
      <c r="D5170" s="33">
        <f>INDEX('ZCB Curve - Payment Dates'!$D$2:$D$246,MATCH(B5170,'ZCB Curve - Payment Dates'!$A$2:$A$246,0))</f>
        <v>0.80939067484273564</v>
      </c>
      <c r="E5170" s="32">
        <f t="shared" si="80"/>
        <v>1.8211290183961553</v>
      </c>
    </row>
    <row r="5171" spans="1:5" x14ac:dyDescent="0.25">
      <c r="A5171" s="17">
        <v>347</v>
      </c>
      <c r="B5171" s="31">
        <v>48167</v>
      </c>
      <c r="C5171" s="32">
        <f>INDEX('Input Data'!$B:$B,A5171)/2+IF(A5171&lt;&gt;A5172,100,0)</f>
        <v>2.25</v>
      </c>
      <c r="D5171" s="33">
        <f>INDEX('ZCB Curve - Payment Dates'!$D$2:$D$246,MATCH(B5171,'ZCB Curve - Payment Dates'!$A$2:$A$246,0))</f>
        <v>0.79053567842581962</v>
      </c>
      <c r="E5171" s="32">
        <f t="shared" si="80"/>
        <v>1.7787052764580942</v>
      </c>
    </row>
    <row r="5172" spans="1:5" x14ac:dyDescent="0.25">
      <c r="A5172" s="17">
        <v>347</v>
      </c>
      <c r="B5172" s="31">
        <v>48349</v>
      </c>
      <c r="C5172" s="32">
        <f>INDEX('Input Data'!$B:$B,A5172)/2+IF(A5172&lt;&gt;A5173,100,0)</f>
        <v>2.25</v>
      </c>
      <c r="D5172" s="33">
        <f>INDEX('ZCB Curve - Payment Dates'!$D$2:$D$246,MATCH(B5172,'ZCB Curve - Payment Dates'!$A$2:$A$246,0))</f>
        <v>0.77217305702007488</v>
      </c>
      <c r="E5172" s="32">
        <f t="shared" si="80"/>
        <v>1.7373893782951684</v>
      </c>
    </row>
    <row r="5173" spans="1:5" x14ac:dyDescent="0.25">
      <c r="A5173" s="17">
        <v>347</v>
      </c>
      <c r="B5173" s="31">
        <v>48533</v>
      </c>
      <c r="C5173" s="32">
        <f>INDEX('Input Data'!$B:$B,A5173)/2+IF(A5173&lt;&gt;A5174,100,0)</f>
        <v>2.25</v>
      </c>
      <c r="D5173" s="33">
        <f>INDEX('ZCB Curve - Payment Dates'!$D$2:$D$246,MATCH(B5173,'ZCB Curve - Payment Dates'!$A$2:$A$246,0))</f>
        <v>0.75384766072076514</v>
      </c>
      <c r="E5173" s="32">
        <f t="shared" si="80"/>
        <v>1.6961572366217217</v>
      </c>
    </row>
    <row r="5174" spans="1:5" x14ac:dyDescent="0.25">
      <c r="A5174" s="17">
        <v>347</v>
      </c>
      <c r="B5174" s="31">
        <v>48714</v>
      </c>
      <c r="C5174" s="32">
        <f>INDEX('Input Data'!$B:$B,A5174)/2+IF(A5174&lt;&gt;A5175,100,0)</f>
        <v>2.25</v>
      </c>
      <c r="D5174" s="33">
        <f>INDEX('ZCB Curve - Payment Dates'!$D$2:$D$246,MATCH(B5174,'ZCB Curve - Payment Dates'!$A$2:$A$246,0))</f>
        <v>0.73601491848746747</v>
      </c>
      <c r="E5174" s="32">
        <f t="shared" si="80"/>
        <v>1.6560335665968018</v>
      </c>
    </row>
    <row r="5175" spans="1:5" x14ac:dyDescent="0.25">
      <c r="A5175" s="17">
        <v>347</v>
      </c>
      <c r="B5175" s="31">
        <v>48898</v>
      </c>
      <c r="C5175" s="32">
        <f>INDEX('Input Data'!$B:$B,A5175)/2+IF(A5175&lt;&gt;A5176,100,0)</f>
        <v>2.25</v>
      </c>
      <c r="D5175" s="33">
        <f>INDEX('ZCB Curve - Payment Dates'!$D$2:$D$246,MATCH(B5175,'ZCB Curve - Payment Dates'!$A$2:$A$246,0))</f>
        <v>0.71805338140354003</v>
      </c>
      <c r="E5175" s="32">
        <f t="shared" si="80"/>
        <v>1.6156201081579651</v>
      </c>
    </row>
    <row r="5176" spans="1:5" x14ac:dyDescent="0.25">
      <c r="A5176" s="17">
        <v>347</v>
      </c>
      <c r="B5176" s="31">
        <v>49079</v>
      </c>
      <c r="C5176" s="32">
        <f>INDEX('Input Data'!$B:$B,A5176)/2+IF(A5176&lt;&gt;A5177,100,0)</f>
        <v>2.25</v>
      </c>
      <c r="D5176" s="33">
        <f>INDEX('ZCB Curve - Payment Dates'!$D$2:$D$246,MATCH(B5176,'ZCB Curve - Payment Dates'!$A$2:$A$246,0))</f>
        <v>0.70052630492471468</v>
      </c>
      <c r="E5176" s="32">
        <f t="shared" si="80"/>
        <v>1.5761841860806081</v>
      </c>
    </row>
    <row r="5177" spans="1:5" x14ac:dyDescent="0.25">
      <c r="A5177" s="17">
        <v>347</v>
      </c>
      <c r="B5177" s="31">
        <v>49263</v>
      </c>
      <c r="C5177" s="32">
        <f>INDEX('Input Data'!$B:$B,A5177)/2+IF(A5177&lt;&gt;A5178,100,0)</f>
        <v>2.25</v>
      </c>
      <c r="D5177" s="33">
        <f>INDEX('ZCB Curve - Payment Dates'!$D$2:$D$246,MATCH(B5177,'ZCB Curve - Payment Dates'!$A$2:$A$246,0))</f>
        <v>0.68284221202539863</v>
      </c>
      <c r="E5177" s="32">
        <f t="shared" si="80"/>
        <v>1.536394977057147</v>
      </c>
    </row>
    <row r="5178" spans="1:5" x14ac:dyDescent="0.25">
      <c r="A5178" s="17">
        <v>347</v>
      </c>
      <c r="B5178" s="31">
        <v>49444</v>
      </c>
      <c r="C5178" s="32">
        <f>INDEX('Input Data'!$B:$B,A5178)/2+IF(A5178&lt;&gt;A5179,100,0)</f>
        <v>2.25</v>
      </c>
      <c r="D5178" s="33">
        <f>INDEX('ZCB Curve - Payment Dates'!$D$2:$D$246,MATCH(B5178,'ZCB Curve - Payment Dates'!$A$2:$A$246,0))</f>
        <v>0.66557347415228496</v>
      </c>
      <c r="E5178" s="32">
        <f t="shared" si="80"/>
        <v>1.4975403168426411</v>
      </c>
    </row>
    <row r="5179" spans="1:5" x14ac:dyDescent="0.25">
      <c r="A5179" s="17">
        <v>347</v>
      </c>
      <c r="B5179" s="31">
        <v>49628</v>
      </c>
      <c r="C5179" s="32">
        <f>INDEX('Input Data'!$B:$B,A5179)/2+IF(A5179&lt;&gt;A5180,100,0)</f>
        <v>2.25</v>
      </c>
      <c r="D5179" s="33">
        <f>INDEX('ZCB Curve - Payment Dates'!$D$2:$D$246,MATCH(B5179,'ZCB Curve - Payment Dates'!$A$2:$A$246,0))</f>
        <v>0.64815361918127823</v>
      </c>
      <c r="E5179" s="32">
        <f t="shared" si="80"/>
        <v>1.4583456431578761</v>
      </c>
    </row>
    <row r="5180" spans="1:5" x14ac:dyDescent="0.25">
      <c r="A5180" s="17">
        <v>347</v>
      </c>
      <c r="B5180" s="31">
        <v>49810</v>
      </c>
      <c r="C5180" s="32">
        <f>INDEX('Input Data'!$B:$B,A5180)/2+IF(A5180&lt;&gt;A5181,100,0)</f>
        <v>2.25</v>
      </c>
      <c r="D5180" s="33">
        <f>INDEX('ZCB Curve - Payment Dates'!$D$2:$D$246,MATCH(B5180,'ZCB Curve - Payment Dates'!$A$2:$A$246,0))</f>
        <v>0.63106457078577471</v>
      </c>
      <c r="E5180" s="32">
        <f t="shared" si="80"/>
        <v>1.4198952842679931</v>
      </c>
    </row>
    <row r="5181" spans="1:5" x14ac:dyDescent="0.25">
      <c r="A5181" s="17">
        <v>347</v>
      </c>
      <c r="B5181" s="31">
        <v>49994</v>
      </c>
      <c r="C5181" s="32">
        <f>INDEX('Input Data'!$B:$B,A5181)/2+IF(A5181&lt;&gt;A5182,100,0)</f>
        <v>2.25</v>
      </c>
      <c r="D5181" s="33">
        <f>INDEX('ZCB Curve - Payment Dates'!$D$2:$D$246,MATCH(B5181,'ZCB Curve - Payment Dates'!$A$2:$A$246,0))</f>
        <v>0.61395227923184648</v>
      </c>
      <c r="E5181" s="32">
        <f t="shared" si="80"/>
        <v>1.3813926282716547</v>
      </c>
    </row>
    <row r="5182" spans="1:5" x14ac:dyDescent="0.25">
      <c r="A5182" s="17">
        <v>347</v>
      </c>
      <c r="B5182" s="31">
        <v>50175</v>
      </c>
      <c r="C5182" s="32">
        <f>INDEX('Input Data'!$B:$B,A5182)/2+IF(A5182&lt;&gt;A5183,100,0)</f>
        <v>2.25</v>
      </c>
      <c r="D5182" s="33">
        <f>INDEX('ZCB Curve - Payment Dates'!$D$2:$D$246,MATCH(B5182,'ZCB Curve - Payment Dates'!$A$2:$A$246,0))</f>
        <v>0.5972963482314616</v>
      </c>
      <c r="E5182" s="32">
        <f t="shared" si="80"/>
        <v>1.3439167835207886</v>
      </c>
    </row>
    <row r="5183" spans="1:5" x14ac:dyDescent="0.25">
      <c r="A5183" s="17">
        <v>347</v>
      </c>
      <c r="B5183" s="31">
        <v>50359</v>
      </c>
      <c r="C5183" s="32">
        <f>INDEX('Input Data'!$B:$B,A5183)/2+IF(A5183&lt;&gt;A5184,100,0)</f>
        <v>2.25</v>
      </c>
      <c r="D5183" s="33">
        <f>INDEX('ZCB Curve - Payment Dates'!$D$2:$D$246,MATCH(B5183,'ZCB Curve - Payment Dates'!$A$2:$A$246,0))</f>
        <v>0.58056812006155756</v>
      </c>
      <c r="E5183" s="32">
        <f t="shared" si="80"/>
        <v>1.3062782701385045</v>
      </c>
    </row>
    <row r="5184" spans="1:5" x14ac:dyDescent="0.25">
      <c r="A5184" s="17">
        <v>347</v>
      </c>
      <c r="B5184" s="31">
        <v>50540</v>
      </c>
      <c r="C5184" s="32">
        <f>INDEX('Input Data'!$B:$B,A5184)/2+IF(A5184&lt;&gt;A5185,100,0)</f>
        <v>2.25</v>
      </c>
      <c r="D5184" s="33">
        <f>INDEX('ZCB Curve - Payment Dates'!$D$2:$D$246,MATCH(B5184,'ZCB Curve - Payment Dates'!$A$2:$A$246,0))</f>
        <v>0.56433491315969797</v>
      </c>
      <c r="E5184" s="32">
        <f t="shared" si="80"/>
        <v>1.2697535546093204</v>
      </c>
    </row>
    <row r="5185" spans="1:5" x14ac:dyDescent="0.25">
      <c r="A5185" s="17">
        <v>347</v>
      </c>
      <c r="B5185" s="31">
        <v>50724</v>
      </c>
      <c r="C5185" s="32">
        <f>INDEX('Input Data'!$B:$B,A5185)/2+IF(A5185&lt;&gt;A5186,100,0)</f>
        <v>2.25</v>
      </c>
      <c r="D5185" s="33">
        <f>INDEX('ZCB Curve - Payment Dates'!$D$2:$D$246,MATCH(B5185,'ZCB Curve - Payment Dates'!$A$2:$A$246,0))</f>
        <v>0.54808398139057424</v>
      </c>
      <c r="E5185" s="32">
        <f t="shared" si="80"/>
        <v>1.233188958128792</v>
      </c>
    </row>
    <row r="5186" spans="1:5" x14ac:dyDescent="0.25">
      <c r="A5186" s="17">
        <v>347</v>
      </c>
      <c r="B5186" s="31">
        <v>50905</v>
      </c>
      <c r="C5186" s="32">
        <f>INDEX('Input Data'!$B:$B,A5186)/2+IF(A5186&lt;&gt;A5187,100,0)</f>
        <v>2.25</v>
      </c>
      <c r="D5186" s="33">
        <f>INDEX('ZCB Curve - Payment Dates'!$D$2:$D$246,MATCH(B5186,'ZCB Curve - Payment Dates'!$A$2:$A$246,0))</f>
        <v>0.5323673246083096</v>
      </c>
      <c r="E5186" s="32">
        <f t="shared" ref="E5186:E5249" si="81">C5186*D5186</f>
        <v>1.1978264803686967</v>
      </c>
    </row>
    <row r="5187" spans="1:5" x14ac:dyDescent="0.25">
      <c r="A5187" s="17">
        <v>347</v>
      </c>
      <c r="B5187" s="31">
        <v>51089</v>
      </c>
      <c r="C5187" s="32">
        <f>INDEX('Input Data'!$B:$B,A5187)/2+IF(A5187&lt;&gt;A5188,100,0)</f>
        <v>2.25</v>
      </c>
      <c r="D5187" s="33">
        <f>INDEX('ZCB Curve - Payment Dates'!$D$2:$D$246,MATCH(B5187,'ZCB Curve - Payment Dates'!$A$2:$A$246,0))</f>
        <v>0.51668806431098135</v>
      </c>
      <c r="E5187" s="32">
        <f t="shared" si="81"/>
        <v>1.1625481446997081</v>
      </c>
    </row>
    <row r="5188" spans="1:5" x14ac:dyDescent="0.25">
      <c r="A5188" s="17">
        <v>347</v>
      </c>
      <c r="B5188" s="31">
        <v>51271</v>
      </c>
      <c r="C5188" s="32">
        <f>INDEX('Input Data'!$B:$B,A5188)/2+IF(A5188&lt;&gt;A5189,100,0)</f>
        <v>2.25</v>
      </c>
      <c r="D5188" s="33">
        <f>INDEX('ZCB Curve - Payment Dates'!$D$2:$D$246,MATCH(B5188,'ZCB Curve - Payment Dates'!$A$2:$A$246,0))</f>
        <v>0.50149590020417278</v>
      </c>
      <c r="E5188" s="32">
        <f t="shared" si="81"/>
        <v>1.1283657754593888</v>
      </c>
    </row>
    <row r="5189" spans="1:5" x14ac:dyDescent="0.25">
      <c r="A5189" s="17">
        <v>347</v>
      </c>
      <c r="B5189" s="31">
        <v>51455</v>
      </c>
      <c r="C5189" s="32">
        <f>INDEX('Input Data'!$B:$B,A5189)/2+IF(A5189&lt;&gt;A5190,100,0)</f>
        <v>2.25</v>
      </c>
      <c r="D5189" s="33">
        <f>INDEX('ZCB Curve - Payment Dates'!$D$2:$D$246,MATCH(B5189,'ZCB Curve - Payment Dates'!$A$2:$A$246,0))</f>
        <v>0.48647538074270091</v>
      </c>
      <c r="E5189" s="32">
        <f t="shared" si="81"/>
        <v>1.0945696066710771</v>
      </c>
    </row>
    <row r="5190" spans="1:5" x14ac:dyDescent="0.25">
      <c r="A5190" s="17">
        <v>347</v>
      </c>
      <c r="B5190" s="31">
        <v>51636</v>
      </c>
      <c r="C5190" s="32">
        <f>INDEX('Input Data'!$B:$B,A5190)/2+IF(A5190&lt;&gt;A5191,100,0)</f>
        <v>2.25</v>
      </c>
      <c r="D5190" s="33">
        <f>INDEX('ZCB Curve - Payment Dates'!$D$2:$D$246,MATCH(B5190,'ZCB Curve - Payment Dates'!$A$2:$A$246,0))</f>
        <v>0.47204918703719451</v>
      </c>
      <c r="E5190" s="32">
        <f t="shared" si="81"/>
        <v>1.0621106708336876</v>
      </c>
    </row>
    <row r="5191" spans="1:5" x14ac:dyDescent="0.25">
      <c r="A5191" s="17">
        <v>347</v>
      </c>
      <c r="B5191" s="31">
        <v>51820</v>
      </c>
      <c r="C5191" s="32">
        <f>INDEX('Input Data'!$B:$B,A5191)/2+IF(A5191&lt;&gt;A5192,100,0)</f>
        <v>2.25</v>
      </c>
      <c r="D5191" s="33">
        <f>INDEX('ZCB Curve - Payment Dates'!$D$2:$D$246,MATCH(B5191,'ZCB Curve - Payment Dates'!$A$2:$A$246,0))</f>
        <v>0.45775548669345245</v>
      </c>
      <c r="E5191" s="32">
        <f t="shared" si="81"/>
        <v>1.029949845060268</v>
      </c>
    </row>
    <row r="5192" spans="1:5" x14ac:dyDescent="0.25">
      <c r="A5192" s="17">
        <v>347</v>
      </c>
      <c r="B5192" s="31">
        <v>52001</v>
      </c>
      <c r="C5192" s="32">
        <f>INDEX('Input Data'!$B:$B,A5192)/2+IF(A5192&lt;&gt;A5193,100,0)</f>
        <v>2.25</v>
      </c>
      <c r="D5192" s="33">
        <f>INDEX('ZCB Curve - Payment Dates'!$D$2:$D$246,MATCH(B5192,'ZCB Curve - Payment Dates'!$A$2:$A$246,0))</f>
        <v>0.44407192118484318</v>
      </c>
      <c r="E5192" s="32">
        <f t="shared" si="81"/>
        <v>0.99916182266589715</v>
      </c>
    </row>
    <row r="5193" spans="1:5" x14ac:dyDescent="0.25">
      <c r="A5193" s="17">
        <v>347</v>
      </c>
      <c r="B5193" s="31">
        <v>52185</v>
      </c>
      <c r="C5193" s="32">
        <f>INDEX('Input Data'!$B:$B,A5193)/2+IF(A5193&lt;&gt;A5194,100,0)</f>
        <v>2.25</v>
      </c>
      <c r="D5193" s="33">
        <f>INDEX('ZCB Curve - Payment Dates'!$D$2:$D$246,MATCH(B5193,'ZCB Curve - Payment Dates'!$A$2:$A$246,0))</f>
        <v>0.43055647946672393</v>
      </c>
      <c r="E5193" s="32">
        <f t="shared" si="81"/>
        <v>0.96875207880012881</v>
      </c>
    </row>
    <row r="5194" spans="1:5" x14ac:dyDescent="0.25">
      <c r="A5194" s="17">
        <v>347</v>
      </c>
      <c r="B5194" s="31">
        <v>52366</v>
      </c>
      <c r="C5194" s="32">
        <f>INDEX('Input Data'!$B:$B,A5194)/2+IF(A5194&lt;&gt;A5195,100,0)</f>
        <v>2.25</v>
      </c>
      <c r="D5194" s="33">
        <f>INDEX('ZCB Curve - Payment Dates'!$D$2:$D$246,MATCH(B5194,'ZCB Curve - Payment Dates'!$A$2:$A$246,0))</f>
        <v>0.41765686229470528</v>
      </c>
      <c r="E5194" s="32">
        <f t="shared" si="81"/>
        <v>0.93972794016308692</v>
      </c>
    </row>
    <row r="5195" spans="1:5" x14ac:dyDescent="0.25">
      <c r="A5195" s="17">
        <v>347</v>
      </c>
      <c r="B5195" s="31">
        <v>52550</v>
      </c>
      <c r="C5195" s="32">
        <f>INDEX('Input Data'!$B:$B,A5195)/2+IF(A5195&lt;&gt;A5196,100,0)</f>
        <v>2.25</v>
      </c>
      <c r="D5195" s="33">
        <f>INDEX('ZCB Curve - Payment Dates'!$D$2:$D$246,MATCH(B5195,'ZCB Curve - Payment Dates'!$A$2:$A$246,0))</f>
        <v>0.40495237741553414</v>
      </c>
      <c r="E5195" s="32">
        <f t="shared" si="81"/>
        <v>0.91114284918495181</v>
      </c>
    </row>
    <row r="5196" spans="1:5" x14ac:dyDescent="0.25">
      <c r="A5196" s="17">
        <v>347</v>
      </c>
      <c r="B5196" s="31">
        <v>52732</v>
      </c>
      <c r="C5196" s="32">
        <f>INDEX('Input Data'!$B:$B,A5196)/2+IF(A5196&lt;&gt;A5197,100,0)</f>
        <v>2.25</v>
      </c>
      <c r="D5196" s="33">
        <f>INDEX('ZCB Curve - Payment Dates'!$D$2:$D$246,MATCH(B5196,'ZCB Curve - Payment Dates'!$A$2:$A$246,0))</f>
        <v>0.3927952920896523</v>
      </c>
      <c r="E5196" s="32">
        <f t="shared" si="81"/>
        <v>0.88378940720171772</v>
      </c>
    </row>
    <row r="5197" spans="1:5" x14ac:dyDescent="0.25">
      <c r="A5197" s="17">
        <v>347</v>
      </c>
      <c r="B5197" s="31">
        <v>52916</v>
      </c>
      <c r="C5197" s="32">
        <f>INDEX('Input Data'!$B:$B,A5197)/2+IF(A5197&lt;&gt;A5198,100,0)</f>
        <v>2.25</v>
      </c>
      <c r="D5197" s="33">
        <f>INDEX('ZCB Curve - Payment Dates'!$D$2:$D$246,MATCH(B5197,'ZCB Curve - Payment Dates'!$A$2:$A$246,0))</f>
        <v>0.38091684361752687</v>
      </c>
      <c r="E5197" s="32">
        <f t="shared" si="81"/>
        <v>0.85706289813943548</v>
      </c>
    </row>
    <row r="5198" spans="1:5" x14ac:dyDescent="0.25">
      <c r="A5198" s="17">
        <v>347</v>
      </c>
      <c r="B5198" s="31">
        <v>53097</v>
      </c>
      <c r="C5198" s="32">
        <f>INDEX('Input Data'!$B:$B,A5198)/2+IF(A5198&lt;&gt;A5199,100,0)</f>
        <v>2.25</v>
      </c>
      <c r="D5198" s="33">
        <f>INDEX('ZCB Curve - Payment Dates'!$D$2:$D$246,MATCH(B5198,'ZCB Curve - Payment Dates'!$A$2:$A$246,0))</f>
        <v>0.36964331092783359</v>
      </c>
      <c r="E5198" s="32">
        <f t="shared" si="81"/>
        <v>0.83169744958762559</v>
      </c>
    </row>
    <row r="5199" spans="1:5" x14ac:dyDescent="0.25">
      <c r="A5199" s="17">
        <v>347</v>
      </c>
      <c r="B5199" s="31">
        <v>53281</v>
      </c>
      <c r="C5199" s="32">
        <f>INDEX('Input Data'!$B:$B,A5199)/2+IF(A5199&lt;&gt;A5200,100,0)</f>
        <v>2.25</v>
      </c>
      <c r="D5199" s="33">
        <f>INDEX('ZCB Curve - Payment Dates'!$D$2:$D$246,MATCH(B5199,'ZCB Curve - Payment Dates'!$A$2:$A$246,0))</f>
        <v>0.35859090372935404</v>
      </c>
      <c r="E5199" s="32">
        <f t="shared" si="81"/>
        <v>0.80682953339104657</v>
      </c>
    </row>
    <row r="5200" spans="1:5" x14ac:dyDescent="0.25">
      <c r="A5200" s="17">
        <v>347</v>
      </c>
      <c r="B5200" s="31">
        <v>53462</v>
      </c>
      <c r="C5200" s="32">
        <f>INDEX('Input Data'!$B:$B,A5200)/2+IF(A5200&lt;&gt;A5201,100,0)</f>
        <v>2.25</v>
      </c>
      <c r="D5200" s="33">
        <f>INDEX('ZCB Curve - Payment Dates'!$D$2:$D$246,MATCH(B5200,'ZCB Curve - Payment Dates'!$A$2:$A$246,0))</f>
        <v>0.34812465854380154</v>
      </c>
      <c r="E5200" s="32">
        <f t="shared" si="81"/>
        <v>0.78328048172355347</v>
      </c>
    </row>
    <row r="5201" spans="1:5" x14ac:dyDescent="0.25">
      <c r="A5201" s="17">
        <v>347</v>
      </c>
      <c r="B5201" s="31">
        <v>53646</v>
      </c>
      <c r="C5201" s="32">
        <f>INDEX('Input Data'!$B:$B,A5201)/2+IF(A5201&lt;&gt;A5202,100,0)</f>
        <v>2.25</v>
      </c>
      <c r="D5201" s="33">
        <f>INDEX('ZCB Curve - Payment Dates'!$D$2:$D$246,MATCH(B5201,'ZCB Curve - Payment Dates'!$A$2:$A$246,0))</f>
        <v>0.33788528510382887</v>
      </c>
      <c r="E5201" s="32">
        <f t="shared" si="81"/>
        <v>0.76024189148361498</v>
      </c>
    </row>
    <row r="5202" spans="1:5" x14ac:dyDescent="0.25">
      <c r="A5202" s="17">
        <v>347</v>
      </c>
      <c r="B5202" s="31">
        <v>53827</v>
      </c>
      <c r="C5202" s="32">
        <f>INDEX('Input Data'!$B:$B,A5202)/2+IF(A5202&lt;&gt;A5203,100,0)</f>
        <v>2.25</v>
      </c>
      <c r="D5202" s="33">
        <f>INDEX('ZCB Curve - Payment Dates'!$D$2:$D$246,MATCH(B5202,'ZCB Curve - Payment Dates'!$A$2:$A$246,0))</f>
        <v>0.32820827061914198</v>
      </c>
      <c r="E5202" s="32">
        <f t="shared" si="81"/>
        <v>0.73846860889306942</v>
      </c>
    </row>
    <row r="5203" spans="1:5" x14ac:dyDescent="0.25">
      <c r="A5203" s="17">
        <v>347</v>
      </c>
      <c r="B5203" s="31">
        <v>54011</v>
      </c>
      <c r="C5203" s="32">
        <f>INDEX('Input Data'!$B:$B,A5203)/2+IF(A5203&lt;&gt;A5204,100,0)</f>
        <v>2.25</v>
      </c>
      <c r="D5203" s="33">
        <f>INDEX('ZCB Curve - Payment Dates'!$D$2:$D$246,MATCH(B5203,'ZCB Curve - Payment Dates'!$A$2:$A$246,0))</f>
        <v>0.31875888330253388</v>
      </c>
      <c r="E5203" s="32">
        <f t="shared" si="81"/>
        <v>0.71720748743070128</v>
      </c>
    </row>
    <row r="5204" spans="1:5" x14ac:dyDescent="0.25">
      <c r="A5204" s="17">
        <v>347</v>
      </c>
      <c r="B5204" s="31">
        <v>54193</v>
      </c>
      <c r="C5204" s="32">
        <f>INDEX('Input Data'!$B:$B,A5204)/2+IF(A5204&lt;&gt;A5205,100,0)</f>
        <v>2.25</v>
      </c>
      <c r="D5204" s="33">
        <f>INDEX('ZCB Curve - Payment Dates'!$D$2:$D$246,MATCH(B5204,'ZCB Curve - Payment Dates'!$A$2:$A$246,0))</f>
        <v>0.30979516521120642</v>
      </c>
      <c r="E5204" s="32">
        <f t="shared" si="81"/>
        <v>0.69703912172521443</v>
      </c>
    </row>
    <row r="5205" spans="1:5" x14ac:dyDescent="0.25">
      <c r="A5205" s="17">
        <v>347</v>
      </c>
      <c r="B5205" s="31">
        <v>54377</v>
      </c>
      <c r="C5205" s="32">
        <f>INDEX('Input Data'!$B:$B,A5205)/2+IF(A5205&lt;&gt;A5206,100,0)</f>
        <v>2.25</v>
      </c>
      <c r="D5205" s="33">
        <f>INDEX('ZCB Curve - Payment Dates'!$D$2:$D$246,MATCH(B5205,'ZCB Curve - Payment Dates'!$A$2:$A$246,0))</f>
        <v>0.30110901062008694</v>
      </c>
      <c r="E5205" s="32">
        <f t="shared" si="81"/>
        <v>0.67749527389519559</v>
      </c>
    </row>
    <row r="5206" spans="1:5" x14ac:dyDescent="0.25">
      <c r="A5206" s="17">
        <v>347</v>
      </c>
      <c r="B5206" s="31">
        <v>54558</v>
      </c>
      <c r="C5206" s="32">
        <f>INDEX('Input Data'!$B:$B,A5206)/2+IF(A5206&lt;&gt;A5207,100,0)</f>
        <v>2.25</v>
      </c>
      <c r="D5206" s="33">
        <f>INDEX('ZCB Curve - Payment Dates'!$D$2:$D$246,MATCH(B5206,'ZCB Curve - Payment Dates'!$A$2:$A$246,0))</f>
        <v>0.29292467059800714</v>
      </c>
      <c r="E5206" s="32">
        <f t="shared" si="81"/>
        <v>0.65908050884551606</v>
      </c>
    </row>
    <row r="5207" spans="1:5" x14ac:dyDescent="0.25">
      <c r="A5207" s="17">
        <v>347</v>
      </c>
      <c r="B5207" s="31">
        <v>54742</v>
      </c>
      <c r="C5207" s="32">
        <f>INDEX('Input Data'!$B:$B,A5207)/2+IF(A5207&lt;&gt;A5208,100,0)</f>
        <v>2.25</v>
      </c>
      <c r="D5207" s="33">
        <f>INDEX('ZCB Curve - Payment Dates'!$D$2:$D$246,MATCH(B5207,'ZCB Curve - Payment Dates'!$A$2:$A$246,0))</f>
        <v>0.28496204444064566</v>
      </c>
      <c r="E5207" s="32">
        <f t="shared" si="81"/>
        <v>0.6411645999914527</v>
      </c>
    </row>
    <row r="5208" spans="1:5" x14ac:dyDescent="0.25">
      <c r="A5208" s="17">
        <v>347</v>
      </c>
      <c r="B5208" s="31">
        <v>54923</v>
      </c>
      <c r="C5208" s="32">
        <f>INDEX('Input Data'!$B:$B,A5208)/2+IF(A5208&lt;&gt;A5209,100,0)</f>
        <v>2.25</v>
      </c>
      <c r="D5208" s="33">
        <f>INDEX('ZCB Curve - Payment Dates'!$D$2:$D$246,MATCH(B5208,'ZCB Curve - Payment Dates'!$A$2:$A$246,0))</f>
        <v>0.27747061478742291</v>
      </c>
      <c r="E5208" s="32">
        <f t="shared" si="81"/>
        <v>0.62430888327170153</v>
      </c>
    </row>
    <row r="5209" spans="1:5" x14ac:dyDescent="0.25">
      <c r="A5209" s="17">
        <v>347</v>
      </c>
      <c r="B5209" s="31">
        <v>55107</v>
      </c>
      <c r="C5209" s="32">
        <f>INDEX('Input Data'!$B:$B,A5209)/2+IF(A5209&lt;&gt;A5210,100,0)</f>
        <v>2.25</v>
      </c>
      <c r="D5209" s="33">
        <f>INDEX('ZCB Curve - Payment Dates'!$D$2:$D$246,MATCH(B5209,'ZCB Curve - Payment Dates'!$A$2:$A$246,0))</f>
        <v>0.2701926092917406</v>
      </c>
      <c r="E5209" s="32">
        <f t="shared" si="81"/>
        <v>0.6079333709064163</v>
      </c>
    </row>
    <row r="5210" spans="1:5" x14ac:dyDescent="0.25">
      <c r="A5210" s="17">
        <v>347</v>
      </c>
      <c r="B5210" s="31">
        <v>55288</v>
      </c>
      <c r="C5210" s="32">
        <f>INDEX('Input Data'!$B:$B,A5210)/2+IF(A5210&lt;&gt;A5211,100,0)</f>
        <v>2.25</v>
      </c>
      <c r="D5210" s="33">
        <f>INDEX('ZCB Curve - Payment Dates'!$D$2:$D$246,MATCH(B5210,'ZCB Curve - Payment Dates'!$A$2:$A$246,0))</f>
        <v>0.26335484985695851</v>
      </c>
      <c r="E5210" s="32">
        <f t="shared" si="81"/>
        <v>0.59254841217815668</v>
      </c>
    </row>
    <row r="5211" spans="1:5" x14ac:dyDescent="0.25">
      <c r="A5211" s="17">
        <v>347</v>
      </c>
      <c r="B5211" s="31">
        <v>55472</v>
      </c>
      <c r="C5211" s="32">
        <f>INDEX('Input Data'!$B:$B,A5211)/2+IF(A5211&lt;&gt;A5212,100,0)</f>
        <v>2.25</v>
      </c>
      <c r="D5211" s="33">
        <f>INDEX('ZCB Curve - Payment Dates'!$D$2:$D$246,MATCH(B5211,'ZCB Curve - Payment Dates'!$A$2:$A$246,0))</f>
        <v>0.25672095505458636</v>
      </c>
      <c r="E5211" s="32">
        <f t="shared" si="81"/>
        <v>0.57762214887281926</v>
      </c>
    </row>
    <row r="5212" spans="1:5" x14ac:dyDescent="0.25">
      <c r="A5212" s="17">
        <v>347</v>
      </c>
      <c r="B5212" s="31">
        <v>55654</v>
      </c>
      <c r="C5212" s="32">
        <f>INDEX('Input Data'!$B:$B,A5212)/2+IF(A5212&lt;&gt;A5213,100,0)</f>
        <v>2.25</v>
      </c>
      <c r="D5212" s="33">
        <f>INDEX('ZCB Curve - Payment Dates'!$D$2:$D$246,MATCH(B5212,'ZCB Curve - Payment Dates'!$A$2:$A$246,0))</f>
        <v>0.25046362869454364</v>
      </c>
      <c r="E5212" s="32">
        <f t="shared" si="81"/>
        <v>0.56354316456272313</v>
      </c>
    </row>
    <row r="5213" spans="1:5" x14ac:dyDescent="0.25">
      <c r="A5213" s="17">
        <v>347</v>
      </c>
      <c r="B5213" s="31">
        <v>55838</v>
      </c>
      <c r="C5213" s="32">
        <f>INDEX('Input Data'!$B:$B,A5213)/2+IF(A5213&lt;&gt;A5214,100,0)</f>
        <v>2.25</v>
      </c>
      <c r="D5213" s="33">
        <f>INDEX('ZCB Curve - Payment Dates'!$D$2:$D$246,MATCH(B5213,'ZCB Curve - Payment Dates'!$A$2:$A$246,0))</f>
        <v>0.24443458292740508</v>
      </c>
      <c r="E5213" s="32">
        <f t="shared" si="81"/>
        <v>0.54997781158666148</v>
      </c>
    </row>
    <row r="5214" spans="1:5" x14ac:dyDescent="0.25">
      <c r="A5214" s="17">
        <v>347</v>
      </c>
      <c r="B5214" s="31">
        <v>56019</v>
      </c>
      <c r="C5214" s="32">
        <f>INDEX('Input Data'!$B:$B,A5214)/2+IF(A5214&lt;&gt;A5215,100,0)</f>
        <v>2.25</v>
      </c>
      <c r="D5214" s="33">
        <f>INDEX('ZCB Curve - Payment Dates'!$D$2:$D$246,MATCH(B5214,'ZCB Curve - Payment Dates'!$A$2:$A$246,0))</f>
        <v>0.23878540660340086</v>
      </c>
      <c r="E5214" s="32">
        <f t="shared" si="81"/>
        <v>0.53726716485765191</v>
      </c>
    </row>
    <row r="5215" spans="1:5" x14ac:dyDescent="0.25">
      <c r="A5215" s="17">
        <v>347</v>
      </c>
      <c r="B5215" s="31">
        <v>56203</v>
      </c>
      <c r="C5215" s="32">
        <f>INDEX('Input Data'!$B:$B,A5215)/2+IF(A5215&lt;&gt;A5216,100,0)</f>
        <v>2.25</v>
      </c>
      <c r="D5215" s="33">
        <f>INDEX('ZCB Curve - Payment Dates'!$D$2:$D$246,MATCH(B5215,'ZCB Curve - Payment Dates'!$A$2:$A$246,0))</f>
        <v>0.23331934656757974</v>
      </c>
      <c r="E5215" s="32">
        <f t="shared" si="81"/>
        <v>0.52496852977705444</v>
      </c>
    </row>
    <row r="5216" spans="1:5" x14ac:dyDescent="0.25">
      <c r="A5216" s="17">
        <v>347</v>
      </c>
      <c r="B5216" s="31">
        <v>56384</v>
      </c>
      <c r="C5216" s="32">
        <f>INDEX('Input Data'!$B:$B,A5216)/2+IF(A5216&lt;&gt;A5217,100,0)</f>
        <v>2.25</v>
      </c>
      <c r="D5216" s="33">
        <f>INDEX('ZCB Curve - Payment Dates'!$D$2:$D$246,MATCH(B5216,'ZCB Curve - Payment Dates'!$A$2:$A$246,0))</f>
        <v>0.22820470703897541</v>
      </c>
      <c r="E5216" s="32">
        <f t="shared" si="81"/>
        <v>0.51346059083769469</v>
      </c>
    </row>
    <row r="5217" spans="1:5" x14ac:dyDescent="0.25">
      <c r="A5217" s="17">
        <v>347</v>
      </c>
      <c r="B5217" s="31">
        <v>56568</v>
      </c>
      <c r="C5217" s="32">
        <f>INDEX('Input Data'!$B:$B,A5217)/2+IF(A5217&lt;&gt;A5218,100,0)</f>
        <v>102.25</v>
      </c>
      <c r="D5217" s="33">
        <f>INDEX('ZCB Curve - Payment Dates'!$D$2:$D$246,MATCH(B5217,'ZCB Curve - Payment Dates'!$A$2:$A$246,0))</f>
        <v>0.22326283085791943</v>
      </c>
      <c r="E5217" s="32">
        <f t="shared" si="81"/>
        <v>22.828624455222261</v>
      </c>
    </row>
    <row r="5218" spans="1:5" x14ac:dyDescent="0.25">
      <c r="A5218" s="17">
        <v>348</v>
      </c>
      <c r="B5218" s="31">
        <v>46433</v>
      </c>
      <c r="C5218" s="32">
        <f>INDEX('Input Data'!$B:$B,A5218)/2+IF(A5218&lt;&gt;A5219,100,0)</f>
        <v>2.3125</v>
      </c>
      <c r="D5218" s="33">
        <f>INDEX('ZCB Curve - Payment Dates'!$D$2:$D$246,MATCH(B5218,'ZCB Curve - Payment Dates'!$A$2:$A$246,0))</f>
        <v>0.98242671792446301</v>
      </c>
      <c r="E5218" s="32">
        <f t="shared" si="81"/>
        <v>2.2718617852003207</v>
      </c>
    </row>
    <row r="5219" spans="1:5" x14ac:dyDescent="0.25">
      <c r="A5219" s="17">
        <v>348</v>
      </c>
      <c r="B5219" s="31">
        <v>46614</v>
      </c>
      <c r="C5219" s="32">
        <f>INDEX('Input Data'!$B:$B,A5219)/2+IF(A5219&lt;&gt;A5220,100,0)</f>
        <v>2.3125</v>
      </c>
      <c r="D5219" s="33">
        <f>INDEX('ZCB Curve - Payment Dates'!$D$2:$D$246,MATCH(B5219,'ZCB Curve - Payment Dates'!$A$2:$A$246,0))</f>
        <v>0.96187948164765535</v>
      </c>
      <c r="E5219" s="32">
        <f t="shared" si="81"/>
        <v>2.2243463013102032</v>
      </c>
    </row>
    <row r="5220" spans="1:5" x14ac:dyDescent="0.25">
      <c r="A5220" s="17">
        <v>348</v>
      </c>
      <c r="B5220" s="31">
        <v>46798</v>
      </c>
      <c r="C5220" s="32">
        <f>INDEX('Input Data'!$B:$B,A5220)/2+IF(A5220&lt;&gt;A5221,100,0)</f>
        <v>2.3125</v>
      </c>
      <c r="D5220" s="33">
        <f>INDEX('ZCB Curve - Payment Dates'!$D$2:$D$246,MATCH(B5220,'ZCB Curve - Payment Dates'!$A$2:$A$246,0))</f>
        <v>0.94049096132648802</v>
      </c>
      <c r="E5220" s="32">
        <f t="shared" si="81"/>
        <v>2.1748853480675034</v>
      </c>
    </row>
    <row r="5221" spans="1:5" x14ac:dyDescent="0.25">
      <c r="A5221" s="17">
        <v>348</v>
      </c>
      <c r="B5221" s="31">
        <v>46980</v>
      </c>
      <c r="C5221" s="32">
        <f>INDEX('Input Data'!$B:$B,A5221)/2+IF(A5221&lt;&gt;A5222,100,0)</f>
        <v>2.3125</v>
      </c>
      <c r="D5221" s="33">
        <f>INDEX('ZCB Curve - Payment Dates'!$D$2:$D$246,MATCH(B5221,'ZCB Curve - Payment Dates'!$A$2:$A$246,0))</f>
        <v>0.91931844130238327</v>
      </c>
      <c r="E5221" s="32">
        <f t="shared" si="81"/>
        <v>2.1259238955117614</v>
      </c>
    </row>
    <row r="5222" spans="1:5" x14ac:dyDescent="0.25">
      <c r="A5222" s="17">
        <v>348</v>
      </c>
      <c r="B5222" s="31">
        <v>47164</v>
      </c>
      <c r="C5222" s="32">
        <f>INDEX('Input Data'!$B:$B,A5222)/2+IF(A5222&lt;&gt;A5223,100,0)</f>
        <v>2.3125</v>
      </c>
      <c r="D5222" s="33">
        <f>INDEX('ZCB Curve - Payment Dates'!$D$2:$D$246,MATCH(B5222,'ZCB Curve - Payment Dates'!$A$2:$A$246,0))</f>
        <v>0.89817430058086534</v>
      </c>
      <c r="E5222" s="32">
        <f t="shared" si="81"/>
        <v>2.0770280700932511</v>
      </c>
    </row>
    <row r="5223" spans="1:5" x14ac:dyDescent="0.25">
      <c r="A5223" s="17">
        <v>348</v>
      </c>
      <c r="B5223" s="31">
        <v>47345</v>
      </c>
      <c r="C5223" s="32">
        <f>INDEX('Input Data'!$B:$B,A5223)/2+IF(A5223&lt;&gt;A5224,100,0)</f>
        <v>2.3125</v>
      </c>
      <c r="D5223" s="33">
        <f>INDEX('ZCB Curve - Payment Dates'!$D$2:$D$246,MATCH(B5223,'ZCB Curve - Payment Dates'!$A$2:$A$246,0))</f>
        <v>0.87778421628860481</v>
      </c>
      <c r="E5223" s="32">
        <f t="shared" si="81"/>
        <v>2.0298760001673988</v>
      </c>
    </row>
    <row r="5224" spans="1:5" x14ac:dyDescent="0.25">
      <c r="A5224" s="17">
        <v>348</v>
      </c>
      <c r="B5224" s="31">
        <v>47529</v>
      </c>
      <c r="C5224" s="32">
        <f>INDEX('Input Data'!$B:$B,A5224)/2+IF(A5224&lt;&gt;A5225,100,0)</f>
        <v>2.3125</v>
      </c>
      <c r="D5224" s="33">
        <f>INDEX('ZCB Curve - Payment Dates'!$D$2:$D$246,MATCH(B5224,'ZCB Curve - Payment Dates'!$A$2:$A$246,0))</f>
        <v>0.85751015570959666</v>
      </c>
      <c r="E5224" s="32">
        <f t="shared" si="81"/>
        <v>1.9829922350784424</v>
      </c>
    </row>
    <row r="5225" spans="1:5" x14ac:dyDescent="0.25">
      <c r="A5225" s="17">
        <v>348</v>
      </c>
      <c r="B5225" s="31">
        <v>47710</v>
      </c>
      <c r="C5225" s="32">
        <f>INDEX('Input Data'!$B:$B,A5225)/2+IF(A5225&lt;&gt;A5226,100,0)</f>
        <v>2.3125</v>
      </c>
      <c r="D5225" s="33">
        <f>INDEX('ZCB Curve - Payment Dates'!$D$2:$D$246,MATCH(B5225,'ZCB Curve - Payment Dates'!$A$2:$A$246,0))</f>
        <v>0.83802423748211174</v>
      </c>
      <c r="E5225" s="32">
        <f t="shared" si="81"/>
        <v>1.9379310491773833</v>
      </c>
    </row>
    <row r="5226" spans="1:5" x14ac:dyDescent="0.25">
      <c r="A5226" s="17">
        <v>348</v>
      </c>
      <c r="B5226" s="31">
        <v>47894</v>
      </c>
      <c r="C5226" s="32">
        <f>INDEX('Input Data'!$B:$B,A5226)/2+IF(A5226&lt;&gt;A5227,100,0)</f>
        <v>2.3125</v>
      </c>
      <c r="D5226" s="33">
        <f>INDEX('ZCB Curve - Payment Dates'!$D$2:$D$246,MATCH(B5226,'ZCB Curve - Payment Dates'!$A$2:$A$246,0))</f>
        <v>0.8186305474741673</v>
      </c>
      <c r="E5226" s="32">
        <f t="shared" si="81"/>
        <v>1.8930831410340119</v>
      </c>
    </row>
    <row r="5227" spans="1:5" x14ac:dyDescent="0.25">
      <c r="A5227" s="17">
        <v>348</v>
      </c>
      <c r="B5227" s="31">
        <v>48075</v>
      </c>
      <c r="C5227" s="32">
        <f>INDEX('Input Data'!$B:$B,A5227)/2+IF(A5227&lt;&gt;A5228,100,0)</f>
        <v>2.3125</v>
      </c>
      <c r="D5227" s="33">
        <f>INDEX('ZCB Curve - Payment Dates'!$D$2:$D$246,MATCH(B5227,'ZCB Curve - Payment Dates'!$A$2:$A$246,0))</f>
        <v>0.7999252334775927</v>
      </c>
      <c r="E5227" s="32">
        <f t="shared" si="81"/>
        <v>1.849827102416933</v>
      </c>
    </row>
    <row r="5228" spans="1:5" x14ac:dyDescent="0.25">
      <c r="A5228" s="17">
        <v>348</v>
      </c>
      <c r="B5228" s="31">
        <v>48259</v>
      </c>
      <c r="C5228" s="32">
        <f>INDEX('Input Data'!$B:$B,A5228)/2+IF(A5228&lt;&gt;A5229,100,0)</f>
        <v>2.3125</v>
      </c>
      <c r="D5228" s="33">
        <f>INDEX('ZCB Curve - Payment Dates'!$D$2:$D$246,MATCH(B5228,'ZCB Curve - Payment Dates'!$A$2:$A$246,0))</f>
        <v>0.78121887027612602</v>
      </c>
      <c r="E5228" s="32">
        <f t="shared" si="81"/>
        <v>1.8065686375135415</v>
      </c>
    </row>
    <row r="5229" spans="1:5" x14ac:dyDescent="0.25">
      <c r="A5229" s="17">
        <v>348</v>
      </c>
      <c r="B5229" s="31">
        <v>48441</v>
      </c>
      <c r="C5229" s="32">
        <f>INDEX('Input Data'!$B:$B,A5229)/2+IF(A5229&lt;&gt;A5230,100,0)</f>
        <v>2.3125</v>
      </c>
      <c r="D5229" s="33">
        <f>INDEX('ZCB Curve - Payment Dates'!$D$2:$D$246,MATCH(B5229,'ZCB Curve - Payment Dates'!$A$2:$A$246,0))</f>
        <v>0.76298123459017864</v>
      </c>
      <c r="E5229" s="32">
        <f t="shared" si="81"/>
        <v>1.764394104989788</v>
      </c>
    </row>
    <row r="5230" spans="1:5" x14ac:dyDescent="0.25">
      <c r="A5230" s="17">
        <v>348</v>
      </c>
      <c r="B5230" s="31">
        <v>48625</v>
      </c>
      <c r="C5230" s="32">
        <f>INDEX('Input Data'!$B:$B,A5230)/2+IF(A5230&lt;&gt;A5231,100,0)</f>
        <v>2.3125</v>
      </c>
      <c r="D5230" s="33">
        <f>INDEX('ZCB Curve - Payment Dates'!$D$2:$D$246,MATCH(B5230,'ZCB Curve - Payment Dates'!$A$2:$A$246,0))</f>
        <v>0.74476011611938586</v>
      </c>
      <c r="E5230" s="32">
        <f t="shared" si="81"/>
        <v>1.7222577685260798</v>
      </c>
    </row>
    <row r="5231" spans="1:5" x14ac:dyDescent="0.25">
      <c r="A5231" s="17">
        <v>348</v>
      </c>
      <c r="B5231" s="31">
        <v>48806</v>
      </c>
      <c r="C5231" s="32">
        <f>INDEX('Input Data'!$B:$B,A5231)/2+IF(A5231&lt;&gt;A5232,100,0)</f>
        <v>2.3125</v>
      </c>
      <c r="D5231" s="33">
        <f>INDEX('ZCB Curve - Payment Dates'!$D$2:$D$246,MATCH(B5231,'ZCB Curve - Payment Dates'!$A$2:$A$246,0))</f>
        <v>0.72701302496114584</v>
      </c>
      <c r="E5231" s="32">
        <f t="shared" si="81"/>
        <v>1.6812176202226496</v>
      </c>
    </row>
    <row r="5232" spans="1:5" x14ac:dyDescent="0.25">
      <c r="A5232" s="17">
        <v>348</v>
      </c>
      <c r="B5232" s="31">
        <v>48990</v>
      </c>
      <c r="C5232" s="32">
        <f>INDEX('Input Data'!$B:$B,A5232)/2+IF(A5232&lt;&gt;A5233,100,0)</f>
        <v>2.3125</v>
      </c>
      <c r="D5232" s="33">
        <f>INDEX('ZCB Curve - Payment Dates'!$D$2:$D$246,MATCH(B5232,'ZCB Curve - Payment Dates'!$A$2:$A$246,0))</f>
        <v>0.70912647031380449</v>
      </c>
      <c r="E5232" s="32">
        <f t="shared" si="81"/>
        <v>1.6398549626006729</v>
      </c>
    </row>
    <row r="5233" spans="1:5" x14ac:dyDescent="0.25">
      <c r="A5233" s="17">
        <v>348</v>
      </c>
      <c r="B5233" s="31">
        <v>49171</v>
      </c>
      <c r="C5233" s="32">
        <f>INDEX('Input Data'!$B:$B,A5233)/2+IF(A5233&lt;&gt;A5234,100,0)</f>
        <v>2.3125</v>
      </c>
      <c r="D5233" s="33">
        <f>INDEX('ZCB Curve - Payment Dates'!$D$2:$D$246,MATCH(B5233,'ZCB Curve - Payment Dates'!$A$2:$A$246,0))</f>
        <v>0.6916661505723215</v>
      </c>
      <c r="E5233" s="32">
        <f t="shared" si="81"/>
        <v>1.5994779731984934</v>
      </c>
    </row>
    <row r="5234" spans="1:5" x14ac:dyDescent="0.25">
      <c r="A5234" s="17">
        <v>348</v>
      </c>
      <c r="B5234" s="31">
        <v>49355</v>
      </c>
      <c r="C5234" s="32">
        <f>INDEX('Input Data'!$B:$B,A5234)/2+IF(A5234&lt;&gt;A5235,100,0)</f>
        <v>2.3125</v>
      </c>
      <c r="D5234" s="33">
        <f>INDEX('ZCB Curve - Payment Dates'!$D$2:$D$246,MATCH(B5234,'ZCB Curve - Payment Dates'!$A$2:$A$246,0))</f>
        <v>0.674047377898778</v>
      </c>
      <c r="E5234" s="32">
        <f t="shared" si="81"/>
        <v>1.558734561390924</v>
      </c>
    </row>
    <row r="5235" spans="1:5" x14ac:dyDescent="0.25">
      <c r="A5235" s="17">
        <v>348</v>
      </c>
      <c r="B5235" s="31">
        <v>49536</v>
      </c>
      <c r="C5235" s="32">
        <f>INDEX('Input Data'!$B:$B,A5235)/2+IF(A5235&lt;&gt;A5236,100,0)</f>
        <v>2.3125</v>
      </c>
      <c r="D5235" s="33">
        <f>INDEX('ZCB Curve - Payment Dates'!$D$2:$D$246,MATCH(B5235,'ZCB Curve - Payment Dates'!$A$2:$A$246,0))</f>
        <v>0.65684432300638129</v>
      </c>
      <c r="E5235" s="32">
        <f t="shared" si="81"/>
        <v>1.5189524969522568</v>
      </c>
    </row>
    <row r="5236" spans="1:5" x14ac:dyDescent="0.25">
      <c r="A5236" s="17">
        <v>348</v>
      </c>
      <c r="B5236" s="31">
        <v>49720</v>
      </c>
      <c r="C5236" s="32">
        <f>INDEX('Input Data'!$B:$B,A5236)/2+IF(A5236&lt;&gt;A5237,100,0)</f>
        <v>2.3125</v>
      </c>
      <c r="D5236" s="33">
        <f>INDEX('ZCB Curve - Payment Dates'!$D$2:$D$246,MATCH(B5236,'ZCB Curve - Payment Dates'!$A$2:$A$246,0))</f>
        <v>0.63949604524993764</v>
      </c>
      <c r="E5236" s="32">
        <f t="shared" si="81"/>
        <v>1.4788346046404808</v>
      </c>
    </row>
    <row r="5237" spans="1:5" x14ac:dyDescent="0.25">
      <c r="A5237" s="17">
        <v>348</v>
      </c>
      <c r="B5237" s="31">
        <v>49902</v>
      </c>
      <c r="C5237" s="32">
        <f>INDEX('Input Data'!$B:$B,A5237)/2+IF(A5237&lt;&gt;A5238,100,0)</f>
        <v>2.3125</v>
      </c>
      <c r="D5237" s="33">
        <f>INDEX('ZCB Curve - Payment Dates'!$D$2:$D$246,MATCH(B5237,'ZCB Curve - Payment Dates'!$A$2:$A$246,0))</f>
        <v>0.62248862376822711</v>
      </c>
      <c r="E5237" s="32">
        <f t="shared" si="81"/>
        <v>1.4395049424640252</v>
      </c>
    </row>
    <row r="5238" spans="1:5" x14ac:dyDescent="0.25">
      <c r="A5238" s="17">
        <v>348</v>
      </c>
      <c r="B5238" s="31">
        <v>50086</v>
      </c>
      <c r="C5238" s="32">
        <f>INDEX('Input Data'!$B:$B,A5238)/2+IF(A5238&lt;&gt;A5239,100,0)</f>
        <v>2.3125</v>
      </c>
      <c r="D5238" s="33">
        <f>INDEX('ZCB Curve - Payment Dates'!$D$2:$D$246,MATCH(B5238,'ZCB Curve - Payment Dates'!$A$2:$A$246,0))</f>
        <v>0.60546490876014969</v>
      </c>
      <c r="E5238" s="32">
        <f t="shared" si="81"/>
        <v>1.4001376015078462</v>
      </c>
    </row>
    <row r="5239" spans="1:5" x14ac:dyDescent="0.25">
      <c r="A5239" s="17">
        <v>348</v>
      </c>
      <c r="B5239" s="31">
        <v>50267</v>
      </c>
      <c r="C5239" s="32">
        <f>INDEX('Input Data'!$B:$B,A5239)/2+IF(A5239&lt;&gt;A5240,100,0)</f>
        <v>2.3125</v>
      </c>
      <c r="D5239" s="33">
        <f>INDEX('ZCB Curve - Payment Dates'!$D$2:$D$246,MATCH(B5239,'ZCB Curve - Payment Dates'!$A$2:$A$246,0))</f>
        <v>0.58890683803346977</v>
      </c>
      <c r="E5239" s="32">
        <f t="shared" si="81"/>
        <v>1.3618470629523989</v>
      </c>
    </row>
    <row r="5240" spans="1:5" x14ac:dyDescent="0.25">
      <c r="A5240" s="17">
        <v>348</v>
      </c>
      <c r="B5240" s="31">
        <v>50451</v>
      </c>
      <c r="C5240" s="32">
        <f>INDEX('Input Data'!$B:$B,A5240)/2+IF(A5240&lt;&gt;A5241,100,0)</f>
        <v>2.3125</v>
      </c>
      <c r="D5240" s="33">
        <f>INDEX('ZCB Curve - Payment Dates'!$D$2:$D$246,MATCH(B5240,'ZCB Curve - Payment Dates'!$A$2:$A$246,0))</f>
        <v>0.57228983695479263</v>
      </c>
      <c r="E5240" s="32">
        <f t="shared" si="81"/>
        <v>1.323420247957958</v>
      </c>
    </row>
    <row r="5241" spans="1:5" x14ac:dyDescent="0.25">
      <c r="A5241" s="17">
        <v>348</v>
      </c>
      <c r="B5241" s="31">
        <v>50632</v>
      </c>
      <c r="C5241" s="32">
        <f>INDEX('Input Data'!$B:$B,A5241)/2+IF(A5241&lt;&gt;A5242,100,0)</f>
        <v>2.3125</v>
      </c>
      <c r="D5241" s="33">
        <f>INDEX('ZCB Curve - Payment Dates'!$D$2:$D$246,MATCH(B5241,'ZCB Curve - Payment Dates'!$A$2:$A$246,0))</f>
        <v>0.55617795699202288</v>
      </c>
      <c r="E5241" s="32">
        <f t="shared" si="81"/>
        <v>1.2861615255440528</v>
      </c>
    </row>
    <row r="5242" spans="1:5" x14ac:dyDescent="0.25">
      <c r="A5242" s="17">
        <v>348</v>
      </c>
      <c r="B5242" s="31">
        <v>50816</v>
      </c>
      <c r="C5242" s="32">
        <f>INDEX('Input Data'!$B:$B,A5242)/2+IF(A5242&lt;&gt;A5243,100,0)</f>
        <v>2.3125</v>
      </c>
      <c r="D5242" s="33">
        <f>INDEX('ZCB Curve - Payment Dates'!$D$2:$D$246,MATCH(B5242,'ZCB Curve - Payment Dates'!$A$2:$A$246,0))</f>
        <v>0.54006240951211237</v>
      </c>
      <c r="E5242" s="32">
        <f t="shared" si="81"/>
        <v>1.2488943219967599</v>
      </c>
    </row>
    <row r="5243" spans="1:5" x14ac:dyDescent="0.25">
      <c r="A5243" s="17">
        <v>348</v>
      </c>
      <c r="B5243" s="31">
        <v>50997</v>
      </c>
      <c r="C5243" s="32">
        <f>INDEX('Input Data'!$B:$B,A5243)/2+IF(A5243&lt;&gt;A5244,100,0)</f>
        <v>2.3125</v>
      </c>
      <c r="D5243" s="33">
        <f>INDEX('ZCB Curve - Payment Dates'!$D$2:$D$246,MATCH(B5243,'ZCB Curve - Payment Dates'!$A$2:$A$246,0))</f>
        <v>0.52449040173194583</v>
      </c>
      <c r="E5243" s="32">
        <f t="shared" si="81"/>
        <v>1.2128840540051247</v>
      </c>
    </row>
    <row r="5244" spans="1:5" x14ac:dyDescent="0.25">
      <c r="A5244" s="17">
        <v>348</v>
      </c>
      <c r="B5244" s="31">
        <v>51181</v>
      </c>
      <c r="C5244" s="32">
        <f>INDEX('Input Data'!$B:$B,A5244)/2+IF(A5244&lt;&gt;A5245,100,0)</f>
        <v>2.3125</v>
      </c>
      <c r="D5244" s="33">
        <f>INDEX('ZCB Curve - Payment Dates'!$D$2:$D$246,MATCH(B5244,'ZCB Curve - Payment Dates'!$A$2:$A$246,0))</f>
        <v>0.5089691698468306</v>
      </c>
      <c r="E5244" s="32">
        <f t="shared" si="81"/>
        <v>1.1769912052707958</v>
      </c>
    </row>
    <row r="5245" spans="1:5" x14ac:dyDescent="0.25">
      <c r="A5245" s="17">
        <v>348</v>
      </c>
      <c r="B5245" s="31">
        <v>51363</v>
      </c>
      <c r="C5245" s="32">
        <f>INDEX('Input Data'!$B:$B,A5245)/2+IF(A5245&lt;&gt;A5246,100,0)</f>
        <v>2.3125</v>
      </c>
      <c r="D5245" s="33">
        <f>INDEX('ZCB Curve - Payment Dates'!$D$2:$D$246,MATCH(B5245,'ZCB Curve - Payment Dates'!$A$2:$A$246,0))</f>
        <v>0.49394036022330806</v>
      </c>
      <c r="E5245" s="32">
        <f t="shared" si="81"/>
        <v>1.1422370830163999</v>
      </c>
    </row>
    <row r="5246" spans="1:5" x14ac:dyDescent="0.25">
      <c r="A5246" s="17">
        <v>348</v>
      </c>
      <c r="B5246" s="31">
        <v>51547</v>
      </c>
      <c r="C5246" s="32">
        <f>INDEX('Input Data'!$B:$B,A5246)/2+IF(A5246&lt;&gt;A5247,100,0)</f>
        <v>2.3125</v>
      </c>
      <c r="D5246" s="33">
        <f>INDEX('ZCB Curve - Payment Dates'!$D$2:$D$246,MATCH(B5246,'ZCB Curve - Payment Dates'!$A$2:$A$246,0))</f>
        <v>0.47909718957588998</v>
      </c>
      <c r="E5246" s="32">
        <f t="shared" si="81"/>
        <v>1.1079122508942456</v>
      </c>
    </row>
    <row r="5247" spans="1:5" x14ac:dyDescent="0.25">
      <c r="A5247" s="17">
        <v>348</v>
      </c>
      <c r="B5247" s="31">
        <v>51728</v>
      </c>
      <c r="C5247" s="32">
        <f>INDEX('Input Data'!$B:$B,A5247)/2+IF(A5247&lt;&gt;A5248,100,0)</f>
        <v>2.3125</v>
      </c>
      <c r="D5247" s="33">
        <f>INDEX('ZCB Curve - Payment Dates'!$D$2:$D$246,MATCH(B5247,'ZCB Curve - Payment Dates'!$A$2:$A$246,0))</f>
        <v>0.46485329459616059</v>
      </c>
      <c r="E5247" s="32">
        <f t="shared" si="81"/>
        <v>1.0749732437536215</v>
      </c>
    </row>
    <row r="5248" spans="1:5" x14ac:dyDescent="0.25">
      <c r="A5248" s="17">
        <v>348</v>
      </c>
      <c r="B5248" s="31">
        <v>51912</v>
      </c>
      <c r="C5248" s="32">
        <f>INDEX('Input Data'!$B:$B,A5248)/2+IF(A5248&lt;&gt;A5249,100,0)</f>
        <v>2.3125</v>
      </c>
      <c r="D5248" s="33">
        <f>INDEX('ZCB Curve - Payment Dates'!$D$2:$D$246,MATCH(B5248,'ZCB Curve - Payment Dates'!$A$2:$A$246,0))</f>
        <v>0.45075168915212815</v>
      </c>
      <c r="E5248" s="32">
        <f t="shared" si="81"/>
        <v>1.0423632811642964</v>
      </c>
    </row>
    <row r="5249" spans="1:5" x14ac:dyDescent="0.25">
      <c r="A5249" s="17">
        <v>348</v>
      </c>
      <c r="B5249" s="31">
        <v>52093</v>
      </c>
      <c r="C5249" s="32">
        <f>INDEX('Input Data'!$B:$B,A5249)/2+IF(A5249&lt;&gt;A5250,100,0)</f>
        <v>2.3125</v>
      </c>
      <c r="D5249" s="33">
        <f>INDEX('ZCB Curve - Payment Dates'!$D$2:$D$246,MATCH(B5249,'ZCB Curve - Payment Dates'!$A$2:$A$246,0))</f>
        <v>0.43726259018094221</v>
      </c>
      <c r="E5249" s="32">
        <f t="shared" si="81"/>
        <v>1.0111697397934289</v>
      </c>
    </row>
    <row r="5250" spans="1:5" x14ac:dyDescent="0.25">
      <c r="A5250" s="17">
        <v>348</v>
      </c>
      <c r="B5250" s="31">
        <v>52277</v>
      </c>
      <c r="C5250" s="32">
        <f>INDEX('Input Data'!$B:$B,A5250)/2+IF(A5250&lt;&gt;A5251,100,0)</f>
        <v>2.3125</v>
      </c>
      <c r="D5250" s="33">
        <f>INDEX('ZCB Curve - Payment Dates'!$D$2:$D$246,MATCH(B5250,'ZCB Curve - Payment Dates'!$A$2:$A$246,0))</f>
        <v>0.4239492285351204</v>
      </c>
      <c r="E5250" s="32">
        <f t="shared" ref="E5250:E5313" si="82">C5250*D5250</f>
        <v>0.98038259098746594</v>
      </c>
    </row>
    <row r="5251" spans="1:5" x14ac:dyDescent="0.25">
      <c r="A5251" s="17">
        <v>348</v>
      </c>
      <c r="B5251" s="31">
        <v>52458</v>
      </c>
      <c r="C5251" s="32">
        <f>INDEX('Input Data'!$B:$B,A5251)/2+IF(A5251&lt;&gt;A5252,100,0)</f>
        <v>2.3125</v>
      </c>
      <c r="D5251" s="33">
        <f>INDEX('ZCB Curve - Payment Dates'!$D$2:$D$246,MATCH(B5251,'ZCB Curve - Payment Dates'!$A$2:$A$246,0))</f>
        <v>0.4112516019468152</v>
      </c>
      <c r="E5251" s="32">
        <f t="shared" si="82"/>
        <v>0.95101932950201018</v>
      </c>
    </row>
    <row r="5252" spans="1:5" x14ac:dyDescent="0.25">
      <c r="A5252" s="17">
        <v>348</v>
      </c>
      <c r="B5252" s="31">
        <v>52642</v>
      </c>
      <c r="C5252" s="32">
        <f>INDEX('Input Data'!$B:$B,A5252)/2+IF(A5252&lt;&gt;A5253,100,0)</f>
        <v>2.3125</v>
      </c>
      <c r="D5252" s="33">
        <f>INDEX('ZCB Curve - Payment Dates'!$D$2:$D$246,MATCH(B5252,'ZCB Curve - Payment Dates'!$A$2:$A$246,0))</f>
        <v>0.39875459879352759</v>
      </c>
      <c r="E5252" s="32">
        <f t="shared" si="82"/>
        <v>0.92212000971003261</v>
      </c>
    </row>
    <row r="5253" spans="1:5" x14ac:dyDescent="0.25">
      <c r="A5253" s="17">
        <v>348</v>
      </c>
      <c r="B5253" s="31">
        <v>52824</v>
      </c>
      <c r="C5253" s="32">
        <f>INDEX('Input Data'!$B:$B,A5253)/2+IF(A5253&lt;&gt;A5254,100,0)</f>
        <v>2.3125</v>
      </c>
      <c r="D5253" s="33">
        <f>INDEX('ZCB Curve - Payment Dates'!$D$2:$D$246,MATCH(B5253,'ZCB Curve - Payment Dates'!$A$2:$A$246,0))</f>
        <v>0.38680384560622083</v>
      </c>
      <c r="E5253" s="32">
        <f t="shared" si="82"/>
        <v>0.89448389296438569</v>
      </c>
    </row>
    <row r="5254" spans="1:5" x14ac:dyDescent="0.25">
      <c r="A5254" s="17">
        <v>348</v>
      </c>
      <c r="B5254" s="31">
        <v>53008</v>
      </c>
      <c r="C5254" s="32">
        <f>INDEX('Input Data'!$B:$B,A5254)/2+IF(A5254&lt;&gt;A5255,100,0)</f>
        <v>2.3125</v>
      </c>
      <c r="D5254" s="33">
        <f>INDEX('ZCB Curve - Payment Dates'!$D$2:$D$246,MATCH(B5254,'ZCB Curve - Payment Dates'!$A$2:$A$246,0))</f>
        <v>0.37513648791915083</v>
      </c>
      <c r="E5254" s="32">
        <f t="shared" si="82"/>
        <v>0.86750312831303633</v>
      </c>
    </row>
    <row r="5255" spans="1:5" x14ac:dyDescent="0.25">
      <c r="A5255" s="17">
        <v>348</v>
      </c>
      <c r="B5255" s="31">
        <v>53189</v>
      </c>
      <c r="C5255" s="32">
        <f>INDEX('Input Data'!$B:$B,A5255)/2+IF(A5255&lt;&gt;A5256,100,0)</f>
        <v>2.3125</v>
      </c>
      <c r="D5255" s="33">
        <f>INDEX('ZCB Curve - Payment Dates'!$D$2:$D$246,MATCH(B5255,'ZCB Curve - Payment Dates'!$A$2:$A$246,0))</f>
        <v>0.36406533257851953</v>
      </c>
      <c r="E5255" s="32">
        <f t="shared" si="82"/>
        <v>0.84190108158782639</v>
      </c>
    </row>
    <row r="5256" spans="1:5" x14ac:dyDescent="0.25">
      <c r="A5256" s="17">
        <v>348</v>
      </c>
      <c r="B5256" s="31">
        <v>53373</v>
      </c>
      <c r="C5256" s="32">
        <f>INDEX('Input Data'!$B:$B,A5256)/2+IF(A5256&lt;&gt;A5257,100,0)</f>
        <v>2.3125</v>
      </c>
      <c r="D5256" s="33">
        <f>INDEX('ZCB Curve - Payment Dates'!$D$2:$D$246,MATCH(B5256,'ZCB Curve - Payment Dates'!$A$2:$A$246,0))</f>
        <v>0.35322166892031259</v>
      </c>
      <c r="E5256" s="32">
        <f t="shared" si="82"/>
        <v>0.81682510937822284</v>
      </c>
    </row>
    <row r="5257" spans="1:5" x14ac:dyDescent="0.25">
      <c r="A5257" s="17">
        <v>348</v>
      </c>
      <c r="B5257" s="31">
        <v>53554</v>
      </c>
      <c r="C5257" s="32">
        <f>INDEX('Input Data'!$B:$B,A5257)/2+IF(A5257&lt;&gt;A5258,100,0)</f>
        <v>2.3125</v>
      </c>
      <c r="D5257" s="33">
        <f>INDEX('ZCB Curve - Payment Dates'!$D$2:$D$246,MATCH(B5257,'ZCB Curve - Payment Dates'!$A$2:$A$246,0))</f>
        <v>0.34295436226619208</v>
      </c>
      <c r="E5257" s="32">
        <f t="shared" si="82"/>
        <v>0.79308196274056919</v>
      </c>
    </row>
    <row r="5258" spans="1:5" x14ac:dyDescent="0.25">
      <c r="A5258" s="17">
        <v>348</v>
      </c>
      <c r="B5258" s="31">
        <v>53738</v>
      </c>
      <c r="C5258" s="32">
        <f>INDEX('Input Data'!$B:$B,A5258)/2+IF(A5258&lt;&gt;A5259,100,0)</f>
        <v>2.3125</v>
      </c>
      <c r="D5258" s="33">
        <f>INDEX('ZCB Curve - Payment Dates'!$D$2:$D$246,MATCH(B5258,'ZCB Curve - Payment Dates'!$A$2:$A$246,0))</f>
        <v>0.33291860450360972</v>
      </c>
      <c r="E5258" s="32">
        <f t="shared" si="82"/>
        <v>0.76987427291459742</v>
      </c>
    </row>
    <row r="5259" spans="1:5" x14ac:dyDescent="0.25">
      <c r="A5259" s="17">
        <v>348</v>
      </c>
      <c r="B5259" s="31">
        <v>53919</v>
      </c>
      <c r="C5259" s="32">
        <f>INDEX('Input Data'!$B:$B,A5259)/2+IF(A5259&lt;&gt;A5260,100,0)</f>
        <v>2.3125</v>
      </c>
      <c r="D5259" s="33">
        <f>INDEX('ZCB Curve - Payment Dates'!$D$2:$D$246,MATCH(B5259,'ZCB Curve - Payment Dates'!$A$2:$A$246,0))</f>
        <v>0.32343468195091313</v>
      </c>
      <c r="E5259" s="32">
        <f t="shared" si="82"/>
        <v>0.7479427020114866</v>
      </c>
    </row>
    <row r="5260" spans="1:5" x14ac:dyDescent="0.25">
      <c r="A5260" s="17">
        <v>348</v>
      </c>
      <c r="B5260" s="31">
        <v>54103</v>
      </c>
      <c r="C5260" s="32">
        <f>INDEX('Input Data'!$B:$B,A5260)/2+IF(A5260&lt;&gt;A5261,100,0)</f>
        <v>2.3125</v>
      </c>
      <c r="D5260" s="33">
        <f>INDEX('ZCB Curve - Payment Dates'!$D$2:$D$246,MATCH(B5260,'ZCB Curve - Payment Dates'!$A$2:$A$246,0))</f>
        <v>0.31418167147949361</v>
      </c>
      <c r="E5260" s="32">
        <f t="shared" si="82"/>
        <v>0.72654511529632892</v>
      </c>
    </row>
    <row r="5261" spans="1:5" x14ac:dyDescent="0.25">
      <c r="A5261" s="17">
        <v>348</v>
      </c>
      <c r="B5261" s="31">
        <v>54285</v>
      </c>
      <c r="C5261" s="32">
        <f>INDEX('Input Data'!$B:$B,A5261)/2+IF(A5261&lt;&gt;A5262,100,0)</f>
        <v>2.3125</v>
      </c>
      <c r="D5261" s="33">
        <f>INDEX('ZCB Curve - Payment Dates'!$D$2:$D$246,MATCH(B5261,'ZCB Curve - Payment Dates'!$A$2:$A$246,0))</f>
        <v>0.30540618878290843</v>
      </c>
      <c r="E5261" s="32">
        <f t="shared" si="82"/>
        <v>0.70625181156047578</v>
      </c>
    </row>
    <row r="5262" spans="1:5" x14ac:dyDescent="0.25">
      <c r="A5262" s="17">
        <v>348</v>
      </c>
      <c r="B5262" s="31">
        <v>54469</v>
      </c>
      <c r="C5262" s="32">
        <f>INDEX('Input Data'!$B:$B,A5262)/2+IF(A5262&lt;&gt;A5263,100,0)</f>
        <v>2.3125</v>
      </c>
      <c r="D5262" s="33">
        <f>INDEX('ZCB Curve - Payment Dates'!$D$2:$D$246,MATCH(B5262,'ZCB Curve - Payment Dates'!$A$2:$A$246,0))</f>
        <v>0.29690423521941833</v>
      </c>
      <c r="E5262" s="32">
        <f t="shared" si="82"/>
        <v>0.68659104394490489</v>
      </c>
    </row>
    <row r="5263" spans="1:5" x14ac:dyDescent="0.25">
      <c r="A5263" s="17">
        <v>348</v>
      </c>
      <c r="B5263" s="31">
        <v>54650</v>
      </c>
      <c r="C5263" s="32">
        <f>INDEX('Input Data'!$B:$B,A5263)/2+IF(A5263&lt;&gt;A5264,100,0)</f>
        <v>2.3125</v>
      </c>
      <c r="D5263" s="33">
        <f>INDEX('ZCB Curve - Payment Dates'!$D$2:$D$246,MATCH(B5263,'ZCB Curve - Payment Dates'!$A$2:$A$246,0))</f>
        <v>0.2888997564491238</v>
      </c>
      <c r="E5263" s="32">
        <f t="shared" si="82"/>
        <v>0.66808068678859878</v>
      </c>
    </row>
    <row r="5264" spans="1:5" x14ac:dyDescent="0.25">
      <c r="A5264" s="17">
        <v>348</v>
      </c>
      <c r="B5264" s="31">
        <v>54834</v>
      </c>
      <c r="C5264" s="32">
        <f>INDEX('Input Data'!$B:$B,A5264)/2+IF(A5264&lt;&gt;A5265,100,0)</f>
        <v>2.3125</v>
      </c>
      <c r="D5264" s="33">
        <f>INDEX('ZCB Curve - Payment Dates'!$D$2:$D$246,MATCH(B5264,'ZCB Curve - Payment Dates'!$A$2:$A$246,0))</f>
        <v>0.28111189964037164</v>
      </c>
      <c r="E5264" s="32">
        <f t="shared" si="82"/>
        <v>0.65007126791835945</v>
      </c>
    </row>
    <row r="5265" spans="1:5" x14ac:dyDescent="0.25">
      <c r="A5265" s="17">
        <v>348</v>
      </c>
      <c r="B5265" s="31">
        <v>55015</v>
      </c>
      <c r="C5265" s="32">
        <f>INDEX('Input Data'!$B:$B,A5265)/2+IF(A5265&lt;&gt;A5266,100,0)</f>
        <v>2.3125</v>
      </c>
      <c r="D5265" s="33">
        <f>INDEX('ZCB Curve - Payment Dates'!$D$2:$D$246,MATCH(B5265,'ZCB Curve - Payment Dates'!$A$2:$A$246,0))</f>
        <v>0.27379046078597996</v>
      </c>
      <c r="E5265" s="32">
        <f t="shared" si="82"/>
        <v>0.63314044056757868</v>
      </c>
    </row>
    <row r="5266" spans="1:5" x14ac:dyDescent="0.25">
      <c r="A5266" s="17">
        <v>348</v>
      </c>
      <c r="B5266" s="31">
        <v>55199</v>
      </c>
      <c r="C5266" s="32">
        <f>INDEX('Input Data'!$B:$B,A5266)/2+IF(A5266&lt;&gt;A5267,100,0)</f>
        <v>2.3125</v>
      </c>
      <c r="D5266" s="33">
        <f>INDEX('ZCB Curve - Payment Dates'!$D$2:$D$246,MATCH(B5266,'ZCB Curve - Payment Dates'!$A$2:$A$246,0))</f>
        <v>0.26667724322397307</v>
      </c>
      <c r="E5266" s="32">
        <f t="shared" si="82"/>
        <v>0.61669112495543776</v>
      </c>
    </row>
    <row r="5267" spans="1:5" x14ac:dyDescent="0.25">
      <c r="A5267" s="17">
        <v>348</v>
      </c>
      <c r="B5267" s="31">
        <v>55380</v>
      </c>
      <c r="C5267" s="32">
        <f>INDEX('Input Data'!$B:$B,A5267)/2+IF(A5267&lt;&gt;A5268,100,0)</f>
        <v>2.3125</v>
      </c>
      <c r="D5267" s="33">
        <f>INDEX('ZCB Curve - Payment Dates'!$D$2:$D$246,MATCH(B5267,'ZCB Curve - Payment Dates'!$A$2:$A$246,0))</f>
        <v>0.25999926234228898</v>
      </c>
      <c r="E5267" s="32">
        <f t="shared" si="82"/>
        <v>0.60124829416654324</v>
      </c>
    </row>
    <row r="5268" spans="1:5" x14ac:dyDescent="0.25">
      <c r="A5268" s="17">
        <v>348</v>
      </c>
      <c r="B5268" s="31">
        <v>55564</v>
      </c>
      <c r="C5268" s="32">
        <f>INDEX('Input Data'!$B:$B,A5268)/2+IF(A5268&lt;&gt;A5269,100,0)</f>
        <v>2.3125</v>
      </c>
      <c r="D5268" s="33">
        <f>INDEX('ZCB Curve - Payment Dates'!$D$2:$D$246,MATCH(B5268,'ZCB Curve - Payment Dates'!$A$2:$A$246,0))</f>
        <v>0.25351997596294801</v>
      </c>
      <c r="E5268" s="32">
        <f t="shared" si="82"/>
        <v>0.58626494441431731</v>
      </c>
    </row>
    <row r="5269" spans="1:5" x14ac:dyDescent="0.25">
      <c r="A5269" s="17">
        <v>348</v>
      </c>
      <c r="B5269" s="31">
        <v>55746</v>
      </c>
      <c r="C5269" s="32">
        <f>INDEX('Input Data'!$B:$B,A5269)/2+IF(A5269&lt;&gt;A5270,100,0)</f>
        <v>2.3125</v>
      </c>
      <c r="D5269" s="33">
        <f>INDEX('ZCB Curve - Payment Dates'!$D$2:$D$246,MATCH(B5269,'ZCB Curve - Payment Dates'!$A$2:$A$246,0))</f>
        <v>0.24741177833471262</v>
      </c>
      <c r="E5269" s="32">
        <f t="shared" si="82"/>
        <v>0.57213973739902291</v>
      </c>
    </row>
    <row r="5270" spans="1:5" x14ac:dyDescent="0.25">
      <c r="A5270" s="17">
        <v>348</v>
      </c>
      <c r="B5270" s="31">
        <v>55930</v>
      </c>
      <c r="C5270" s="32">
        <f>INDEX('Input Data'!$B:$B,A5270)/2+IF(A5270&lt;&gt;A5271,100,0)</f>
        <v>2.3125</v>
      </c>
      <c r="D5270" s="33">
        <f>INDEX('ZCB Curve - Payment Dates'!$D$2:$D$246,MATCH(B5270,'ZCB Curve - Payment Dates'!$A$2:$A$246,0))</f>
        <v>0.24152840552252464</v>
      </c>
      <c r="E5270" s="32">
        <f t="shared" si="82"/>
        <v>0.55853443777083822</v>
      </c>
    </row>
    <row r="5271" spans="1:5" x14ac:dyDescent="0.25">
      <c r="A5271" s="17">
        <v>348</v>
      </c>
      <c r="B5271" s="31">
        <v>56111</v>
      </c>
      <c r="C5271" s="32">
        <f>INDEX('Input Data'!$B:$B,A5271)/2+IF(A5271&lt;&gt;A5272,100,0)</f>
        <v>2.3125</v>
      </c>
      <c r="D5271" s="33">
        <f>INDEX('ZCB Curve - Payment Dates'!$D$2:$D$246,MATCH(B5271,'ZCB Curve - Payment Dates'!$A$2:$A$246,0))</f>
        <v>0.23601759993777988</v>
      </c>
      <c r="E5271" s="32">
        <f t="shared" si="82"/>
        <v>0.54579069985611595</v>
      </c>
    </row>
    <row r="5272" spans="1:5" x14ac:dyDescent="0.25">
      <c r="A5272" s="17">
        <v>348</v>
      </c>
      <c r="B5272" s="31">
        <v>56295</v>
      </c>
      <c r="C5272" s="32">
        <f>INDEX('Input Data'!$B:$B,A5272)/2+IF(A5272&lt;&gt;A5273,100,0)</f>
        <v>2.3125</v>
      </c>
      <c r="D5272" s="33">
        <f>INDEX('ZCB Curve - Payment Dates'!$D$2:$D$246,MATCH(B5272,'ZCB Curve - Payment Dates'!$A$2:$A$246,0))</f>
        <v>0.23068727764963001</v>
      </c>
      <c r="E5272" s="32">
        <f t="shared" si="82"/>
        <v>0.53346432956476941</v>
      </c>
    </row>
    <row r="5273" spans="1:5" x14ac:dyDescent="0.25">
      <c r="A5273" s="17">
        <v>348</v>
      </c>
      <c r="B5273" s="31">
        <v>56476</v>
      </c>
      <c r="C5273" s="32">
        <f>INDEX('Input Data'!$B:$B,A5273)/2+IF(A5273&lt;&gt;A5274,100,0)</f>
        <v>2.3125</v>
      </c>
      <c r="D5273" s="33">
        <f>INDEX('ZCB Curve - Payment Dates'!$D$2:$D$246,MATCH(B5273,'ZCB Curve - Payment Dates'!$A$2:$A$246,0))</f>
        <v>0.22570143434065604</v>
      </c>
      <c r="E5273" s="32">
        <f t="shared" si="82"/>
        <v>0.52193456691276707</v>
      </c>
    </row>
    <row r="5274" spans="1:5" x14ac:dyDescent="0.25">
      <c r="A5274" s="17">
        <v>348</v>
      </c>
      <c r="B5274" s="31">
        <v>56660</v>
      </c>
      <c r="C5274" s="32">
        <f>INDEX('Input Data'!$B:$B,A5274)/2+IF(A5274&lt;&gt;A5275,100,0)</f>
        <v>102.3125</v>
      </c>
      <c r="D5274" s="33">
        <f>INDEX('ZCB Curve - Payment Dates'!$D$2:$D$246,MATCH(B5274,'ZCB Curve - Payment Dates'!$A$2:$A$246,0))</f>
        <v>0.22088579586025855</v>
      </c>
      <c r="E5274" s="32">
        <f t="shared" si="82"/>
        <v>22.599377988952703</v>
      </c>
    </row>
    <row r="5275" spans="1:5" x14ac:dyDescent="0.25">
      <c r="A5275" s="17">
        <v>349</v>
      </c>
      <c r="B5275" s="31">
        <v>46341</v>
      </c>
      <c r="C5275" s="32">
        <f>INDEX('Input Data'!$B:$B,A5275)/2+IF(A5275&lt;&gt;A5276,100,0)</f>
        <v>2.375</v>
      </c>
      <c r="D5275" s="33">
        <f>INDEX('ZCB Curve - Payment Dates'!$D$2:$D$246,MATCH(B5275,'ZCB Curve - Payment Dates'!$A$2:$A$246,0))</f>
        <v>0.99245367292309439</v>
      </c>
      <c r="E5275" s="32">
        <f t="shared" si="82"/>
        <v>2.3570774731923492</v>
      </c>
    </row>
    <row r="5276" spans="1:5" x14ac:dyDescent="0.25">
      <c r="A5276" s="17">
        <v>349</v>
      </c>
      <c r="B5276" s="31">
        <v>46522</v>
      </c>
      <c r="C5276" s="32">
        <f>INDEX('Input Data'!$B:$B,A5276)/2+IF(A5276&lt;&gt;A5277,100,0)</f>
        <v>2.375</v>
      </c>
      <c r="D5276" s="33">
        <f>INDEX('ZCB Curve - Payment Dates'!$D$2:$D$246,MATCH(B5276,'ZCB Curve - Payment Dates'!$A$2:$A$246,0))</f>
        <v>0.97242179559611874</v>
      </c>
      <c r="E5276" s="32">
        <f t="shared" si="82"/>
        <v>2.3095017645407818</v>
      </c>
    </row>
    <row r="5277" spans="1:5" x14ac:dyDescent="0.25">
      <c r="A5277" s="17">
        <v>349</v>
      </c>
      <c r="B5277" s="31">
        <v>46706</v>
      </c>
      <c r="C5277" s="32">
        <f>INDEX('Input Data'!$B:$B,A5277)/2+IF(A5277&lt;&gt;A5278,100,0)</f>
        <v>2.375</v>
      </c>
      <c r="D5277" s="33">
        <f>INDEX('ZCB Curve - Payment Dates'!$D$2:$D$246,MATCH(B5277,'ZCB Curve - Payment Dates'!$A$2:$A$246,0))</f>
        <v>0.95121018311627348</v>
      </c>
      <c r="E5277" s="32">
        <f t="shared" si="82"/>
        <v>2.2591241849011494</v>
      </c>
    </row>
    <row r="5278" spans="1:5" x14ac:dyDescent="0.25">
      <c r="A5278" s="17">
        <v>349</v>
      </c>
      <c r="B5278" s="31">
        <v>46888</v>
      </c>
      <c r="C5278" s="32">
        <f>INDEX('Input Data'!$B:$B,A5278)/2+IF(A5278&lt;&gt;A5279,100,0)</f>
        <v>2.375</v>
      </c>
      <c r="D5278" s="33">
        <f>INDEX('ZCB Curve - Payment Dates'!$D$2:$D$246,MATCH(B5278,'ZCB Curve - Payment Dates'!$A$2:$A$246,0))</f>
        <v>0.93000025435083566</v>
      </c>
      <c r="E5278" s="32">
        <f t="shared" si="82"/>
        <v>2.2087506040832348</v>
      </c>
    </row>
    <row r="5279" spans="1:5" x14ac:dyDescent="0.25">
      <c r="A5279" s="17">
        <v>349</v>
      </c>
      <c r="B5279" s="31">
        <v>47072</v>
      </c>
      <c r="C5279" s="32">
        <f>INDEX('Input Data'!$B:$B,A5279)/2+IF(A5279&lt;&gt;A5280,100,0)</f>
        <v>2.375</v>
      </c>
      <c r="D5279" s="33">
        <f>INDEX('ZCB Curve - Payment Dates'!$D$2:$D$246,MATCH(B5279,'ZCB Curve - Payment Dates'!$A$2:$A$246,0))</f>
        <v>0.90870125167038918</v>
      </c>
      <c r="E5279" s="32">
        <f t="shared" si="82"/>
        <v>2.1581654727171742</v>
      </c>
    </row>
    <row r="5280" spans="1:5" x14ac:dyDescent="0.25">
      <c r="A5280" s="17">
        <v>349</v>
      </c>
      <c r="B5280" s="31">
        <v>47253</v>
      </c>
      <c r="C5280" s="32">
        <f>INDEX('Input Data'!$B:$B,A5280)/2+IF(A5280&lt;&gt;A5281,100,0)</f>
        <v>2.375</v>
      </c>
      <c r="D5280" s="33">
        <f>INDEX('ZCB Curve - Payment Dates'!$D$2:$D$246,MATCH(B5280,'ZCB Curve - Payment Dates'!$A$2:$A$246,0))</f>
        <v>0.88809325063638844</v>
      </c>
      <c r="E5280" s="32">
        <f t="shared" si="82"/>
        <v>2.1092214702614225</v>
      </c>
    </row>
    <row r="5281" spans="1:5" x14ac:dyDescent="0.25">
      <c r="A5281" s="17">
        <v>349</v>
      </c>
      <c r="B5281" s="31">
        <v>47437</v>
      </c>
      <c r="C5281" s="32">
        <f>INDEX('Input Data'!$B:$B,A5281)/2+IF(A5281&lt;&gt;A5282,100,0)</f>
        <v>2.375</v>
      </c>
      <c r="D5281" s="33">
        <f>INDEX('ZCB Curve - Payment Dates'!$D$2:$D$246,MATCH(B5281,'ZCB Curve - Payment Dates'!$A$2:$A$246,0))</f>
        <v>0.86758824089536279</v>
      </c>
      <c r="E5281" s="32">
        <f t="shared" si="82"/>
        <v>2.0605220721264867</v>
      </c>
    </row>
    <row r="5282" spans="1:5" x14ac:dyDescent="0.25">
      <c r="A5282" s="17">
        <v>349</v>
      </c>
      <c r="B5282" s="31">
        <v>47618</v>
      </c>
      <c r="C5282" s="32">
        <f>INDEX('Input Data'!$B:$B,A5282)/2+IF(A5282&lt;&gt;A5283,100,0)</f>
        <v>2.375</v>
      </c>
      <c r="D5282" s="33">
        <f>INDEX('ZCB Curve - Payment Dates'!$D$2:$D$246,MATCH(B5282,'ZCB Curve - Payment Dates'!$A$2:$A$246,0))</f>
        <v>0.84787416911783064</v>
      </c>
      <c r="E5282" s="32">
        <f t="shared" si="82"/>
        <v>2.013701151654848</v>
      </c>
    </row>
    <row r="5283" spans="1:5" x14ac:dyDescent="0.25">
      <c r="A5283" s="17">
        <v>349</v>
      </c>
      <c r="B5283" s="31">
        <v>47802</v>
      </c>
      <c r="C5283" s="32">
        <f>INDEX('Input Data'!$B:$B,A5283)/2+IF(A5283&lt;&gt;A5284,100,0)</f>
        <v>2.375</v>
      </c>
      <c r="D5283" s="33">
        <f>INDEX('ZCB Curve - Payment Dates'!$D$2:$D$246,MATCH(B5283,'ZCB Curve - Payment Dates'!$A$2:$A$246,0))</f>
        <v>0.82827715028796722</v>
      </c>
      <c r="E5283" s="32">
        <f t="shared" si="82"/>
        <v>1.9671582319339223</v>
      </c>
    </row>
    <row r="5284" spans="1:5" x14ac:dyDescent="0.25">
      <c r="A5284" s="17">
        <v>349</v>
      </c>
      <c r="B5284" s="31">
        <v>47983</v>
      </c>
      <c r="C5284" s="32">
        <f>INDEX('Input Data'!$B:$B,A5284)/2+IF(A5284&lt;&gt;A5285,100,0)</f>
        <v>2.375</v>
      </c>
      <c r="D5284" s="33">
        <f>INDEX('ZCB Curve - Payment Dates'!$D$2:$D$246,MATCH(B5284,'ZCB Curve - Payment Dates'!$A$2:$A$246,0))</f>
        <v>0.80939067484273564</v>
      </c>
      <c r="E5284" s="32">
        <f t="shared" si="82"/>
        <v>1.9223028527514971</v>
      </c>
    </row>
    <row r="5285" spans="1:5" x14ac:dyDescent="0.25">
      <c r="A5285" s="17">
        <v>349</v>
      </c>
      <c r="B5285" s="31">
        <v>48167</v>
      </c>
      <c r="C5285" s="32">
        <f>INDEX('Input Data'!$B:$B,A5285)/2+IF(A5285&lt;&gt;A5286,100,0)</f>
        <v>2.375</v>
      </c>
      <c r="D5285" s="33">
        <f>INDEX('ZCB Curve - Payment Dates'!$D$2:$D$246,MATCH(B5285,'ZCB Curve - Payment Dates'!$A$2:$A$246,0))</f>
        <v>0.79053567842581962</v>
      </c>
      <c r="E5285" s="32">
        <f t="shared" si="82"/>
        <v>1.8775222362613215</v>
      </c>
    </row>
    <row r="5286" spans="1:5" x14ac:dyDescent="0.25">
      <c r="A5286" s="17">
        <v>349</v>
      </c>
      <c r="B5286" s="31">
        <v>48349</v>
      </c>
      <c r="C5286" s="32">
        <f>INDEX('Input Data'!$B:$B,A5286)/2+IF(A5286&lt;&gt;A5287,100,0)</f>
        <v>2.375</v>
      </c>
      <c r="D5286" s="33">
        <f>INDEX('ZCB Curve - Payment Dates'!$D$2:$D$246,MATCH(B5286,'ZCB Curve - Payment Dates'!$A$2:$A$246,0))</f>
        <v>0.77217305702007488</v>
      </c>
      <c r="E5286" s="32">
        <f t="shared" si="82"/>
        <v>1.8339110104226779</v>
      </c>
    </row>
    <row r="5287" spans="1:5" x14ac:dyDescent="0.25">
      <c r="A5287" s="17">
        <v>349</v>
      </c>
      <c r="B5287" s="31">
        <v>48533</v>
      </c>
      <c r="C5287" s="32">
        <f>INDEX('Input Data'!$B:$B,A5287)/2+IF(A5287&lt;&gt;A5288,100,0)</f>
        <v>2.375</v>
      </c>
      <c r="D5287" s="33">
        <f>INDEX('ZCB Curve - Payment Dates'!$D$2:$D$246,MATCH(B5287,'ZCB Curve - Payment Dates'!$A$2:$A$246,0))</f>
        <v>0.75384766072076514</v>
      </c>
      <c r="E5287" s="32">
        <f t="shared" si="82"/>
        <v>1.7903881942118172</v>
      </c>
    </row>
    <row r="5288" spans="1:5" x14ac:dyDescent="0.25">
      <c r="A5288" s="17">
        <v>349</v>
      </c>
      <c r="B5288" s="31">
        <v>48714</v>
      </c>
      <c r="C5288" s="32">
        <f>INDEX('Input Data'!$B:$B,A5288)/2+IF(A5288&lt;&gt;A5289,100,0)</f>
        <v>2.375</v>
      </c>
      <c r="D5288" s="33">
        <f>INDEX('ZCB Curve - Payment Dates'!$D$2:$D$246,MATCH(B5288,'ZCB Curve - Payment Dates'!$A$2:$A$246,0))</f>
        <v>0.73601491848746747</v>
      </c>
      <c r="E5288" s="32">
        <f t="shared" si="82"/>
        <v>1.7480354314077353</v>
      </c>
    </row>
    <row r="5289" spans="1:5" x14ac:dyDescent="0.25">
      <c r="A5289" s="17">
        <v>349</v>
      </c>
      <c r="B5289" s="31">
        <v>48898</v>
      </c>
      <c r="C5289" s="32">
        <f>INDEX('Input Data'!$B:$B,A5289)/2+IF(A5289&lt;&gt;A5290,100,0)</f>
        <v>2.375</v>
      </c>
      <c r="D5289" s="33">
        <f>INDEX('ZCB Curve - Payment Dates'!$D$2:$D$246,MATCH(B5289,'ZCB Curve - Payment Dates'!$A$2:$A$246,0))</f>
        <v>0.71805338140354003</v>
      </c>
      <c r="E5289" s="32">
        <f t="shared" si="82"/>
        <v>1.7053767808334075</v>
      </c>
    </row>
    <row r="5290" spans="1:5" x14ac:dyDescent="0.25">
      <c r="A5290" s="17">
        <v>349</v>
      </c>
      <c r="B5290" s="31">
        <v>49079</v>
      </c>
      <c r="C5290" s="32">
        <f>INDEX('Input Data'!$B:$B,A5290)/2+IF(A5290&lt;&gt;A5291,100,0)</f>
        <v>2.375</v>
      </c>
      <c r="D5290" s="33">
        <f>INDEX('ZCB Curve - Payment Dates'!$D$2:$D$246,MATCH(B5290,'ZCB Curve - Payment Dates'!$A$2:$A$246,0))</f>
        <v>0.70052630492471468</v>
      </c>
      <c r="E5290" s="32">
        <f t="shared" si="82"/>
        <v>1.6637499741961974</v>
      </c>
    </row>
    <row r="5291" spans="1:5" x14ac:dyDescent="0.25">
      <c r="A5291" s="17">
        <v>349</v>
      </c>
      <c r="B5291" s="31">
        <v>49263</v>
      </c>
      <c r="C5291" s="32">
        <f>INDEX('Input Data'!$B:$B,A5291)/2+IF(A5291&lt;&gt;A5292,100,0)</f>
        <v>2.375</v>
      </c>
      <c r="D5291" s="33">
        <f>INDEX('ZCB Curve - Payment Dates'!$D$2:$D$246,MATCH(B5291,'ZCB Curve - Payment Dates'!$A$2:$A$246,0))</f>
        <v>0.68284221202539863</v>
      </c>
      <c r="E5291" s="32">
        <f t="shared" si="82"/>
        <v>1.6217502535603217</v>
      </c>
    </row>
    <row r="5292" spans="1:5" x14ac:dyDescent="0.25">
      <c r="A5292" s="17">
        <v>349</v>
      </c>
      <c r="B5292" s="31">
        <v>49444</v>
      </c>
      <c r="C5292" s="32">
        <f>INDEX('Input Data'!$B:$B,A5292)/2+IF(A5292&lt;&gt;A5293,100,0)</f>
        <v>2.375</v>
      </c>
      <c r="D5292" s="33">
        <f>INDEX('ZCB Curve - Payment Dates'!$D$2:$D$246,MATCH(B5292,'ZCB Curve - Payment Dates'!$A$2:$A$246,0))</f>
        <v>0.66557347415228496</v>
      </c>
      <c r="E5292" s="32">
        <f t="shared" si="82"/>
        <v>1.5807370011116768</v>
      </c>
    </row>
    <row r="5293" spans="1:5" x14ac:dyDescent="0.25">
      <c r="A5293" s="17">
        <v>349</v>
      </c>
      <c r="B5293" s="31">
        <v>49628</v>
      </c>
      <c r="C5293" s="32">
        <f>INDEX('Input Data'!$B:$B,A5293)/2+IF(A5293&lt;&gt;A5294,100,0)</f>
        <v>2.375</v>
      </c>
      <c r="D5293" s="33">
        <f>INDEX('ZCB Curve - Payment Dates'!$D$2:$D$246,MATCH(B5293,'ZCB Curve - Payment Dates'!$A$2:$A$246,0))</f>
        <v>0.64815361918127823</v>
      </c>
      <c r="E5293" s="32">
        <f t="shared" si="82"/>
        <v>1.5393648455555358</v>
      </c>
    </row>
    <row r="5294" spans="1:5" x14ac:dyDescent="0.25">
      <c r="A5294" s="17">
        <v>349</v>
      </c>
      <c r="B5294" s="31">
        <v>49810</v>
      </c>
      <c r="C5294" s="32">
        <f>INDEX('Input Data'!$B:$B,A5294)/2+IF(A5294&lt;&gt;A5295,100,0)</f>
        <v>2.375</v>
      </c>
      <c r="D5294" s="33">
        <f>INDEX('ZCB Curve - Payment Dates'!$D$2:$D$246,MATCH(B5294,'ZCB Curve - Payment Dates'!$A$2:$A$246,0))</f>
        <v>0.63106457078577471</v>
      </c>
      <c r="E5294" s="32">
        <f t="shared" si="82"/>
        <v>1.4987783556162149</v>
      </c>
    </row>
    <row r="5295" spans="1:5" x14ac:dyDescent="0.25">
      <c r="A5295" s="17">
        <v>349</v>
      </c>
      <c r="B5295" s="31">
        <v>49994</v>
      </c>
      <c r="C5295" s="32">
        <f>INDEX('Input Data'!$B:$B,A5295)/2+IF(A5295&lt;&gt;A5296,100,0)</f>
        <v>2.375</v>
      </c>
      <c r="D5295" s="33">
        <f>INDEX('ZCB Curve - Payment Dates'!$D$2:$D$246,MATCH(B5295,'ZCB Curve - Payment Dates'!$A$2:$A$246,0))</f>
        <v>0.61395227923184648</v>
      </c>
      <c r="E5295" s="32">
        <f t="shared" si="82"/>
        <v>1.4581366631756354</v>
      </c>
    </row>
    <row r="5296" spans="1:5" x14ac:dyDescent="0.25">
      <c r="A5296" s="17">
        <v>349</v>
      </c>
      <c r="B5296" s="31">
        <v>50175</v>
      </c>
      <c r="C5296" s="32">
        <f>INDEX('Input Data'!$B:$B,A5296)/2+IF(A5296&lt;&gt;A5297,100,0)</f>
        <v>2.375</v>
      </c>
      <c r="D5296" s="33">
        <f>INDEX('ZCB Curve - Payment Dates'!$D$2:$D$246,MATCH(B5296,'ZCB Curve - Payment Dates'!$A$2:$A$246,0))</f>
        <v>0.5972963482314616</v>
      </c>
      <c r="E5296" s="32">
        <f t="shared" si="82"/>
        <v>1.4185788270497213</v>
      </c>
    </row>
    <row r="5297" spans="1:5" x14ac:dyDescent="0.25">
      <c r="A5297" s="17">
        <v>349</v>
      </c>
      <c r="B5297" s="31">
        <v>50359</v>
      </c>
      <c r="C5297" s="32">
        <f>INDEX('Input Data'!$B:$B,A5297)/2+IF(A5297&lt;&gt;A5298,100,0)</f>
        <v>2.375</v>
      </c>
      <c r="D5297" s="33">
        <f>INDEX('ZCB Curve - Payment Dates'!$D$2:$D$246,MATCH(B5297,'ZCB Curve - Payment Dates'!$A$2:$A$246,0))</f>
        <v>0.58056812006155756</v>
      </c>
      <c r="E5297" s="32">
        <f t="shared" si="82"/>
        <v>1.3788492851461993</v>
      </c>
    </row>
    <row r="5298" spans="1:5" x14ac:dyDescent="0.25">
      <c r="A5298" s="17">
        <v>349</v>
      </c>
      <c r="B5298" s="31">
        <v>50540</v>
      </c>
      <c r="C5298" s="32">
        <f>INDEX('Input Data'!$B:$B,A5298)/2+IF(A5298&lt;&gt;A5299,100,0)</f>
        <v>2.375</v>
      </c>
      <c r="D5298" s="33">
        <f>INDEX('ZCB Curve - Payment Dates'!$D$2:$D$246,MATCH(B5298,'ZCB Curve - Payment Dates'!$A$2:$A$246,0))</f>
        <v>0.56433491315969797</v>
      </c>
      <c r="E5298" s="32">
        <f t="shared" si="82"/>
        <v>1.3402954187542826</v>
      </c>
    </row>
    <row r="5299" spans="1:5" x14ac:dyDescent="0.25">
      <c r="A5299" s="17">
        <v>349</v>
      </c>
      <c r="B5299" s="31">
        <v>50724</v>
      </c>
      <c r="C5299" s="32">
        <f>INDEX('Input Data'!$B:$B,A5299)/2+IF(A5299&lt;&gt;A5300,100,0)</f>
        <v>2.375</v>
      </c>
      <c r="D5299" s="33">
        <f>INDEX('ZCB Curve - Payment Dates'!$D$2:$D$246,MATCH(B5299,'ZCB Curve - Payment Dates'!$A$2:$A$246,0))</f>
        <v>0.54808398139057424</v>
      </c>
      <c r="E5299" s="32">
        <f t="shared" si="82"/>
        <v>1.3016994558026138</v>
      </c>
    </row>
    <row r="5300" spans="1:5" x14ac:dyDescent="0.25">
      <c r="A5300" s="17">
        <v>349</v>
      </c>
      <c r="B5300" s="31">
        <v>50905</v>
      </c>
      <c r="C5300" s="32">
        <f>INDEX('Input Data'!$B:$B,A5300)/2+IF(A5300&lt;&gt;A5301,100,0)</f>
        <v>2.375</v>
      </c>
      <c r="D5300" s="33">
        <f>INDEX('ZCB Curve - Payment Dates'!$D$2:$D$246,MATCH(B5300,'ZCB Curve - Payment Dates'!$A$2:$A$246,0))</f>
        <v>0.5323673246083096</v>
      </c>
      <c r="E5300" s="32">
        <f t="shared" si="82"/>
        <v>1.2643723959447353</v>
      </c>
    </row>
    <row r="5301" spans="1:5" x14ac:dyDescent="0.25">
      <c r="A5301" s="17">
        <v>349</v>
      </c>
      <c r="B5301" s="31">
        <v>51089</v>
      </c>
      <c r="C5301" s="32">
        <f>INDEX('Input Data'!$B:$B,A5301)/2+IF(A5301&lt;&gt;A5302,100,0)</f>
        <v>2.375</v>
      </c>
      <c r="D5301" s="33">
        <f>INDEX('ZCB Curve - Payment Dates'!$D$2:$D$246,MATCH(B5301,'ZCB Curve - Payment Dates'!$A$2:$A$246,0))</f>
        <v>0.51668806431098135</v>
      </c>
      <c r="E5301" s="32">
        <f t="shared" si="82"/>
        <v>1.2271341527385806</v>
      </c>
    </row>
    <row r="5302" spans="1:5" x14ac:dyDescent="0.25">
      <c r="A5302" s="17">
        <v>349</v>
      </c>
      <c r="B5302" s="31">
        <v>51271</v>
      </c>
      <c r="C5302" s="32">
        <f>INDEX('Input Data'!$B:$B,A5302)/2+IF(A5302&lt;&gt;A5303,100,0)</f>
        <v>2.375</v>
      </c>
      <c r="D5302" s="33">
        <f>INDEX('ZCB Curve - Payment Dates'!$D$2:$D$246,MATCH(B5302,'ZCB Curve - Payment Dates'!$A$2:$A$246,0))</f>
        <v>0.50149590020417278</v>
      </c>
      <c r="E5302" s="32">
        <f t="shared" si="82"/>
        <v>1.1910527629849104</v>
      </c>
    </row>
    <row r="5303" spans="1:5" x14ac:dyDescent="0.25">
      <c r="A5303" s="17">
        <v>349</v>
      </c>
      <c r="B5303" s="31">
        <v>51455</v>
      </c>
      <c r="C5303" s="32">
        <f>INDEX('Input Data'!$B:$B,A5303)/2+IF(A5303&lt;&gt;A5304,100,0)</f>
        <v>2.375</v>
      </c>
      <c r="D5303" s="33">
        <f>INDEX('ZCB Curve - Payment Dates'!$D$2:$D$246,MATCH(B5303,'ZCB Curve - Payment Dates'!$A$2:$A$246,0))</f>
        <v>0.48647538074270091</v>
      </c>
      <c r="E5303" s="32">
        <f t="shared" si="82"/>
        <v>1.1553790292639148</v>
      </c>
    </row>
    <row r="5304" spans="1:5" x14ac:dyDescent="0.25">
      <c r="A5304" s="17">
        <v>349</v>
      </c>
      <c r="B5304" s="31">
        <v>51636</v>
      </c>
      <c r="C5304" s="32">
        <f>INDEX('Input Data'!$B:$B,A5304)/2+IF(A5304&lt;&gt;A5305,100,0)</f>
        <v>2.375</v>
      </c>
      <c r="D5304" s="33">
        <f>INDEX('ZCB Curve - Payment Dates'!$D$2:$D$246,MATCH(B5304,'ZCB Curve - Payment Dates'!$A$2:$A$246,0))</f>
        <v>0.47204918703719451</v>
      </c>
      <c r="E5304" s="32">
        <f t="shared" si="82"/>
        <v>1.1211168192133369</v>
      </c>
    </row>
    <row r="5305" spans="1:5" x14ac:dyDescent="0.25">
      <c r="A5305" s="17">
        <v>349</v>
      </c>
      <c r="B5305" s="31">
        <v>51820</v>
      </c>
      <c r="C5305" s="32">
        <f>INDEX('Input Data'!$B:$B,A5305)/2+IF(A5305&lt;&gt;A5306,100,0)</f>
        <v>2.375</v>
      </c>
      <c r="D5305" s="33">
        <f>INDEX('ZCB Curve - Payment Dates'!$D$2:$D$246,MATCH(B5305,'ZCB Curve - Payment Dates'!$A$2:$A$246,0))</f>
        <v>0.45775548669345245</v>
      </c>
      <c r="E5305" s="32">
        <f t="shared" si="82"/>
        <v>1.0871692808969495</v>
      </c>
    </row>
    <row r="5306" spans="1:5" x14ac:dyDescent="0.25">
      <c r="A5306" s="17">
        <v>349</v>
      </c>
      <c r="B5306" s="31">
        <v>52001</v>
      </c>
      <c r="C5306" s="32">
        <f>INDEX('Input Data'!$B:$B,A5306)/2+IF(A5306&lt;&gt;A5307,100,0)</f>
        <v>2.375</v>
      </c>
      <c r="D5306" s="33">
        <f>INDEX('ZCB Curve - Payment Dates'!$D$2:$D$246,MATCH(B5306,'ZCB Curve - Payment Dates'!$A$2:$A$246,0))</f>
        <v>0.44407192118484318</v>
      </c>
      <c r="E5306" s="32">
        <f t="shared" si="82"/>
        <v>1.0546708128140025</v>
      </c>
    </row>
    <row r="5307" spans="1:5" x14ac:dyDescent="0.25">
      <c r="A5307" s="17">
        <v>349</v>
      </c>
      <c r="B5307" s="31">
        <v>52185</v>
      </c>
      <c r="C5307" s="32">
        <f>INDEX('Input Data'!$B:$B,A5307)/2+IF(A5307&lt;&gt;A5308,100,0)</f>
        <v>2.375</v>
      </c>
      <c r="D5307" s="33">
        <f>INDEX('ZCB Curve - Payment Dates'!$D$2:$D$246,MATCH(B5307,'ZCB Curve - Payment Dates'!$A$2:$A$246,0))</f>
        <v>0.43055647946672393</v>
      </c>
      <c r="E5307" s="32">
        <f t="shared" si="82"/>
        <v>1.0225716387334693</v>
      </c>
    </row>
    <row r="5308" spans="1:5" x14ac:dyDescent="0.25">
      <c r="A5308" s="17">
        <v>349</v>
      </c>
      <c r="B5308" s="31">
        <v>52366</v>
      </c>
      <c r="C5308" s="32">
        <f>INDEX('Input Data'!$B:$B,A5308)/2+IF(A5308&lt;&gt;A5309,100,0)</f>
        <v>2.375</v>
      </c>
      <c r="D5308" s="33">
        <f>INDEX('ZCB Curve - Payment Dates'!$D$2:$D$246,MATCH(B5308,'ZCB Curve - Payment Dates'!$A$2:$A$246,0))</f>
        <v>0.41765686229470528</v>
      </c>
      <c r="E5308" s="32">
        <f t="shared" si="82"/>
        <v>0.99193504794992504</v>
      </c>
    </row>
    <row r="5309" spans="1:5" x14ac:dyDescent="0.25">
      <c r="A5309" s="17">
        <v>349</v>
      </c>
      <c r="B5309" s="31">
        <v>52550</v>
      </c>
      <c r="C5309" s="32">
        <f>INDEX('Input Data'!$B:$B,A5309)/2+IF(A5309&lt;&gt;A5310,100,0)</f>
        <v>2.375</v>
      </c>
      <c r="D5309" s="33">
        <f>INDEX('ZCB Curve - Payment Dates'!$D$2:$D$246,MATCH(B5309,'ZCB Curve - Payment Dates'!$A$2:$A$246,0))</f>
        <v>0.40495237741553414</v>
      </c>
      <c r="E5309" s="32">
        <f t="shared" si="82"/>
        <v>0.96176189636189358</v>
      </c>
    </row>
    <row r="5310" spans="1:5" x14ac:dyDescent="0.25">
      <c r="A5310" s="17">
        <v>349</v>
      </c>
      <c r="B5310" s="31">
        <v>52732</v>
      </c>
      <c r="C5310" s="32">
        <f>INDEX('Input Data'!$B:$B,A5310)/2+IF(A5310&lt;&gt;A5311,100,0)</f>
        <v>2.375</v>
      </c>
      <c r="D5310" s="33">
        <f>INDEX('ZCB Curve - Payment Dates'!$D$2:$D$246,MATCH(B5310,'ZCB Curve - Payment Dates'!$A$2:$A$246,0))</f>
        <v>0.3927952920896523</v>
      </c>
      <c r="E5310" s="32">
        <f t="shared" si="82"/>
        <v>0.93288881871292417</v>
      </c>
    </row>
    <row r="5311" spans="1:5" x14ac:dyDescent="0.25">
      <c r="A5311" s="17">
        <v>349</v>
      </c>
      <c r="B5311" s="31">
        <v>52916</v>
      </c>
      <c r="C5311" s="32">
        <f>INDEX('Input Data'!$B:$B,A5311)/2+IF(A5311&lt;&gt;A5312,100,0)</f>
        <v>2.375</v>
      </c>
      <c r="D5311" s="33">
        <f>INDEX('ZCB Curve - Payment Dates'!$D$2:$D$246,MATCH(B5311,'ZCB Curve - Payment Dates'!$A$2:$A$246,0))</f>
        <v>0.38091684361752687</v>
      </c>
      <c r="E5311" s="32">
        <f t="shared" si="82"/>
        <v>0.90467750359162635</v>
      </c>
    </row>
    <row r="5312" spans="1:5" x14ac:dyDescent="0.25">
      <c r="A5312" s="17">
        <v>349</v>
      </c>
      <c r="B5312" s="31">
        <v>53097</v>
      </c>
      <c r="C5312" s="32">
        <f>INDEX('Input Data'!$B:$B,A5312)/2+IF(A5312&lt;&gt;A5313,100,0)</f>
        <v>2.375</v>
      </c>
      <c r="D5312" s="33">
        <f>INDEX('ZCB Curve - Payment Dates'!$D$2:$D$246,MATCH(B5312,'ZCB Curve - Payment Dates'!$A$2:$A$246,0))</f>
        <v>0.36964331092783359</v>
      </c>
      <c r="E5312" s="32">
        <f t="shared" si="82"/>
        <v>0.8779028634536048</v>
      </c>
    </row>
    <row r="5313" spans="1:5" x14ac:dyDescent="0.25">
      <c r="A5313" s="17">
        <v>349</v>
      </c>
      <c r="B5313" s="31">
        <v>53281</v>
      </c>
      <c r="C5313" s="32">
        <f>INDEX('Input Data'!$B:$B,A5313)/2+IF(A5313&lt;&gt;A5314,100,0)</f>
        <v>2.375</v>
      </c>
      <c r="D5313" s="33">
        <f>INDEX('ZCB Curve - Payment Dates'!$D$2:$D$246,MATCH(B5313,'ZCB Curve - Payment Dates'!$A$2:$A$246,0))</f>
        <v>0.35859090372935404</v>
      </c>
      <c r="E5313" s="32">
        <f t="shared" si="82"/>
        <v>0.85165339635721582</v>
      </c>
    </row>
    <row r="5314" spans="1:5" x14ac:dyDescent="0.25">
      <c r="A5314" s="17">
        <v>349</v>
      </c>
      <c r="B5314" s="31">
        <v>53462</v>
      </c>
      <c r="C5314" s="32">
        <f>INDEX('Input Data'!$B:$B,A5314)/2+IF(A5314&lt;&gt;A5315,100,0)</f>
        <v>2.375</v>
      </c>
      <c r="D5314" s="33">
        <f>INDEX('ZCB Curve - Payment Dates'!$D$2:$D$246,MATCH(B5314,'ZCB Curve - Payment Dates'!$A$2:$A$246,0))</f>
        <v>0.34812465854380154</v>
      </c>
      <c r="E5314" s="32">
        <f t="shared" ref="E5314:E5377" si="83">C5314*D5314</f>
        <v>0.82679606404152861</v>
      </c>
    </row>
    <row r="5315" spans="1:5" x14ac:dyDescent="0.25">
      <c r="A5315" s="17">
        <v>349</v>
      </c>
      <c r="B5315" s="31">
        <v>53646</v>
      </c>
      <c r="C5315" s="32">
        <f>INDEX('Input Data'!$B:$B,A5315)/2+IF(A5315&lt;&gt;A5316,100,0)</f>
        <v>2.375</v>
      </c>
      <c r="D5315" s="33">
        <f>INDEX('ZCB Curve - Payment Dates'!$D$2:$D$246,MATCH(B5315,'ZCB Curve - Payment Dates'!$A$2:$A$246,0))</f>
        <v>0.33788528510382887</v>
      </c>
      <c r="E5315" s="32">
        <f t="shared" si="83"/>
        <v>0.80247755212159355</v>
      </c>
    </row>
    <row r="5316" spans="1:5" x14ac:dyDescent="0.25">
      <c r="A5316" s="17">
        <v>349</v>
      </c>
      <c r="B5316" s="31">
        <v>53827</v>
      </c>
      <c r="C5316" s="32">
        <f>INDEX('Input Data'!$B:$B,A5316)/2+IF(A5316&lt;&gt;A5317,100,0)</f>
        <v>2.375</v>
      </c>
      <c r="D5316" s="33">
        <f>INDEX('ZCB Curve - Payment Dates'!$D$2:$D$246,MATCH(B5316,'ZCB Curve - Payment Dates'!$A$2:$A$246,0))</f>
        <v>0.32820827061914198</v>
      </c>
      <c r="E5316" s="32">
        <f t="shared" si="83"/>
        <v>0.77949464272046221</v>
      </c>
    </row>
    <row r="5317" spans="1:5" x14ac:dyDescent="0.25">
      <c r="A5317" s="17">
        <v>349</v>
      </c>
      <c r="B5317" s="31">
        <v>54011</v>
      </c>
      <c r="C5317" s="32">
        <f>INDEX('Input Data'!$B:$B,A5317)/2+IF(A5317&lt;&gt;A5318,100,0)</f>
        <v>2.375</v>
      </c>
      <c r="D5317" s="33">
        <f>INDEX('ZCB Curve - Payment Dates'!$D$2:$D$246,MATCH(B5317,'ZCB Curve - Payment Dates'!$A$2:$A$246,0))</f>
        <v>0.31875888330253388</v>
      </c>
      <c r="E5317" s="32">
        <f t="shared" si="83"/>
        <v>0.75705234784351794</v>
      </c>
    </row>
    <row r="5318" spans="1:5" x14ac:dyDescent="0.25">
      <c r="A5318" s="17">
        <v>349</v>
      </c>
      <c r="B5318" s="31">
        <v>54193</v>
      </c>
      <c r="C5318" s="32">
        <f>INDEX('Input Data'!$B:$B,A5318)/2+IF(A5318&lt;&gt;A5319,100,0)</f>
        <v>2.375</v>
      </c>
      <c r="D5318" s="33">
        <f>INDEX('ZCB Curve - Payment Dates'!$D$2:$D$246,MATCH(B5318,'ZCB Curve - Payment Dates'!$A$2:$A$246,0))</f>
        <v>0.30979516521120642</v>
      </c>
      <c r="E5318" s="32">
        <f t="shared" si="83"/>
        <v>0.73576351737661527</v>
      </c>
    </row>
    <row r="5319" spans="1:5" x14ac:dyDescent="0.25">
      <c r="A5319" s="17">
        <v>349</v>
      </c>
      <c r="B5319" s="31">
        <v>54377</v>
      </c>
      <c r="C5319" s="32">
        <f>INDEX('Input Data'!$B:$B,A5319)/2+IF(A5319&lt;&gt;A5320,100,0)</f>
        <v>2.375</v>
      </c>
      <c r="D5319" s="33">
        <f>INDEX('ZCB Curve - Payment Dates'!$D$2:$D$246,MATCH(B5319,'ZCB Curve - Payment Dates'!$A$2:$A$246,0))</f>
        <v>0.30110901062008694</v>
      </c>
      <c r="E5319" s="32">
        <f t="shared" si="83"/>
        <v>0.71513390022270651</v>
      </c>
    </row>
    <row r="5320" spans="1:5" x14ac:dyDescent="0.25">
      <c r="A5320" s="17">
        <v>349</v>
      </c>
      <c r="B5320" s="31">
        <v>54558</v>
      </c>
      <c r="C5320" s="32">
        <f>INDEX('Input Data'!$B:$B,A5320)/2+IF(A5320&lt;&gt;A5321,100,0)</f>
        <v>2.375</v>
      </c>
      <c r="D5320" s="33">
        <f>INDEX('ZCB Curve - Payment Dates'!$D$2:$D$246,MATCH(B5320,'ZCB Curve - Payment Dates'!$A$2:$A$246,0))</f>
        <v>0.29292467059800714</v>
      </c>
      <c r="E5320" s="32">
        <f t="shared" si="83"/>
        <v>0.695696092670267</v>
      </c>
    </row>
    <row r="5321" spans="1:5" x14ac:dyDescent="0.25">
      <c r="A5321" s="17">
        <v>349</v>
      </c>
      <c r="B5321" s="31">
        <v>54742</v>
      </c>
      <c r="C5321" s="32">
        <f>INDEX('Input Data'!$B:$B,A5321)/2+IF(A5321&lt;&gt;A5322,100,0)</f>
        <v>2.375</v>
      </c>
      <c r="D5321" s="33">
        <f>INDEX('ZCB Curve - Payment Dates'!$D$2:$D$246,MATCH(B5321,'ZCB Curve - Payment Dates'!$A$2:$A$246,0))</f>
        <v>0.28496204444064566</v>
      </c>
      <c r="E5321" s="32">
        <f t="shared" si="83"/>
        <v>0.67678485554653345</v>
      </c>
    </row>
    <row r="5322" spans="1:5" x14ac:dyDescent="0.25">
      <c r="A5322" s="17">
        <v>349</v>
      </c>
      <c r="B5322" s="31">
        <v>54923</v>
      </c>
      <c r="C5322" s="32">
        <f>INDEX('Input Data'!$B:$B,A5322)/2+IF(A5322&lt;&gt;A5323,100,0)</f>
        <v>2.375</v>
      </c>
      <c r="D5322" s="33">
        <f>INDEX('ZCB Curve - Payment Dates'!$D$2:$D$246,MATCH(B5322,'ZCB Curve - Payment Dates'!$A$2:$A$246,0))</f>
        <v>0.27747061478742291</v>
      </c>
      <c r="E5322" s="32">
        <f t="shared" si="83"/>
        <v>0.65899271012012939</v>
      </c>
    </row>
    <row r="5323" spans="1:5" x14ac:dyDescent="0.25">
      <c r="A5323" s="17">
        <v>349</v>
      </c>
      <c r="B5323" s="31">
        <v>55107</v>
      </c>
      <c r="C5323" s="32">
        <f>INDEX('Input Data'!$B:$B,A5323)/2+IF(A5323&lt;&gt;A5324,100,0)</f>
        <v>2.375</v>
      </c>
      <c r="D5323" s="33">
        <f>INDEX('ZCB Curve - Payment Dates'!$D$2:$D$246,MATCH(B5323,'ZCB Curve - Payment Dates'!$A$2:$A$246,0))</f>
        <v>0.2701926092917406</v>
      </c>
      <c r="E5323" s="32">
        <f t="shared" si="83"/>
        <v>0.64170744706788396</v>
      </c>
    </row>
    <row r="5324" spans="1:5" x14ac:dyDescent="0.25">
      <c r="A5324" s="17">
        <v>349</v>
      </c>
      <c r="B5324" s="31">
        <v>55288</v>
      </c>
      <c r="C5324" s="32">
        <f>INDEX('Input Data'!$B:$B,A5324)/2+IF(A5324&lt;&gt;A5325,100,0)</f>
        <v>2.375</v>
      </c>
      <c r="D5324" s="33">
        <f>INDEX('ZCB Curve - Payment Dates'!$D$2:$D$246,MATCH(B5324,'ZCB Curve - Payment Dates'!$A$2:$A$246,0))</f>
        <v>0.26335484985695851</v>
      </c>
      <c r="E5324" s="32">
        <f t="shared" si="83"/>
        <v>0.6254677684102764</v>
      </c>
    </row>
    <row r="5325" spans="1:5" x14ac:dyDescent="0.25">
      <c r="A5325" s="17">
        <v>349</v>
      </c>
      <c r="B5325" s="31">
        <v>55472</v>
      </c>
      <c r="C5325" s="32">
        <f>INDEX('Input Data'!$B:$B,A5325)/2+IF(A5325&lt;&gt;A5326,100,0)</f>
        <v>2.375</v>
      </c>
      <c r="D5325" s="33">
        <f>INDEX('ZCB Curve - Payment Dates'!$D$2:$D$246,MATCH(B5325,'ZCB Curve - Payment Dates'!$A$2:$A$246,0))</f>
        <v>0.25672095505458636</v>
      </c>
      <c r="E5325" s="32">
        <f t="shared" si="83"/>
        <v>0.60971226825464264</v>
      </c>
    </row>
    <row r="5326" spans="1:5" x14ac:dyDescent="0.25">
      <c r="A5326" s="17">
        <v>349</v>
      </c>
      <c r="B5326" s="31">
        <v>55654</v>
      </c>
      <c r="C5326" s="32">
        <f>INDEX('Input Data'!$B:$B,A5326)/2+IF(A5326&lt;&gt;A5327,100,0)</f>
        <v>2.375</v>
      </c>
      <c r="D5326" s="33">
        <f>INDEX('ZCB Curve - Payment Dates'!$D$2:$D$246,MATCH(B5326,'ZCB Curve - Payment Dates'!$A$2:$A$246,0))</f>
        <v>0.25046362869454364</v>
      </c>
      <c r="E5326" s="32">
        <f t="shared" si="83"/>
        <v>0.59485111814954117</v>
      </c>
    </row>
    <row r="5327" spans="1:5" x14ac:dyDescent="0.25">
      <c r="A5327" s="17">
        <v>349</v>
      </c>
      <c r="B5327" s="31">
        <v>55838</v>
      </c>
      <c r="C5327" s="32">
        <f>INDEX('Input Data'!$B:$B,A5327)/2+IF(A5327&lt;&gt;A5328,100,0)</f>
        <v>2.375</v>
      </c>
      <c r="D5327" s="33">
        <f>INDEX('ZCB Curve - Payment Dates'!$D$2:$D$246,MATCH(B5327,'ZCB Curve - Payment Dates'!$A$2:$A$246,0))</f>
        <v>0.24443458292740508</v>
      </c>
      <c r="E5327" s="32">
        <f t="shared" si="83"/>
        <v>0.58053213445258711</v>
      </c>
    </row>
    <row r="5328" spans="1:5" x14ac:dyDescent="0.25">
      <c r="A5328" s="17">
        <v>349</v>
      </c>
      <c r="B5328" s="31">
        <v>56019</v>
      </c>
      <c r="C5328" s="32">
        <f>INDEX('Input Data'!$B:$B,A5328)/2+IF(A5328&lt;&gt;A5329,100,0)</f>
        <v>2.375</v>
      </c>
      <c r="D5328" s="33">
        <f>INDEX('ZCB Curve - Payment Dates'!$D$2:$D$246,MATCH(B5328,'ZCB Curve - Payment Dates'!$A$2:$A$246,0))</f>
        <v>0.23878540660340086</v>
      </c>
      <c r="E5328" s="32">
        <f t="shared" si="83"/>
        <v>0.56711534068307701</v>
      </c>
    </row>
    <row r="5329" spans="1:5" x14ac:dyDescent="0.25">
      <c r="A5329" s="17">
        <v>349</v>
      </c>
      <c r="B5329" s="31">
        <v>56203</v>
      </c>
      <c r="C5329" s="32">
        <f>INDEX('Input Data'!$B:$B,A5329)/2+IF(A5329&lt;&gt;A5330,100,0)</f>
        <v>2.375</v>
      </c>
      <c r="D5329" s="33">
        <f>INDEX('ZCB Curve - Payment Dates'!$D$2:$D$246,MATCH(B5329,'ZCB Curve - Payment Dates'!$A$2:$A$246,0))</f>
        <v>0.23331934656757974</v>
      </c>
      <c r="E5329" s="32">
        <f t="shared" si="83"/>
        <v>0.55413344809800191</v>
      </c>
    </row>
    <row r="5330" spans="1:5" x14ac:dyDescent="0.25">
      <c r="A5330" s="17">
        <v>349</v>
      </c>
      <c r="B5330" s="31">
        <v>56384</v>
      </c>
      <c r="C5330" s="32">
        <f>INDEX('Input Data'!$B:$B,A5330)/2+IF(A5330&lt;&gt;A5331,100,0)</f>
        <v>2.375</v>
      </c>
      <c r="D5330" s="33">
        <f>INDEX('ZCB Curve - Payment Dates'!$D$2:$D$246,MATCH(B5330,'ZCB Curve - Payment Dates'!$A$2:$A$246,0))</f>
        <v>0.22820470703897541</v>
      </c>
      <c r="E5330" s="32">
        <f t="shared" si="83"/>
        <v>0.54198617921756664</v>
      </c>
    </row>
    <row r="5331" spans="1:5" x14ac:dyDescent="0.25">
      <c r="A5331" s="17">
        <v>349</v>
      </c>
      <c r="B5331" s="31">
        <v>56568</v>
      </c>
      <c r="C5331" s="32">
        <f>INDEX('Input Data'!$B:$B,A5331)/2+IF(A5331&lt;&gt;A5332,100,0)</f>
        <v>2.375</v>
      </c>
      <c r="D5331" s="33">
        <f>INDEX('ZCB Curve - Payment Dates'!$D$2:$D$246,MATCH(B5331,'ZCB Curve - Payment Dates'!$A$2:$A$246,0))</f>
        <v>0.22326283085791943</v>
      </c>
      <c r="E5331" s="32">
        <f t="shared" si="83"/>
        <v>0.53024922328755864</v>
      </c>
    </row>
    <row r="5332" spans="1:5" x14ac:dyDescent="0.25">
      <c r="A5332" s="17">
        <v>349</v>
      </c>
      <c r="B5332" s="31">
        <v>56749</v>
      </c>
      <c r="C5332" s="32">
        <f>INDEX('Input Data'!$B:$B,A5332)/2+IF(A5332&lt;&gt;A5333,100,0)</f>
        <v>102.375</v>
      </c>
      <c r="D5332" s="33">
        <f>INDEX('ZCB Curve - Payment Dates'!$D$2:$D$246,MATCH(B5332,'ZCB Curve - Payment Dates'!$A$2:$A$246,0))</f>
        <v>0.21864543432819281</v>
      </c>
      <c r="E5332" s="32">
        <f t="shared" si="83"/>
        <v>22.38382633934874</v>
      </c>
    </row>
    <row r="5333" spans="1:5" x14ac:dyDescent="0.25">
      <c r="A5333" s="17">
        <v>350</v>
      </c>
      <c r="B5333" s="31">
        <v>46433</v>
      </c>
      <c r="C5333" s="32">
        <f>INDEX('Input Data'!$B:$B,A5333)/2+IF(A5333&lt;&gt;A5334,100,0)</f>
        <v>2.375</v>
      </c>
      <c r="D5333" s="33">
        <f>INDEX('ZCB Curve - Payment Dates'!$D$2:$D$246,MATCH(B5333,'ZCB Curve - Payment Dates'!$A$2:$A$246,0))</f>
        <v>0.98242671792446301</v>
      </c>
      <c r="E5333" s="32">
        <f t="shared" si="83"/>
        <v>2.3332634550705995</v>
      </c>
    </row>
    <row r="5334" spans="1:5" x14ac:dyDescent="0.25">
      <c r="A5334" s="17">
        <v>350</v>
      </c>
      <c r="B5334" s="31">
        <v>46614</v>
      </c>
      <c r="C5334" s="32">
        <f>INDEX('Input Data'!$B:$B,A5334)/2+IF(A5334&lt;&gt;A5335,100,0)</f>
        <v>2.375</v>
      </c>
      <c r="D5334" s="33">
        <f>INDEX('ZCB Curve - Payment Dates'!$D$2:$D$246,MATCH(B5334,'ZCB Curve - Payment Dates'!$A$2:$A$246,0))</f>
        <v>0.96187948164765535</v>
      </c>
      <c r="E5334" s="32">
        <f t="shared" si="83"/>
        <v>2.2844637689131813</v>
      </c>
    </row>
    <row r="5335" spans="1:5" x14ac:dyDescent="0.25">
      <c r="A5335" s="17">
        <v>350</v>
      </c>
      <c r="B5335" s="31">
        <v>46798</v>
      </c>
      <c r="C5335" s="32">
        <f>INDEX('Input Data'!$B:$B,A5335)/2+IF(A5335&lt;&gt;A5336,100,0)</f>
        <v>2.375</v>
      </c>
      <c r="D5335" s="33">
        <f>INDEX('ZCB Curve - Payment Dates'!$D$2:$D$246,MATCH(B5335,'ZCB Curve - Payment Dates'!$A$2:$A$246,0))</f>
        <v>0.94049096132648802</v>
      </c>
      <c r="E5335" s="32">
        <f t="shared" si="83"/>
        <v>2.233666033150409</v>
      </c>
    </row>
    <row r="5336" spans="1:5" x14ac:dyDescent="0.25">
      <c r="A5336" s="17">
        <v>350</v>
      </c>
      <c r="B5336" s="31">
        <v>46980</v>
      </c>
      <c r="C5336" s="32">
        <f>INDEX('Input Data'!$B:$B,A5336)/2+IF(A5336&lt;&gt;A5337,100,0)</f>
        <v>2.375</v>
      </c>
      <c r="D5336" s="33">
        <f>INDEX('ZCB Curve - Payment Dates'!$D$2:$D$246,MATCH(B5336,'ZCB Curve - Payment Dates'!$A$2:$A$246,0))</f>
        <v>0.91931844130238327</v>
      </c>
      <c r="E5336" s="32">
        <f t="shared" si="83"/>
        <v>2.1833812980931602</v>
      </c>
    </row>
    <row r="5337" spans="1:5" x14ac:dyDescent="0.25">
      <c r="A5337" s="17">
        <v>350</v>
      </c>
      <c r="B5337" s="31">
        <v>47164</v>
      </c>
      <c r="C5337" s="32">
        <f>INDEX('Input Data'!$B:$B,A5337)/2+IF(A5337&lt;&gt;A5338,100,0)</f>
        <v>2.375</v>
      </c>
      <c r="D5337" s="33">
        <f>INDEX('ZCB Curve - Payment Dates'!$D$2:$D$246,MATCH(B5337,'ZCB Curve - Payment Dates'!$A$2:$A$246,0))</f>
        <v>0.89817430058086534</v>
      </c>
      <c r="E5337" s="32">
        <f t="shared" si="83"/>
        <v>2.133163963879555</v>
      </c>
    </row>
    <row r="5338" spans="1:5" x14ac:dyDescent="0.25">
      <c r="A5338" s="17">
        <v>350</v>
      </c>
      <c r="B5338" s="31">
        <v>47345</v>
      </c>
      <c r="C5338" s="32">
        <f>INDEX('Input Data'!$B:$B,A5338)/2+IF(A5338&lt;&gt;A5339,100,0)</f>
        <v>2.375</v>
      </c>
      <c r="D5338" s="33">
        <f>INDEX('ZCB Curve - Payment Dates'!$D$2:$D$246,MATCH(B5338,'ZCB Curve - Payment Dates'!$A$2:$A$246,0))</f>
        <v>0.87778421628860481</v>
      </c>
      <c r="E5338" s="32">
        <f t="shared" si="83"/>
        <v>2.0847375136854365</v>
      </c>
    </row>
    <row r="5339" spans="1:5" x14ac:dyDescent="0.25">
      <c r="A5339" s="17">
        <v>350</v>
      </c>
      <c r="B5339" s="31">
        <v>47529</v>
      </c>
      <c r="C5339" s="32">
        <f>INDEX('Input Data'!$B:$B,A5339)/2+IF(A5339&lt;&gt;A5340,100,0)</f>
        <v>2.375</v>
      </c>
      <c r="D5339" s="33">
        <f>INDEX('ZCB Curve - Payment Dates'!$D$2:$D$246,MATCH(B5339,'ZCB Curve - Payment Dates'!$A$2:$A$246,0))</f>
        <v>0.85751015570959666</v>
      </c>
      <c r="E5339" s="32">
        <f t="shared" si="83"/>
        <v>2.0365866198102922</v>
      </c>
    </row>
    <row r="5340" spans="1:5" x14ac:dyDescent="0.25">
      <c r="A5340" s="17">
        <v>350</v>
      </c>
      <c r="B5340" s="31">
        <v>47710</v>
      </c>
      <c r="C5340" s="32">
        <f>INDEX('Input Data'!$B:$B,A5340)/2+IF(A5340&lt;&gt;A5341,100,0)</f>
        <v>2.375</v>
      </c>
      <c r="D5340" s="33">
        <f>INDEX('ZCB Curve - Payment Dates'!$D$2:$D$246,MATCH(B5340,'ZCB Curve - Payment Dates'!$A$2:$A$246,0))</f>
        <v>0.83802423748211174</v>
      </c>
      <c r="E5340" s="32">
        <f t="shared" si="83"/>
        <v>1.9903075640200154</v>
      </c>
    </row>
    <row r="5341" spans="1:5" x14ac:dyDescent="0.25">
      <c r="A5341" s="17">
        <v>350</v>
      </c>
      <c r="B5341" s="31">
        <v>47894</v>
      </c>
      <c r="C5341" s="32">
        <f>INDEX('Input Data'!$B:$B,A5341)/2+IF(A5341&lt;&gt;A5342,100,0)</f>
        <v>2.375</v>
      </c>
      <c r="D5341" s="33">
        <f>INDEX('ZCB Curve - Payment Dates'!$D$2:$D$246,MATCH(B5341,'ZCB Curve - Payment Dates'!$A$2:$A$246,0))</f>
        <v>0.8186305474741673</v>
      </c>
      <c r="E5341" s="32">
        <f t="shared" si="83"/>
        <v>1.9442475502511474</v>
      </c>
    </row>
    <row r="5342" spans="1:5" x14ac:dyDescent="0.25">
      <c r="A5342" s="17">
        <v>350</v>
      </c>
      <c r="B5342" s="31">
        <v>48075</v>
      </c>
      <c r="C5342" s="32">
        <f>INDEX('Input Data'!$B:$B,A5342)/2+IF(A5342&lt;&gt;A5343,100,0)</f>
        <v>2.375</v>
      </c>
      <c r="D5342" s="33">
        <f>INDEX('ZCB Curve - Payment Dates'!$D$2:$D$246,MATCH(B5342,'ZCB Curve - Payment Dates'!$A$2:$A$246,0))</f>
        <v>0.7999252334775927</v>
      </c>
      <c r="E5342" s="32">
        <f t="shared" si="83"/>
        <v>1.8998224295092827</v>
      </c>
    </row>
    <row r="5343" spans="1:5" x14ac:dyDescent="0.25">
      <c r="A5343" s="17">
        <v>350</v>
      </c>
      <c r="B5343" s="31">
        <v>48259</v>
      </c>
      <c r="C5343" s="32">
        <f>INDEX('Input Data'!$B:$B,A5343)/2+IF(A5343&lt;&gt;A5344,100,0)</f>
        <v>2.375</v>
      </c>
      <c r="D5343" s="33">
        <f>INDEX('ZCB Curve - Payment Dates'!$D$2:$D$246,MATCH(B5343,'ZCB Curve - Payment Dates'!$A$2:$A$246,0))</f>
        <v>0.78121887027612602</v>
      </c>
      <c r="E5343" s="32">
        <f t="shared" si="83"/>
        <v>1.8553948169057992</v>
      </c>
    </row>
    <row r="5344" spans="1:5" x14ac:dyDescent="0.25">
      <c r="A5344" s="17">
        <v>350</v>
      </c>
      <c r="B5344" s="31">
        <v>48441</v>
      </c>
      <c r="C5344" s="32">
        <f>INDEX('Input Data'!$B:$B,A5344)/2+IF(A5344&lt;&gt;A5345,100,0)</f>
        <v>2.375</v>
      </c>
      <c r="D5344" s="33">
        <f>INDEX('ZCB Curve - Payment Dates'!$D$2:$D$246,MATCH(B5344,'ZCB Curve - Payment Dates'!$A$2:$A$246,0))</f>
        <v>0.76298123459017864</v>
      </c>
      <c r="E5344" s="32">
        <f t="shared" si="83"/>
        <v>1.8120804321516744</v>
      </c>
    </row>
    <row r="5345" spans="1:5" x14ac:dyDescent="0.25">
      <c r="A5345" s="17">
        <v>350</v>
      </c>
      <c r="B5345" s="31">
        <v>48625</v>
      </c>
      <c r="C5345" s="32">
        <f>INDEX('Input Data'!$B:$B,A5345)/2+IF(A5345&lt;&gt;A5346,100,0)</f>
        <v>2.375</v>
      </c>
      <c r="D5345" s="33">
        <f>INDEX('ZCB Curve - Payment Dates'!$D$2:$D$246,MATCH(B5345,'ZCB Curve - Payment Dates'!$A$2:$A$246,0))</f>
        <v>0.74476011611938586</v>
      </c>
      <c r="E5345" s="32">
        <f t="shared" si="83"/>
        <v>1.7688052757835415</v>
      </c>
    </row>
    <row r="5346" spans="1:5" x14ac:dyDescent="0.25">
      <c r="A5346" s="17">
        <v>350</v>
      </c>
      <c r="B5346" s="31">
        <v>48806</v>
      </c>
      <c r="C5346" s="32">
        <f>INDEX('Input Data'!$B:$B,A5346)/2+IF(A5346&lt;&gt;A5347,100,0)</f>
        <v>2.375</v>
      </c>
      <c r="D5346" s="33">
        <f>INDEX('ZCB Curve - Payment Dates'!$D$2:$D$246,MATCH(B5346,'ZCB Curve - Payment Dates'!$A$2:$A$246,0))</f>
        <v>0.72701302496114584</v>
      </c>
      <c r="E5346" s="32">
        <f t="shared" si="83"/>
        <v>1.7266559342827215</v>
      </c>
    </row>
    <row r="5347" spans="1:5" x14ac:dyDescent="0.25">
      <c r="A5347" s="17">
        <v>350</v>
      </c>
      <c r="B5347" s="31">
        <v>48990</v>
      </c>
      <c r="C5347" s="32">
        <f>INDEX('Input Data'!$B:$B,A5347)/2+IF(A5347&lt;&gt;A5348,100,0)</f>
        <v>2.375</v>
      </c>
      <c r="D5347" s="33">
        <f>INDEX('ZCB Curve - Payment Dates'!$D$2:$D$246,MATCH(B5347,'ZCB Curve - Payment Dates'!$A$2:$A$246,0))</f>
        <v>0.70912647031380449</v>
      </c>
      <c r="E5347" s="32">
        <f t="shared" si="83"/>
        <v>1.6841753669952857</v>
      </c>
    </row>
    <row r="5348" spans="1:5" x14ac:dyDescent="0.25">
      <c r="A5348" s="17">
        <v>350</v>
      </c>
      <c r="B5348" s="31">
        <v>49171</v>
      </c>
      <c r="C5348" s="32">
        <f>INDEX('Input Data'!$B:$B,A5348)/2+IF(A5348&lt;&gt;A5349,100,0)</f>
        <v>2.375</v>
      </c>
      <c r="D5348" s="33">
        <f>INDEX('ZCB Curve - Payment Dates'!$D$2:$D$246,MATCH(B5348,'ZCB Curve - Payment Dates'!$A$2:$A$246,0))</f>
        <v>0.6916661505723215</v>
      </c>
      <c r="E5348" s="32">
        <f t="shared" si="83"/>
        <v>1.6427071076092636</v>
      </c>
    </row>
    <row r="5349" spans="1:5" x14ac:dyDescent="0.25">
      <c r="A5349" s="17">
        <v>350</v>
      </c>
      <c r="B5349" s="31">
        <v>49355</v>
      </c>
      <c r="C5349" s="32">
        <f>INDEX('Input Data'!$B:$B,A5349)/2+IF(A5349&lt;&gt;A5350,100,0)</f>
        <v>2.375</v>
      </c>
      <c r="D5349" s="33">
        <f>INDEX('ZCB Curve - Payment Dates'!$D$2:$D$246,MATCH(B5349,'ZCB Curve - Payment Dates'!$A$2:$A$246,0))</f>
        <v>0.674047377898778</v>
      </c>
      <c r="E5349" s="32">
        <f t="shared" si="83"/>
        <v>1.6008625225095978</v>
      </c>
    </row>
    <row r="5350" spans="1:5" x14ac:dyDescent="0.25">
      <c r="A5350" s="17">
        <v>350</v>
      </c>
      <c r="B5350" s="31">
        <v>49536</v>
      </c>
      <c r="C5350" s="32">
        <f>INDEX('Input Data'!$B:$B,A5350)/2+IF(A5350&lt;&gt;A5351,100,0)</f>
        <v>2.375</v>
      </c>
      <c r="D5350" s="33">
        <f>INDEX('ZCB Curve - Payment Dates'!$D$2:$D$246,MATCH(B5350,'ZCB Curve - Payment Dates'!$A$2:$A$246,0))</f>
        <v>0.65684432300638129</v>
      </c>
      <c r="E5350" s="32">
        <f t="shared" si="83"/>
        <v>1.5600052671401556</v>
      </c>
    </row>
    <row r="5351" spans="1:5" x14ac:dyDescent="0.25">
      <c r="A5351" s="17">
        <v>350</v>
      </c>
      <c r="B5351" s="31">
        <v>49720</v>
      </c>
      <c r="C5351" s="32">
        <f>INDEX('Input Data'!$B:$B,A5351)/2+IF(A5351&lt;&gt;A5352,100,0)</f>
        <v>2.375</v>
      </c>
      <c r="D5351" s="33">
        <f>INDEX('ZCB Curve - Payment Dates'!$D$2:$D$246,MATCH(B5351,'ZCB Curve - Payment Dates'!$A$2:$A$246,0))</f>
        <v>0.63949604524993764</v>
      </c>
      <c r="E5351" s="32">
        <f t="shared" si="83"/>
        <v>1.5188031074686019</v>
      </c>
    </row>
    <row r="5352" spans="1:5" x14ac:dyDescent="0.25">
      <c r="A5352" s="17">
        <v>350</v>
      </c>
      <c r="B5352" s="31">
        <v>49902</v>
      </c>
      <c r="C5352" s="32">
        <f>INDEX('Input Data'!$B:$B,A5352)/2+IF(A5352&lt;&gt;A5353,100,0)</f>
        <v>2.375</v>
      </c>
      <c r="D5352" s="33">
        <f>INDEX('ZCB Curve - Payment Dates'!$D$2:$D$246,MATCH(B5352,'ZCB Curve - Payment Dates'!$A$2:$A$246,0))</f>
        <v>0.62248862376822711</v>
      </c>
      <c r="E5352" s="32">
        <f t="shared" si="83"/>
        <v>1.4784104814495393</v>
      </c>
    </row>
    <row r="5353" spans="1:5" x14ac:dyDescent="0.25">
      <c r="A5353" s="17">
        <v>350</v>
      </c>
      <c r="B5353" s="31">
        <v>50086</v>
      </c>
      <c r="C5353" s="32">
        <f>INDEX('Input Data'!$B:$B,A5353)/2+IF(A5353&lt;&gt;A5354,100,0)</f>
        <v>2.375</v>
      </c>
      <c r="D5353" s="33">
        <f>INDEX('ZCB Curve - Payment Dates'!$D$2:$D$246,MATCH(B5353,'ZCB Curve - Payment Dates'!$A$2:$A$246,0))</f>
        <v>0.60546490876014969</v>
      </c>
      <c r="E5353" s="32">
        <f t="shared" si="83"/>
        <v>1.4379791583053556</v>
      </c>
    </row>
    <row r="5354" spans="1:5" x14ac:dyDescent="0.25">
      <c r="A5354" s="17">
        <v>350</v>
      </c>
      <c r="B5354" s="31">
        <v>50267</v>
      </c>
      <c r="C5354" s="32">
        <f>INDEX('Input Data'!$B:$B,A5354)/2+IF(A5354&lt;&gt;A5355,100,0)</f>
        <v>2.375</v>
      </c>
      <c r="D5354" s="33">
        <f>INDEX('ZCB Curve - Payment Dates'!$D$2:$D$246,MATCH(B5354,'ZCB Curve - Payment Dates'!$A$2:$A$246,0))</f>
        <v>0.58890683803346977</v>
      </c>
      <c r="E5354" s="32">
        <f t="shared" si="83"/>
        <v>1.3986537403294907</v>
      </c>
    </row>
    <row r="5355" spans="1:5" x14ac:dyDescent="0.25">
      <c r="A5355" s="17">
        <v>350</v>
      </c>
      <c r="B5355" s="31">
        <v>50451</v>
      </c>
      <c r="C5355" s="32">
        <f>INDEX('Input Data'!$B:$B,A5355)/2+IF(A5355&lt;&gt;A5356,100,0)</f>
        <v>2.375</v>
      </c>
      <c r="D5355" s="33">
        <f>INDEX('ZCB Curve - Payment Dates'!$D$2:$D$246,MATCH(B5355,'ZCB Curve - Payment Dates'!$A$2:$A$246,0))</f>
        <v>0.57228983695479263</v>
      </c>
      <c r="E5355" s="32">
        <f t="shared" si="83"/>
        <v>1.3591883627676324</v>
      </c>
    </row>
    <row r="5356" spans="1:5" x14ac:dyDescent="0.25">
      <c r="A5356" s="17">
        <v>350</v>
      </c>
      <c r="B5356" s="31">
        <v>50632</v>
      </c>
      <c r="C5356" s="32">
        <f>INDEX('Input Data'!$B:$B,A5356)/2+IF(A5356&lt;&gt;A5357,100,0)</f>
        <v>2.375</v>
      </c>
      <c r="D5356" s="33">
        <f>INDEX('ZCB Curve - Payment Dates'!$D$2:$D$246,MATCH(B5356,'ZCB Curve - Payment Dates'!$A$2:$A$246,0))</f>
        <v>0.55617795699202288</v>
      </c>
      <c r="E5356" s="32">
        <f t="shared" si="83"/>
        <v>1.3209226478560543</v>
      </c>
    </row>
    <row r="5357" spans="1:5" x14ac:dyDescent="0.25">
      <c r="A5357" s="17">
        <v>350</v>
      </c>
      <c r="B5357" s="31">
        <v>50816</v>
      </c>
      <c r="C5357" s="32">
        <f>INDEX('Input Data'!$B:$B,A5357)/2+IF(A5357&lt;&gt;A5358,100,0)</f>
        <v>2.375</v>
      </c>
      <c r="D5357" s="33">
        <f>INDEX('ZCB Curve - Payment Dates'!$D$2:$D$246,MATCH(B5357,'ZCB Curve - Payment Dates'!$A$2:$A$246,0))</f>
        <v>0.54006240951211237</v>
      </c>
      <c r="E5357" s="32">
        <f t="shared" si="83"/>
        <v>1.282648222591267</v>
      </c>
    </row>
    <row r="5358" spans="1:5" x14ac:dyDescent="0.25">
      <c r="A5358" s="17">
        <v>350</v>
      </c>
      <c r="B5358" s="31">
        <v>50997</v>
      </c>
      <c r="C5358" s="32">
        <f>INDEX('Input Data'!$B:$B,A5358)/2+IF(A5358&lt;&gt;A5359,100,0)</f>
        <v>2.375</v>
      </c>
      <c r="D5358" s="33">
        <f>INDEX('ZCB Curve - Payment Dates'!$D$2:$D$246,MATCH(B5358,'ZCB Curve - Payment Dates'!$A$2:$A$246,0))</f>
        <v>0.52449040173194583</v>
      </c>
      <c r="E5358" s="32">
        <f t="shared" si="83"/>
        <v>1.2456647041133713</v>
      </c>
    </row>
    <row r="5359" spans="1:5" x14ac:dyDescent="0.25">
      <c r="A5359" s="17">
        <v>350</v>
      </c>
      <c r="B5359" s="31">
        <v>51181</v>
      </c>
      <c r="C5359" s="32">
        <f>INDEX('Input Data'!$B:$B,A5359)/2+IF(A5359&lt;&gt;A5360,100,0)</f>
        <v>2.375</v>
      </c>
      <c r="D5359" s="33">
        <f>INDEX('ZCB Curve - Payment Dates'!$D$2:$D$246,MATCH(B5359,'ZCB Curve - Payment Dates'!$A$2:$A$246,0))</f>
        <v>0.5089691698468306</v>
      </c>
      <c r="E5359" s="32">
        <f t="shared" si="83"/>
        <v>1.2088017783862226</v>
      </c>
    </row>
    <row r="5360" spans="1:5" x14ac:dyDescent="0.25">
      <c r="A5360" s="17">
        <v>350</v>
      </c>
      <c r="B5360" s="31">
        <v>51363</v>
      </c>
      <c r="C5360" s="32">
        <f>INDEX('Input Data'!$B:$B,A5360)/2+IF(A5360&lt;&gt;A5361,100,0)</f>
        <v>2.375</v>
      </c>
      <c r="D5360" s="33">
        <f>INDEX('ZCB Curve - Payment Dates'!$D$2:$D$246,MATCH(B5360,'ZCB Curve - Payment Dates'!$A$2:$A$246,0))</f>
        <v>0.49394036022330806</v>
      </c>
      <c r="E5360" s="32">
        <f t="shared" si="83"/>
        <v>1.1731083555303568</v>
      </c>
    </row>
    <row r="5361" spans="1:5" x14ac:dyDescent="0.25">
      <c r="A5361" s="17">
        <v>350</v>
      </c>
      <c r="B5361" s="31">
        <v>51547</v>
      </c>
      <c r="C5361" s="32">
        <f>INDEX('Input Data'!$B:$B,A5361)/2+IF(A5361&lt;&gt;A5362,100,0)</f>
        <v>2.375</v>
      </c>
      <c r="D5361" s="33">
        <f>INDEX('ZCB Curve - Payment Dates'!$D$2:$D$246,MATCH(B5361,'ZCB Curve - Payment Dates'!$A$2:$A$246,0))</f>
        <v>0.47909718957588998</v>
      </c>
      <c r="E5361" s="32">
        <f t="shared" si="83"/>
        <v>1.1378558252427386</v>
      </c>
    </row>
    <row r="5362" spans="1:5" x14ac:dyDescent="0.25">
      <c r="A5362" s="17">
        <v>350</v>
      </c>
      <c r="B5362" s="31">
        <v>51728</v>
      </c>
      <c r="C5362" s="32">
        <f>INDEX('Input Data'!$B:$B,A5362)/2+IF(A5362&lt;&gt;A5363,100,0)</f>
        <v>2.375</v>
      </c>
      <c r="D5362" s="33">
        <f>INDEX('ZCB Curve - Payment Dates'!$D$2:$D$246,MATCH(B5362,'ZCB Curve - Payment Dates'!$A$2:$A$246,0))</f>
        <v>0.46485329459616059</v>
      </c>
      <c r="E5362" s="32">
        <f t="shared" si="83"/>
        <v>1.1040265746658815</v>
      </c>
    </row>
    <row r="5363" spans="1:5" x14ac:dyDescent="0.25">
      <c r="A5363" s="17">
        <v>350</v>
      </c>
      <c r="B5363" s="31">
        <v>51912</v>
      </c>
      <c r="C5363" s="32">
        <f>INDEX('Input Data'!$B:$B,A5363)/2+IF(A5363&lt;&gt;A5364,100,0)</f>
        <v>2.375</v>
      </c>
      <c r="D5363" s="33">
        <f>INDEX('ZCB Curve - Payment Dates'!$D$2:$D$246,MATCH(B5363,'ZCB Curve - Payment Dates'!$A$2:$A$246,0))</f>
        <v>0.45075168915212815</v>
      </c>
      <c r="E5363" s="32">
        <f t="shared" si="83"/>
        <v>1.0705352617363044</v>
      </c>
    </row>
    <row r="5364" spans="1:5" x14ac:dyDescent="0.25">
      <c r="A5364" s="17">
        <v>350</v>
      </c>
      <c r="B5364" s="31">
        <v>52093</v>
      </c>
      <c r="C5364" s="32">
        <f>INDEX('Input Data'!$B:$B,A5364)/2+IF(A5364&lt;&gt;A5365,100,0)</f>
        <v>2.375</v>
      </c>
      <c r="D5364" s="33">
        <f>INDEX('ZCB Curve - Payment Dates'!$D$2:$D$246,MATCH(B5364,'ZCB Curve - Payment Dates'!$A$2:$A$246,0))</f>
        <v>0.43726259018094221</v>
      </c>
      <c r="E5364" s="32">
        <f t="shared" si="83"/>
        <v>1.0384986516797376</v>
      </c>
    </row>
    <row r="5365" spans="1:5" x14ac:dyDescent="0.25">
      <c r="A5365" s="17">
        <v>350</v>
      </c>
      <c r="B5365" s="31">
        <v>52277</v>
      </c>
      <c r="C5365" s="32">
        <f>INDEX('Input Data'!$B:$B,A5365)/2+IF(A5365&lt;&gt;A5366,100,0)</f>
        <v>2.375</v>
      </c>
      <c r="D5365" s="33">
        <f>INDEX('ZCB Curve - Payment Dates'!$D$2:$D$246,MATCH(B5365,'ZCB Curve - Payment Dates'!$A$2:$A$246,0))</f>
        <v>0.4239492285351204</v>
      </c>
      <c r="E5365" s="32">
        <f t="shared" si="83"/>
        <v>1.0068794177709111</v>
      </c>
    </row>
    <row r="5366" spans="1:5" x14ac:dyDescent="0.25">
      <c r="A5366" s="17">
        <v>350</v>
      </c>
      <c r="B5366" s="31">
        <v>52458</v>
      </c>
      <c r="C5366" s="32">
        <f>INDEX('Input Data'!$B:$B,A5366)/2+IF(A5366&lt;&gt;A5367,100,0)</f>
        <v>2.375</v>
      </c>
      <c r="D5366" s="33">
        <f>INDEX('ZCB Curve - Payment Dates'!$D$2:$D$246,MATCH(B5366,'ZCB Curve - Payment Dates'!$A$2:$A$246,0))</f>
        <v>0.4112516019468152</v>
      </c>
      <c r="E5366" s="32">
        <f t="shared" si="83"/>
        <v>0.97672255462368607</v>
      </c>
    </row>
    <row r="5367" spans="1:5" x14ac:dyDescent="0.25">
      <c r="A5367" s="17">
        <v>350</v>
      </c>
      <c r="B5367" s="31">
        <v>52642</v>
      </c>
      <c r="C5367" s="32">
        <f>INDEX('Input Data'!$B:$B,A5367)/2+IF(A5367&lt;&gt;A5368,100,0)</f>
        <v>2.375</v>
      </c>
      <c r="D5367" s="33">
        <f>INDEX('ZCB Curve - Payment Dates'!$D$2:$D$246,MATCH(B5367,'ZCB Curve - Payment Dates'!$A$2:$A$246,0))</f>
        <v>0.39875459879352759</v>
      </c>
      <c r="E5367" s="32">
        <f t="shared" si="83"/>
        <v>0.94704217213462805</v>
      </c>
    </row>
    <row r="5368" spans="1:5" x14ac:dyDescent="0.25">
      <c r="A5368" s="17">
        <v>350</v>
      </c>
      <c r="B5368" s="31">
        <v>52824</v>
      </c>
      <c r="C5368" s="32">
        <f>INDEX('Input Data'!$B:$B,A5368)/2+IF(A5368&lt;&gt;A5369,100,0)</f>
        <v>2.375</v>
      </c>
      <c r="D5368" s="33">
        <f>INDEX('ZCB Curve - Payment Dates'!$D$2:$D$246,MATCH(B5368,'ZCB Curve - Payment Dates'!$A$2:$A$246,0))</f>
        <v>0.38680384560622083</v>
      </c>
      <c r="E5368" s="32">
        <f t="shared" si="83"/>
        <v>0.91865913331477445</v>
      </c>
    </row>
    <row r="5369" spans="1:5" x14ac:dyDescent="0.25">
      <c r="A5369" s="17">
        <v>350</v>
      </c>
      <c r="B5369" s="31">
        <v>53008</v>
      </c>
      <c r="C5369" s="32">
        <f>INDEX('Input Data'!$B:$B,A5369)/2+IF(A5369&lt;&gt;A5370,100,0)</f>
        <v>2.375</v>
      </c>
      <c r="D5369" s="33">
        <f>INDEX('ZCB Curve - Payment Dates'!$D$2:$D$246,MATCH(B5369,'ZCB Curve - Payment Dates'!$A$2:$A$246,0))</f>
        <v>0.37513648791915083</v>
      </c>
      <c r="E5369" s="32">
        <f t="shared" si="83"/>
        <v>0.8909491588079832</v>
      </c>
    </row>
    <row r="5370" spans="1:5" x14ac:dyDescent="0.25">
      <c r="A5370" s="17">
        <v>350</v>
      </c>
      <c r="B5370" s="31">
        <v>53189</v>
      </c>
      <c r="C5370" s="32">
        <f>INDEX('Input Data'!$B:$B,A5370)/2+IF(A5370&lt;&gt;A5371,100,0)</f>
        <v>2.375</v>
      </c>
      <c r="D5370" s="33">
        <f>INDEX('ZCB Curve - Payment Dates'!$D$2:$D$246,MATCH(B5370,'ZCB Curve - Payment Dates'!$A$2:$A$246,0))</f>
        <v>0.36406533257851953</v>
      </c>
      <c r="E5370" s="32">
        <f t="shared" si="83"/>
        <v>0.86465516487398386</v>
      </c>
    </row>
    <row r="5371" spans="1:5" x14ac:dyDescent="0.25">
      <c r="A5371" s="17">
        <v>350</v>
      </c>
      <c r="B5371" s="31">
        <v>53373</v>
      </c>
      <c r="C5371" s="32">
        <f>INDEX('Input Data'!$B:$B,A5371)/2+IF(A5371&lt;&gt;A5372,100,0)</f>
        <v>2.375</v>
      </c>
      <c r="D5371" s="33">
        <f>INDEX('ZCB Curve - Payment Dates'!$D$2:$D$246,MATCH(B5371,'ZCB Curve - Payment Dates'!$A$2:$A$246,0))</f>
        <v>0.35322166892031259</v>
      </c>
      <c r="E5371" s="32">
        <f t="shared" si="83"/>
        <v>0.83890146368574237</v>
      </c>
    </row>
    <row r="5372" spans="1:5" x14ac:dyDescent="0.25">
      <c r="A5372" s="17">
        <v>350</v>
      </c>
      <c r="B5372" s="31">
        <v>53554</v>
      </c>
      <c r="C5372" s="32">
        <f>INDEX('Input Data'!$B:$B,A5372)/2+IF(A5372&lt;&gt;A5373,100,0)</f>
        <v>2.375</v>
      </c>
      <c r="D5372" s="33">
        <f>INDEX('ZCB Curve - Payment Dates'!$D$2:$D$246,MATCH(B5372,'ZCB Curve - Payment Dates'!$A$2:$A$246,0))</f>
        <v>0.34295436226619208</v>
      </c>
      <c r="E5372" s="32">
        <f t="shared" si="83"/>
        <v>0.81451661038220624</v>
      </c>
    </row>
    <row r="5373" spans="1:5" x14ac:dyDescent="0.25">
      <c r="A5373" s="17">
        <v>350</v>
      </c>
      <c r="B5373" s="31">
        <v>53738</v>
      </c>
      <c r="C5373" s="32">
        <f>INDEX('Input Data'!$B:$B,A5373)/2+IF(A5373&lt;&gt;A5374,100,0)</f>
        <v>2.375</v>
      </c>
      <c r="D5373" s="33">
        <f>INDEX('ZCB Curve - Payment Dates'!$D$2:$D$246,MATCH(B5373,'ZCB Curve - Payment Dates'!$A$2:$A$246,0))</f>
        <v>0.33291860450360972</v>
      </c>
      <c r="E5373" s="32">
        <f t="shared" si="83"/>
        <v>0.79068168569607311</v>
      </c>
    </row>
    <row r="5374" spans="1:5" x14ac:dyDescent="0.25">
      <c r="A5374" s="17">
        <v>350</v>
      </c>
      <c r="B5374" s="31">
        <v>53919</v>
      </c>
      <c r="C5374" s="32">
        <f>INDEX('Input Data'!$B:$B,A5374)/2+IF(A5374&lt;&gt;A5375,100,0)</f>
        <v>2.375</v>
      </c>
      <c r="D5374" s="33">
        <f>INDEX('ZCB Curve - Payment Dates'!$D$2:$D$246,MATCH(B5374,'ZCB Curve - Payment Dates'!$A$2:$A$246,0))</f>
        <v>0.32343468195091313</v>
      </c>
      <c r="E5374" s="32">
        <f t="shared" si="83"/>
        <v>0.76815736963341863</v>
      </c>
    </row>
    <row r="5375" spans="1:5" x14ac:dyDescent="0.25">
      <c r="A5375" s="17">
        <v>350</v>
      </c>
      <c r="B5375" s="31">
        <v>54103</v>
      </c>
      <c r="C5375" s="32">
        <f>INDEX('Input Data'!$B:$B,A5375)/2+IF(A5375&lt;&gt;A5376,100,0)</f>
        <v>2.375</v>
      </c>
      <c r="D5375" s="33">
        <f>INDEX('ZCB Curve - Payment Dates'!$D$2:$D$246,MATCH(B5375,'ZCB Curve - Payment Dates'!$A$2:$A$246,0))</f>
        <v>0.31418167147949361</v>
      </c>
      <c r="E5375" s="32">
        <f t="shared" si="83"/>
        <v>0.74618146976379729</v>
      </c>
    </row>
    <row r="5376" spans="1:5" x14ac:dyDescent="0.25">
      <c r="A5376" s="17">
        <v>350</v>
      </c>
      <c r="B5376" s="31">
        <v>54285</v>
      </c>
      <c r="C5376" s="32">
        <f>INDEX('Input Data'!$B:$B,A5376)/2+IF(A5376&lt;&gt;A5377,100,0)</f>
        <v>2.375</v>
      </c>
      <c r="D5376" s="33">
        <f>INDEX('ZCB Curve - Payment Dates'!$D$2:$D$246,MATCH(B5376,'ZCB Curve - Payment Dates'!$A$2:$A$246,0))</f>
        <v>0.30540618878290843</v>
      </c>
      <c r="E5376" s="32">
        <f t="shared" si="83"/>
        <v>0.72533969835940748</v>
      </c>
    </row>
    <row r="5377" spans="1:5" x14ac:dyDescent="0.25">
      <c r="A5377" s="17">
        <v>350</v>
      </c>
      <c r="B5377" s="31">
        <v>54469</v>
      </c>
      <c r="C5377" s="32">
        <f>INDEX('Input Data'!$B:$B,A5377)/2+IF(A5377&lt;&gt;A5378,100,0)</f>
        <v>2.375</v>
      </c>
      <c r="D5377" s="33">
        <f>INDEX('ZCB Curve - Payment Dates'!$D$2:$D$246,MATCH(B5377,'ZCB Curve - Payment Dates'!$A$2:$A$246,0))</f>
        <v>0.29690423521941833</v>
      </c>
      <c r="E5377" s="32">
        <f t="shared" si="83"/>
        <v>0.70514755864611856</v>
      </c>
    </row>
    <row r="5378" spans="1:5" x14ac:dyDescent="0.25">
      <c r="A5378" s="17">
        <v>350</v>
      </c>
      <c r="B5378" s="31">
        <v>54650</v>
      </c>
      <c r="C5378" s="32">
        <f>INDEX('Input Data'!$B:$B,A5378)/2+IF(A5378&lt;&gt;A5379,100,0)</f>
        <v>2.375</v>
      </c>
      <c r="D5378" s="33">
        <f>INDEX('ZCB Curve - Payment Dates'!$D$2:$D$246,MATCH(B5378,'ZCB Curve - Payment Dates'!$A$2:$A$246,0))</f>
        <v>0.2888997564491238</v>
      </c>
      <c r="E5378" s="32">
        <f t="shared" ref="E5378:E5441" si="84">C5378*D5378</f>
        <v>0.68613692156666906</v>
      </c>
    </row>
    <row r="5379" spans="1:5" x14ac:dyDescent="0.25">
      <c r="A5379" s="17">
        <v>350</v>
      </c>
      <c r="B5379" s="31">
        <v>54834</v>
      </c>
      <c r="C5379" s="32">
        <f>INDEX('Input Data'!$B:$B,A5379)/2+IF(A5379&lt;&gt;A5380,100,0)</f>
        <v>2.375</v>
      </c>
      <c r="D5379" s="33">
        <f>INDEX('ZCB Curve - Payment Dates'!$D$2:$D$246,MATCH(B5379,'ZCB Curve - Payment Dates'!$A$2:$A$246,0))</f>
        <v>0.28111189964037164</v>
      </c>
      <c r="E5379" s="32">
        <f t="shared" si="84"/>
        <v>0.6676407616458826</v>
      </c>
    </row>
    <row r="5380" spans="1:5" x14ac:dyDescent="0.25">
      <c r="A5380" s="17">
        <v>350</v>
      </c>
      <c r="B5380" s="31">
        <v>55015</v>
      </c>
      <c r="C5380" s="32">
        <f>INDEX('Input Data'!$B:$B,A5380)/2+IF(A5380&lt;&gt;A5381,100,0)</f>
        <v>2.375</v>
      </c>
      <c r="D5380" s="33">
        <f>INDEX('ZCB Curve - Payment Dates'!$D$2:$D$246,MATCH(B5380,'ZCB Curve - Payment Dates'!$A$2:$A$246,0))</f>
        <v>0.27379046078597996</v>
      </c>
      <c r="E5380" s="32">
        <f t="shared" si="84"/>
        <v>0.65025234436670243</v>
      </c>
    </row>
    <row r="5381" spans="1:5" x14ac:dyDescent="0.25">
      <c r="A5381" s="17">
        <v>350</v>
      </c>
      <c r="B5381" s="31">
        <v>55199</v>
      </c>
      <c r="C5381" s="32">
        <f>INDEX('Input Data'!$B:$B,A5381)/2+IF(A5381&lt;&gt;A5382,100,0)</f>
        <v>2.375</v>
      </c>
      <c r="D5381" s="33">
        <f>INDEX('ZCB Curve - Payment Dates'!$D$2:$D$246,MATCH(B5381,'ZCB Curve - Payment Dates'!$A$2:$A$246,0))</f>
        <v>0.26667724322397307</v>
      </c>
      <c r="E5381" s="32">
        <f t="shared" si="84"/>
        <v>0.63335845265693602</v>
      </c>
    </row>
    <row r="5382" spans="1:5" x14ac:dyDescent="0.25">
      <c r="A5382" s="17">
        <v>350</v>
      </c>
      <c r="B5382" s="31">
        <v>55380</v>
      </c>
      <c r="C5382" s="32">
        <f>INDEX('Input Data'!$B:$B,A5382)/2+IF(A5382&lt;&gt;A5383,100,0)</f>
        <v>2.375</v>
      </c>
      <c r="D5382" s="33">
        <f>INDEX('ZCB Curve - Payment Dates'!$D$2:$D$246,MATCH(B5382,'ZCB Curve - Payment Dates'!$A$2:$A$246,0))</f>
        <v>0.25999926234228898</v>
      </c>
      <c r="E5382" s="32">
        <f t="shared" si="84"/>
        <v>0.61749824806293629</v>
      </c>
    </row>
    <row r="5383" spans="1:5" x14ac:dyDescent="0.25">
      <c r="A5383" s="17">
        <v>350</v>
      </c>
      <c r="B5383" s="31">
        <v>55564</v>
      </c>
      <c r="C5383" s="32">
        <f>INDEX('Input Data'!$B:$B,A5383)/2+IF(A5383&lt;&gt;A5384,100,0)</f>
        <v>2.375</v>
      </c>
      <c r="D5383" s="33">
        <f>INDEX('ZCB Curve - Payment Dates'!$D$2:$D$246,MATCH(B5383,'ZCB Curve - Payment Dates'!$A$2:$A$246,0))</f>
        <v>0.25351997596294801</v>
      </c>
      <c r="E5383" s="32">
        <f t="shared" si="84"/>
        <v>0.60210994291200148</v>
      </c>
    </row>
    <row r="5384" spans="1:5" x14ac:dyDescent="0.25">
      <c r="A5384" s="17">
        <v>350</v>
      </c>
      <c r="B5384" s="31">
        <v>55746</v>
      </c>
      <c r="C5384" s="32">
        <f>INDEX('Input Data'!$B:$B,A5384)/2+IF(A5384&lt;&gt;A5385,100,0)</f>
        <v>2.375</v>
      </c>
      <c r="D5384" s="33">
        <f>INDEX('ZCB Curve - Payment Dates'!$D$2:$D$246,MATCH(B5384,'ZCB Curve - Payment Dates'!$A$2:$A$246,0))</f>
        <v>0.24741177833471262</v>
      </c>
      <c r="E5384" s="32">
        <f t="shared" si="84"/>
        <v>0.58760297354494251</v>
      </c>
    </row>
    <row r="5385" spans="1:5" x14ac:dyDescent="0.25">
      <c r="A5385" s="17">
        <v>350</v>
      </c>
      <c r="B5385" s="31">
        <v>55930</v>
      </c>
      <c r="C5385" s="32">
        <f>INDEX('Input Data'!$B:$B,A5385)/2+IF(A5385&lt;&gt;A5386,100,0)</f>
        <v>2.375</v>
      </c>
      <c r="D5385" s="33">
        <f>INDEX('ZCB Curve - Payment Dates'!$D$2:$D$246,MATCH(B5385,'ZCB Curve - Payment Dates'!$A$2:$A$246,0))</f>
        <v>0.24152840552252464</v>
      </c>
      <c r="E5385" s="32">
        <f t="shared" si="84"/>
        <v>0.57362996311599601</v>
      </c>
    </row>
    <row r="5386" spans="1:5" x14ac:dyDescent="0.25">
      <c r="A5386" s="17">
        <v>350</v>
      </c>
      <c r="B5386" s="31">
        <v>56111</v>
      </c>
      <c r="C5386" s="32">
        <f>INDEX('Input Data'!$B:$B,A5386)/2+IF(A5386&lt;&gt;A5387,100,0)</f>
        <v>2.375</v>
      </c>
      <c r="D5386" s="33">
        <f>INDEX('ZCB Curve - Payment Dates'!$D$2:$D$246,MATCH(B5386,'ZCB Curve - Payment Dates'!$A$2:$A$246,0))</f>
        <v>0.23601759993777988</v>
      </c>
      <c r="E5386" s="32">
        <f t="shared" si="84"/>
        <v>0.56054179985222718</v>
      </c>
    </row>
    <row r="5387" spans="1:5" x14ac:dyDescent="0.25">
      <c r="A5387" s="17">
        <v>350</v>
      </c>
      <c r="B5387" s="31">
        <v>56295</v>
      </c>
      <c r="C5387" s="32">
        <f>INDEX('Input Data'!$B:$B,A5387)/2+IF(A5387&lt;&gt;A5388,100,0)</f>
        <v>2.375</v>
      </c>
      <c r="D5387" s="33">
        <f>INDEX('ZCB Curve - Payment Dates'!$D$2:$D$246,MATCH(B5387,'ZCB Curve - Payment Dates'!$A$2:$A$246,0))</f>
        <v>0.23068727764963001</v>
      </c>
      <c r="E5387" s="32">
        <f t="shared" si="84"/>
        <v>0.54788228441787123</v>
      </c>
    </row>
    <row r="5388" spans="1:5" x14ac:dyDescent="0.25">
      <c r="A5388" s="17">
        <v>350</v>
      </c>
      <c r="B5388" s="31">
        <v>56476</v>
      </c>
      <c r="C5388" s="32">
        <f>INDEX('Input Data'!$B:$B,A5388)/2+IF(A5388&lt;&gt;A5389,100,0)</f>
        <v>2.375</v>
      </c>
      <c r="D5388" s="33">
        <f>INDEX('ZCB Curve - Payment Dates'!$D$2:$D$246,MATCH(B5388,'ZCB Curve - Payment Dates'!$A$2:$A$246,0))</f>
        <v>0.22570143434065604</v>
      </c>
      <c r="E5388" s="32">
        <f t="shared" si="84"/>
        <v>0.53604090655905812</v>
      </c>
    </row>
    <row r="5389" spans="1:5" x14ac:dyDescent="0.25">
      <c r="A5389" s="17">
        <v>350</v>
      </c>
      <c r="B5389" s="31">
        <v>56660</v>
      </c>
      <c r="C5389" s="32">
        <f>INDEX('Input Data'!$B:$B,A5389)/2+IF(A5389&lt;&gt;A5390,100,0)</f>
        <v>2.375</v>
      </c>
      <c r="D5389" s="33">
        <f>INDEX('ZCB Curve - Payment Dates'!$D$2:$D$246,MATCH(B5389,'ZCB Curve - Payment Dates'!$A$2:$A$246,0))</f>
        <v>0.22088579586025855</v>
      </c>
      <c r="E5389" s="32">
        <f t="shared" si="84"/>
        <v>0.52460376516811402</v>
      </c>
    </row>
    <row r="5390" spans="1:5" x14ac:dyDescent="0.25">
      <c r="A5390" s="17">
        <v>350</v>
      </c>
      <c r="B5390" s="31">
        <v>56841</v>
      </c>
      <c r="C5390" s="32">
        <f>INDEX('Input Data'!$B:$B,A5390)/2+IF(A5390&lt;&gt;A5391,100,0)</f>
        <v>102.375</v>
      </c>
      <c r="D5390" s="33">
        <f>INDEX('ZCB Curve - Payment Dates'!$D$2:$D$246,MATCH(B5390,'ZCB Curve - Payment Dates'!$A$2:$A$246,0))</f>
        <v>0.21638810336036826</v>
      </c>
      <c r="E5390" s="32">
        <f t="shared" si="84"/>
        <v>22.152732081517701</v>
      </c>
    </row>
    <row r="5391" spans="1:5" x14ac:dyDescent="0.25">
      <c r="A5391" s="17">
        <v>351</v>
      </c>
      <c r="B5391" s="31">
        <v>46341</v>
      </c>
      <c r="C5391" s="32">
        <f>INDEX('Input Data'!$B:$B,A5391)/2+IF(A5391&lt;&gt;A5392,100,0)</f>
        <v>2.3125</v>
      </c>
      <c r="D5391" s="33">
        <f>INDEX('ZCB Curve - Payment Dates'!$D$2:$D$246,MATCH(B5391,'ZCB Curve - Payment Dates'!$A$2:$A$246,0))</f>
        <v>0.99245367292309439</v>
      </c>
      <c r="E5391" s="32">
        <f t="shared" si="84"/>
        <v>2.2950491186346555</v>
      </c>
    </row>
    <row r="5392" spans="1:5" x14ac:dyDescent="0.25">
      <c r="A5392" s="17">
        <v>351</v>
      </c>
      <c r="B5392" s="31">
        <v>46522</v>
      </c>
      <c r="C5392" s="32">
        <f>INDEX('Input Data'!$B:$B,A5392)/2+IF(A5392&lt;&gt;A5393,100,0)</f>
        <v>2.3125</v>
      </c>
      <c r="D5392" s="33">
        <f>INDEX('ZCB Curve - Payment Dates'!$D$2:$D$246,MATCH(B5392,'ZCB Curve - Payment Dates'!$A$2:$A$246,0))</f>
        <v>0.97242179559611874</v>
      </c>
      <c r="E5392" s="32">
        <f t="shared" si="84"/>
        <v>2.2487254023160248</v>
      </c>
    </row>
    <row r="5393" spans="1:5" x14ac:dyDescent="0.25">
      <c r="A5393" s="17">
        <v>351</v>
      </c>
      <c r="B5393" s="31">
        <v>46706</v>
      </c>
      <c r="C5393" s="32">
        <f>INDEX('Input Data'!$B:$B,A5393)/2+IF(A5393&lt;&gt;A5394,100,0)</f>
        <v>2.3125</v>
      </c>
      <c r="D5393" s="33">
        <f>INDEX('ZCB Curve - Payment Dates'!$D$2:$D$246,MATCH(B5393,'ZCB Curve - Payment Dates'!$A$2:$A$246,0))</f>
        <v>0.95121018311627348</v>
      </c>
      <c r="E5393" s="32">
        <f t="shared" si="84"/>
        <v>2.1996735484563823</v>
      </c>
    </row>
    <row r="5394" spans="1:5" x14ac:dyDescent="0.25">
      <c r="A5394" s="17">
        <v>351</v>
      </c>
      <c r="B5394" s="31">
        <v>46888</v>
      </c>
      <c r="C5394" s="32">
        <f>INDEX('Input Data'!$B:$B,A5394)/2+IF(A5394&lt;&gt;A5395,100,0)</f>
        <v>2.3125</v>
      </c>
      <c r="D5394" s="33">
        <f>INDEX('ZCB Curve - Payment Dates'!$D$2:$D$246,MATCH(B5394,'ZCB Curve - Payment Dates'!$A$2:$A$246,0))</f>
        <v>0.93000025435083566</v>
      </c>
      <c r="E5394" s="32">
        <f t="shared" si="84"/>
        <v>2.1506255881863074</v>
      </c>
    </row>
    <row r="5395" spans="1:5" x14ac:dyDescent="0.25">
      <c r="A5395" s="17">
        <v>351</v>
      </c>
      <c r="B5395" s="31">
        <v>47072</v>
      </c>
      <c r="C5395" s="32">
        <f>INDEX('Input Data'!$B:$B,A5395)/2+IF(A5395&lt;&gt;A5396,100,0)</f>
        <v>2.3125</v>
      </c>
      <c r="D5395" s="33">
        <f>INDEX('ZCB Curve - Payment Dates'!$D$2:$D$246,MATCH(B5395,'ZCB Curve - Payment Dates'!$A$2:$A$246,0))</f>
        <v>0.90870125167038918</v>
      </c>
      <c r="E5395" s="32">
        <f t="shared" si="84"/>
        <v>2.101371644487775</v>
      </c>
    </row>
    <row r="5396" spans="1:5" x14ac:dyDescent="0.25">
      <c r="A5396" s="17">
        <v>351</v>
      </c>
      <c r="B5396" s="31">
        <v>47253</v>
      </c>
      <c r="C5396" s="32">
        <f>INDEX('Input Data'!$B:$B,A5396)/2+IF(A5396&lt;&gt;A5397,100,0)</f>
        <v>2.3125</v>
      </c>
      <c r="D5396" s="33">
        <f>INDEX('ZCB Curve - Payment Dates'!$D$2:$D$246,MATCH(B5396,'ZCB Curve - Payment Dates'!$A$2:$A$246,0))</f>
        <v>0.88809325063638844</v>
      </c>
      <c r="E5396" s="32">
        <f t="shared" si="84"/>
        <v>2.0537156420966483</v>
      </c>
    </row>
    <row r="5397" spans="1:5" x14ac:dyDescent="0.25">
      <c r="A5397" s="17">
        <v>351</v>
      </c>
      <c r="B5397" s="31">
        <v>47437</v>
      </c>
      <c r="C5397" s="32">
        <f>INDEX('Input Data'!$B:$B,A5397)/2+IF(A5397&lt;&gt;A5398,100,0)</f>
        <v>2.3125</v>
      </c>
      <c r="D5397" s="33">
        <f>INDEX('ZCB Curve - Payment Dates'!$D$2:$D$246,MATCH(B5397,'ZCB Curve - Payment Dates'!$A$2:$A$246,0))</f>
        <v>0.86758824089536279</v>
      </c>
      <c r="E5397" s="32">
        <f t="shared" si="84"/>
        <v>2.0062978070705264</v>
      </c>
    </row>
    <row r="5398" spans="1:5" x14ac:dyDescent="0.25">
      <c r="A5398" s="17">
        <v>351</v>
      </c>
      <c r="B5398" s="31">
        <v>47618</v>
      </c>
      <c r="C5398" s="32">
        <f>INDEX('Input Data'!$B:$B,A5398)/2+IF(A5398&lt;&gt;A5399,100,0)</f>
        <v>2.3125</v>
      </c>
      <c r="D5398" s="33">
        <f>INDEX('ZCB Curve - Payment Dates'!$D$2:$D$246,MATCH(B5398,'ZCB Curve - Payment Dates'!$A$2:$A$246,0))</f>
        <v>0.84787416911783064</v>
      </c>
      <c r="E5398" s="32">
        <f t="shared" si="84"/>
        <v>1.9607090160849834</v>
      </c>
    </row>
    <row r="5399" spans="1:5" x14ac:dyDescent="0.25">
      <c r="A5399" s="17">
        <v>351</v>
      </c>
      <c r="B5399" s="31">
        <v>47802</v>
      </c>
      <c r="C5399" s="32">
        <f>INDEX('Input Data'!$B:$B,A5399)/2+IF(A5399&lt;&gt;A5400,100,0)</f>
        <v>2.3125</v>
      </c>
      <c r="D5399" s="33">
        <f>INDEX('ZCB Curve - Payment Dates'!$D$2:$D$246,MATCH(B5399,'ZCB Curve - Payment Dates'!$A$2:$A$246,0))</f>
        <v>0.82827715028796722</v>
      </c>
      <c r="E5399" s="32">
        <f t="shared" si="84"/>
        <v>1.9153909100409241</v>
      </c>
    </row>
    <row r="5400" spans="1:5" x14ac:dyDescent="0.25">
      <c r="A5400" s="17">
        <v>351</v>
      </c>
      <c r="B5400" s="31">
        <v>47983</v>
      </c>
      <c r="C5400" s="32">
        <f>INDEX('Input Data'!$B:$B,A5400)/2+IF(A5400&lt;&gt;A5401,100,0)</f>
        <v>2.3125</v>
      </c>
      <c r="D5400" s="33">
        <f>INDEX('ZCB Curve - Payment Dates'!$D$2:$D$246,MATCH(B5400,'ZCB Curve - Payment Dates'!$A$2:$A$246,0))</f>
        <v>0.80939067484273564</v>
      </c>
      <c r="E5400" s="32">
        <f t="shared" si="84"/>
        <v>1.8717159355738262</v>
      </c>
    </row>
    <row r="5401" spans="1:5" x14ac:dyDescent="0.25">
      <c r="A5401" s="17">
        <v>351</v>
      </c>
      <c r="B5401" s="31">
        <v>48167</v>
      </c>
      <c r="C5401" s="32">
        <f>INDEX('Input Data'!$B:$B,A5401)/2+IF(A5401&lt;&gt;A5402,100,0)</f>
        <v>2.3125</v>
      </c>
      <c r="D5401" s="33">
        <f>INDEX('ZCB Curve - Payment Dates'!$D$2:$D$246,MATCH(B5401,'ZCB Curve - Payment Dates'!$A$2:$A$246,0))</f>
        <v>0.79053567842581962</v>
      </c>
      <c r="E5401" s="32">
        <f t="shared" si="84"/>
        <v>1.8281137563597079</v>
      </c>
    </row>
    <row r="5402" spans="1:5" x14ac:dyDescent="0.25">
      <c r="A5402" s="17">
        <v>351</v>
      </c>
      <c r="B5402" s="31">
        <v>48349</v>
      </c>
      <c r="C5402" s="32">
        <f>INDEX('Input Data'!$B:$B,A5402)/2+IF(A5402&lt;&gt;A5403,100,0)</f>
        <v>2.3125</v>
      </c>
      <c r="D5402" s="33">
        <f>INDEX('ZCB Curve - Payment Dates'!$D$2:$D$246,MATCH(B5402,'ZCB Curve - Payment Dates'!$A$2:$A$246,0))</f>
        <v>0.77217305702007488</v>
      </c>
      <c r="E5402" s="32">
        <f t="shared" si="84"/>
        <v>1.7856501943589231</v>
      </c>
    </row>
    <row r="5403" spans="1:5" x14ac:dyDescent="0.25">
      <c r="A5403" s="17">
        <v>351</v>
      </c>
      <c r="B5403" s="31">
        <v>48533</v>
      </c>
      <c r="C5403" s="32">
        <f>INDEX('Input Data'!$B:$B,A5403)/2+IF(A5403&lt;&gt;A5404,100,0)</f>
        <v>2.3125</v>
      </c>
      <c r="D5403" s="33">
        <f>INDEX('ZCB Curve - Payment Dates'!$D$2:$D$246,MATCH(B5403,'ZCB Curve - Payment Dates'!$A$2:$A$246,0))</f>
        <v>0.75384766072076514</v>
      </c>
      <c r="E5403" s="32">
        <f t="shared" si="84"/>
        <v>1.7432727154167693</v>
      </c>
    </row>
    <row r="5404" spans="1:5" x14ac:dyDescent="0.25">
      <c r="A5404" s="17">
        <v>351</v>
      </c>
      <c r="B5404" s="31">
        <v>48714</v>
      </c>
      <c r="C5404" s="32">
        <f>INDEX('Input Data'!$B:$B,A5404)/2+IF(A5404&lt;&gt;A5405,100,0)</f>
        <v>2.3125</v>
      </c>
      <c r="D5404" s="33">
        <f>INDEX('ZCB Curve - Payment Dates'!$D$2:$D$246,MATCH(B5404,'ZCB Curve - Payment Dates'!$A$2:$A$246,0))</f>
        <v>0.73601491848746747</v>
      </c>
      <c r="E5404" s="32">
        <f t="shared" si="84"/>
        <v>1.7020344990022684</v>
      </c>
    </row>
    <row r="5405" spans="1:5" x14ac:dyDescent="0.25">
      <c r="A5405" s="17">
        <v>351</v>
      </c>
      <c r="B5405" s="31">
        <v>48898</v>
      </c>
      <c r="C5405" s="32">
        <f>INDEX('Input Data'!$B:$B,A5405)/2+IF(A5405&lt;&gt;A5406,100,0)</f>
        <v>2.3125</v>
      </c>
      <c r="D5405" s="33">
        <f>INDEX('ZCB Curve - Payment Dates'!$D$2:$D$246,MATCH(B5405,'ZCB Curve - Payment Dates'!$A$2:$A$246,0))</f>
        <v>0.71805338140354003</v>
      </c>
      <c r="E5405" s="32">
        <f t="shared" si="84"/>
        <v>1.6604984444956863</v>
      </c>
    </row>
    <row r="5406" spans="1:5" x14ac:dyDescent="0.25">
      <c r="A5406" s="17">
        <v>351</v>
      </c>
      <c r="B5406" s="31">
        <v>49079</v>
      </c>
      <c r="C5406" s="32">
        <f>INDEX('Input Data'!$B:$B,A5406)/2+IF(A5406&lt;&gt;A5407,100,0)</f>
        <v>2.3125</v>
      </c>
      <c r="D5406" s="33">
        <f>INDEX('ZCB Curve - Payment Dates'!$D$2:$D$246,MATCH(B5406,'ZCB Curve - Payment Dates'!$A$2:$A$246,0))</f>
        <v>0.70052630492471468</v>
      </c>
      <c r="E5406" s="32">
        <f t="shared" si="84"/>
        <v>1.6199670801384027</v>
      </c>
    </row>
    <row r="5407" spans="1:5" x14ac:dyDescent="0.25">
      <c r="A5407" s="17">
        <v>351</v>
      </c>
      <c r="B5407" s="31">
        <v>49263</v>
      </c>
      <c r="C5407" s="32">
        <f>INDEX('Input Data'!$B:$B,A5407)/2+IF(A5407&lt;&gt;A5408,100,0)</f>
        <v>2.3125</v>
      </c>
      <c r="D5407" s="33">
        <f>INDEX('ZCB Curve - Payment Dates'!$D$2:$D$246,MATCH(B5407,'ZCB Curve - Payment Dates'!$A$2:$A$246,0))</f>
        <v>0.68284221202539863</v>
      </c>
      <c r="E5407" s="32">
        <f t="shared" si="84"/>
        <v>1.5790726153087344</v>
      </c>
    </row>
    <row r="5408" spans="1:5" x14ac:dyDescent="0.25">
      <c r="A5408" s="17">
        <v>351</v>
      </c>
      <c r="B5408" s="31">
        <v>49444</v>
      </c>
      <c r="C5408" s="32">
        <f>INDEX('Input Data'!$B:$B,A5408)/2+IF(A5408&lt;&gt;A5409,100,0)</f>
        <v>2.3125</v>
      </c>
      <c r="D5408" s="33">
        <f>INDEX('ZCB Curve - Payment Dates'!$D$2:$D$246,MATCH(B5408,'ZCB Curve - Payment Dates'!$A$2:$A$246,0))</f>
        <v>0.66557347415228496</v>
      </c>
      <c r="E5408" s="32">
        <f t="shared" si="84"/>
        <v>1.539138658977159</v>
      </c>
    </row>
    <row r="5409" spans="1:5" x14ac:dyDescent="0.25">
      <c r="A5409" s="17">
        <v>351</v>
      </c>
      <c r="B5409" s="31">
        <v>49628</v>
      </c>
      <c r="C5409" s="32">
        <f>INDEX('Input Data'!$B:$B,A5409)/2+IF(A5409&lt;&gt;A5410,100,0)</f>
        <v>2.3125</v>
      </c>
      <c r="D5409" s="33">
        <f>INDEX('ZCB Curve - Payment Dates'!$D$2:$D$246,MATCH(B5409,'ZCB Curve - Payment Dates'!$A$2:$A$246,0))</f>
        <v>0.64815361918127823</v>
      </c>
      <c r="E5409" s="32">
        <f t="shared" si="84"/>
        <v>1.4988552443567058</v>
      </c>
    </row>
    <row r="5410" spans="1:5" x14ac:dyDescent="0.25">
      <c r="A5410" s="17">
        <v>351</v>
      </c>
      <c r="B5410" s="31">
        <v>49810</v>
      </c>
      <c r="C5410" s="32">
        <f>INDEX('Input Data'!$B:$B,A5410)/2+IF(A5410&lt;&gt;A5411,100,0)</f>
        <v>2.3125</v>
      </c>
      <c r="D5410" s="33">
        <f>INDEX('ZCB Curve - Payment Dates'!$D$2:$D$246,MATCH(B5410,'ZCB Curve - Payment Dates'!$A$2:$A$246,0))</f>
        <v>0.63106457078577471</v>
      </c>
      <c r="E5410" s="32">
        <f t="shared" si="84"/>
        <v>1.459336819942104</v>
      </c>
    </row>
    <row r="5411" spans="1:5" x14ac:dyDescent="0.25">
      <c r="A5411" s="17">
        <v>351</v>
      </c>
      <c r="B5411" s="31">
        <v>49994</v>
      </c>
      <c r="C5411" s="32">
        <f>INDEX('Input Data'!$B:$B,A5411)/2+IF(A5411&lt;&gt;A5412,100,0)</f>
        <v>2.3125</v>
      </c>
      <c r="D5411" s="33">
        <f>INDEX('ZCB Curve - Payment Dates'!$D$2:$D$246,MATCH(B5411,'ZCB Curve - Payment Dates'!$A$2:$A$246,0))</f>
        <v>0.61395227923184648</v>
      </c>
      <c r="E5411" s="32">
        <f t="shared" si="84"/>
        <v>1.419764645723645</v>
      </c>
    </row>
    <row r="5412" spans="1:5" x14ac:dyDescent="0.25">
      <c r="A5412" s="17">
        <v>351</v>
      </c>
      <c r="B5412" s="31">
        <v>50175</v>
      </c>
      <c r="C5412" s="32">
        <f>INDEX('Input Data'!$B:$B,A5412)/2+IF(A5412&lt;&gt;A5413,100,0)</f>
        <v>2.3125</v>
      </c>
      <c r="D5412" s="33">
        <f>INDEX('ZCB Curve - Payment Dates'!$D$2:$D$246,MATCH(B5412,'ZCB Curve - Payment Dates'!$A$2:$A$246,0))</f>
        <v>0.5972963482314616</v>
      </c>
      <c r="E5412" s="32">
        <f t="shared" si="84"/>
        <v>1.381247805285255</v>
      </c>
    </row>
    <row r="5413" spans="1:5" x14ac:dyDescent="0.25">
      <c r="A5413" s="17">
        <v>351</v>
      </c>
      <c r="B5413" s="31">
        <v>50359</v>
      </c>
      <c r="C5413" s="32">
        <f>INDEX('Input Data'!$B:$B,A5413)/2+IF(A5413&lt;&gt;A5414,100,0)</f>
        <v>2.3125</v>
      </c>
      <c r="D5413" s="33">
        <f>INDEX('ZCB Curve - Payment Dates'!$D$2:$D$246,MATCH(B5413,'ZCB Curve - Payment Dates'!$A$2:$A$246,0))</f>
        <v>0.58056812006155756</v>
      </c>
      <c r="E5413" s="32">
        <f t="shared" si="84"/>
        <v>1.3425637776423518</v>
      </c>
    </row>
    <row r="5414" spans="1:5" x14ac:dyDescent="0.25">
      <c r="A5414" s="17">
        <v>351</v>
      </c>
      <c r="B5414" s="31">
        <v>50540</v>
      </c>
      <c r="C5414" s="32">
        <f>INDEX('Input Data'!$B:$B,A5414)/2+IF(A5414&lt;&gt;A5415,100,0)</f>
        <v>2.3125</v>
      </c>
      <c r="D5414" s="33">
        <f>INDEX('ZCB Curve - Payment Dates'!$D$2:$D$246,MATCH(B5414,'ZCB Curve - Payment Dates'!$A$2:$A$246,0))</f>
        <v>0.56433491315969797</v>
      </c>
      <c r="E5414" s="32">
        <f t="shared" si="84"/>
        <v>1.3050244866818015</v>
      </c>
    </row>
    <row r="5415" spans="1:5" x14ac:dyDescent="0.25">
      <c r="A5415" s="17">
        <v>351</v>
      </c>
      <c r="B5415" s="31">
        <v>50724</v>
      </c>
      <c r="C5415" s="32">
        <f>INDEX('Input Data'!$B:$B,A5415)/2+IF(A5415&lt;&gt;A5416,100,0)</f>
        <v>2.3125</v>
      </c>
      <c r="D5415" s="33">
        <f>INDEX('ZCB Curve - Payment Dates'!$D$2:$D$246,MATCH(B5415,'ZCB Curve - Payment Dates'!$A$2:$A$246,0))</f>
        <v>0.54808398139057424</v>
      </c>
      <c r="E5415" s="32">
        <f t="shared" si="84"/>
        <v>1.267444206965703</v>
      </c>
    </row>
    <row r="5416" spans="1:5" x14ac:dyDescent="0.25">
      <c r="A5416" s="17">
        <v>351</v>
      </c>
      <c r="B5416" s="31">
        <v>50905</v>
      </c>
      <c r="C5416" s="32">
        <f>INDEX('Input Data'!$B:$B,A5416)/2+IF(A5416&lt;&gt;A5417,100,0)</f>
        <v>2.3125</v>
      </c>
      <c r="D5416" s="33">
        <f>INDEX('ZCB Curve - Payment Dates'!$D$2:$D$246,MATCH(B5416,'ZCB Curve - Payment Dates'!$A$2:$A$246,0))</f>
        <v>0.5323673246083096</v>
      </c>
      <c r="E5416" s="32">
        <f t="shared" si="84"/>
        <v>1.231099438156716</v>
      </c>
    </row>
    <row r="5417" spans="1:5" x14ac:dyDescent="0.25">
      <c r="A5417" s="17">
        <v>351</v>
      </c>
      <c r="B5417" s="31">
        <v>51089</v>
      </c>
      <c r="C5417" s="32">
        <f>INDEX('Input Data'!$B:$B,A5417)/2+IF(A5417&lt;&gt;A5418,100,0)</f>
        <v>2.3125</v>
      </c>
      <c r="D5417" s="33">
        <f>INDEX('ZCB Curve - Payment Dates'!$D$2:$D$246,MATCH(B5417,'ZCB Curve - Payment Dates'!$A$2:$A$246,0))</f>
        <v>0.51668806431098135</v>
      </c>
      <c r="E5417" s="32">
        <f t="shared" si="84"/>
        <v>1.1948411487191444</v>
      </c>
    </row>
    <row r="5418" spans="1:5" x14ac:dyDescent="0.25">
      <c r="A5418" s="17">
        <v>351</v>
      </c>
      <c r="B5418" s="31">
        <v>51271</v>
      </c>
      <c r="C5418" s="32">
        <f>INDEX('Input Data'!$B:$B,A5418)/2+IF(A5418&lt;&gt;A5419,100,0)</f>
        <v>2.3125</v>
      </c>
      <c r="D5418" s="33">
        <f>INDEX('ZCB Curve - Payment Dates'!$D$2:$D$246,MATCH(B5418,'ZCB Curve - Payment Dates'!$A$2:$A$246,0))</f>
        <v>0.50149590020417278</v>
      </c>
      <c r="E5418" s="32">
        <f t="shared" si="84"/>
        <v>1.1597092692221496</v>
      </c>
    </row>
    <row r="5419" spans="1:5" x14ac:dyDescent="0.25">
      <c r="A5419" s="17">
        <v>351</v>
      </c>
      <c r="B5419" s="31">
        <v>51455</v>
      </c>
      <c r="C5419" s="32">
        <f>INDEX('Input Data'!$B:$B,A5419)/2+IF(A5419&lt;&gt;A5420,100,0)</f>
        <v>2.3125</v>
      </c>
      <c r="D5419" s="33">
        <f>INDEX('ZCB Curve - Payment Dates'!$D$2:$D$246,MATCH(B5419,'ZCB Curve - Payment Dates'!$A$2:$A$246,0))</f>
        <v>0.48647538074270091</v>
      </c>
      <c r="E5419" s="32">
        <f t="shared" si="84"/>
        <v>1.1249743179674958</v>
      </c>
    </row>
    <row r="5420" spans="1:5" x14ac:dyDescent="0.25">
      <c r="A5420" s="17">
        <v>351</v>
      </c>
      <c r="B5420" s="31">
        <v>51636</v>
      </c>
      <c r="C5420" s="32">
        <f>INDEX('Input Data'!$B:$B,A5420)/2+IF(A5420&lt;&gt;A5421,100,0)</f>
        <v>2.3125</v>
      </c>
      <c r="D5420" s="33">
        <f>INDEX('ZCB Curve - Payment Dates'!$D$2:$D$246,MATCH(B5420,'ZCB Curve - Payment Dates'!$A$2:$A$246,0))</f>
        <v>0.47204918703719451</v>
      </c>
      <c r="E5420" s="32">
        <f t="shared" si="84"/>
        <v>1.0916137450235124</v>
      </c>
    </row>
    <row r="5421" spans="1:5" x14ac:dyDescent="0.25">
      <c r="A5421" s="17">
        <v>351</v>
      </c>
      <c r="B5421" s="31">
        <v>51820</v>
      </c>
      <c r="C5421" s="32">
        <f>INDEX('Input Data'!$B:$B,A5421)/2+IF(A5421&lt;&gt;A5422,100,0)</f>
        <v>2.3125</v>
      </c>
      <c r="D5421" s="33">
        <f>INDEX('ZCB Curve - Payment Dates'!$D$2:$D$246,MATCH(B5421,'ZCB Curve - Payment Dates'!$A$2:$A$246,0))</f>
        <v>0.45775548669345245</v>
      </c>
      <c r="E5421" s="32">
        <f t="shared" si="84"/>
        <v>1.0585595629786089</v>
      </c>
    </row>
    <row r="5422" spans="1:5" x14ac:dyDescent="0.25">
      <c r="A5422" s="17">
        <v>351</v>
      </c>
      <c r="B5422" s="31">
        <v>52001</v>
      </c>
      <c r="C5422" s="32">
        <f>INDEX('Input Data'!$B:$B,A5422)/2+IF(A5422&lt;&gt;A5423,100,0)</f>
        <v>2.3125</v>
      </c>
      <c r="D5422" s="33">
        <f>INDEX('ZCB Curve - Payment Dates'!$D$2:$D$246,MATCH(B5422,'ZCB Curve - Payment Dates'!$A$2:$A$246,0))</f>
        <v>0.44407192118484318</v>
      </c>
      <c r="E5422" s="32">
        <f t="shared" si="84"/>
        <v>1.0269163177399498</v>
      </c>
    </row>
    <row r="5423" spans="1:5" x14ac:dyDescent="0.25">
      <c r="A5423" s="17">
        <v>351</v>
      </c>
      <c r="B5423" s="31">
        <v>52185</v>
      </c>
      <c r="C5423" s="32">
        <f>INDEX('Input Data'!$B:$B,A5423)/2+IF(A5423&lt;&gt;A5424,100,0)</f>
        <v>2.3125</v>
      </c>
      <c r="D5423" s="33">
        <f>INDEX('ZCB Curve - Payment Dates'!$D$2:$D$246,MATCH(B5423,'ZCB Curve - Payment Dates'!$A$2:$A$246,0))</f>
        <v>0.43055647946672393</v>
      </c>
      <c r="E5423" s="32">
        <f t="shared" si="84"/>
        <v>0.99566185876679913</v>
      </c>
    </row>
    <row r="5424" spans="1:5" x14ac:dyDescent="0.25">
      <c r="A5424" s="17">
        <v>351</v>
      </c>
      <c r="B5424" s="31">
        <v>52366</v>
      </c>
      <c r="C5424" s="32">
        <f>INDEX('Input Data'!$B:$B,A5424)/2+IF(A5424&lt;&gt;A5425,100,0)</f>
        <v>2.3125</v>
      </c>
      <c r="D5424" s="33">
        <f>INDEX('ZCB Curve - Payment Dates'!$D$2:$D$246,MATCH(B5424,'ZCB Curve - Payment Dates'!$A$2:$A$246,0))</f>
        <v>0.41765686229470528</v>
      </c>
      <c r="E5424" s="32">
        <f t="shared" si="84"/>
        <v>0.96583149405650592</v>
      </c>
    </row>
    <row r="5425" spans="1:5" x14ac:dyDescent="0.25">
      <c r="A5425" s="17">
        <v>351</v>
      </c>
      <c r="B5425" s="31">
        <v>52550</v>
      </c>
      <c r="C5425" s="32">
        <f>INDEX('Input Data'!$B:$B,A5425)/2+IF(A5425&lt;&gt;A5426,100,0)</f>
        <v>2.3125</v>
      </c>
      <c r="D5425" s="33">
        <f>INDEX('ZCB Curve - Payment Dates'!$D$2:$D$246,MATCH(B5425,'ZCB Curve - Payment Dates'!$A$2:$A$246,0))</f>
        <v>0.40495237741553414</v>
      </c>
      <c r="E5425" s="32">
        <f t="shared" si="84"/>
        <v>0.93645237277342264</v>
      </c>
    </row>
    <row r="5426" spans="1:5" x14ac:dyDescent="0.25">
      <c r="A5426" s="17">
        <v>351</v>
      </c>
      <c r="B5426" s="31">
        <v>52732</v>
      </c>
      <c r="C5426" s="32">
        <f>INDEX('Input Data'!$B:$B,A5426)/2+IF(A5426&lt;&gt;A5427,100,0)</f>
        <v>2.3125</v>
      </c>
      <c r="D5426" s="33">
        <f>INDEX('ZCB Curve - Payment Dates'!$D$2:$D$246,MATCH(B5426,'ZCB Curve - Payment Dates'!$A$2:$A$246,0))</f>
        <v>0.3927952920896523</v>
      </c>
      <c r="E5426" s="32">
        <f t="shared" si="84"/>
        <v>0.90833911295732095</v>
      </c>
    </row>
    <row r="5427" spans="1:5" x14ac:dyDescent="0.25">
      <c r="A5427" s="17">
        <v>351</v>
      </c>
      <c r="B5427" s="31">
        <v>52916</v>
      </c>
      <c r="C5427" s="32">
        <f>INDEX('Input Data'!$B:$B,A5427)/2+IF(A5427&lt;&gt;A5428,100,0)</f>
        <v>2.3125</v>
      </c>
      <c r="D5427" s="33">
        <f>INDEX('ZCB Curve - Payment Dates'!$D$2:$D$246,MATCH(B5427,'ZCB Curve - Payment Dates'!$A$2:$A$246,0))</f>
        <v>0.38091684361752687</v>
      </c>
      <c r="E5427" s="32">
        <f t="shared" si="84"/>
        <v>0.88087020086553092</v>
      </c>
    </row>
    <row r="5428" spans="1:5" x14ac:dyDescent="0.25">
      <c r="A5428" s="17">
        <v>351</v>
      </c>
      <c r="B5428" s="31">
        <v>53097</v>
      </c>
      <c r="C5428" s="32">
        <f>INDEX('Input Data'!$B:$B,A5428)/2+IF(A5428&lt;&gt;A5429,100,0)</f>
        <v>2.3125</v>
      </c>
      <c r="D5428" s="33">
        <f>INDEX('ZCB Curve - Payment Dates'!$D$2:$D$246,MATCH(B5428,'ZCB Curve - Payment Dates'!$A$2:$A$246,0))</f>
        <v>0.36964331092783359</v>
      </c>
      <c r="E5428" s="32">
        <f t="shared" si="84"/>
        <v>0.85480015652061514</v>
      </c>
    </row>
    <row r="5429" spans="1:5" x14ac:dyDescent="0.25">
      <c r="A5429" s="17">
        <v>351</v>
      </c>
      <c r="B5429" s="31">
        <v>53281</v>
      </c>
      <c r="C5429" s="32">
        <f>INDEX('Input Data'!$B:$B,A5429)/2+IF(A5429&lt;&gt;A5430,100,0)</f>
        <v>2.3125</v>
      </c>
      <c r="D5429" s="33">
        <f>INDEX('ZCB Curve - Payment Dates'!$D$2:$D$246,MATCH(B5429,'ZCB Curve - Payment Dates'!$A$2:$A$246,0))</f>
        <v>0.35859090372935404</v>
      </c>
      <c r="E5429" s="32">
        <f t="shared" si="84"/>
        <v>0.8292414648741312</v>
      </c>
    </row>
    <row r="5430" spans="1:5" x14ac:dyDescent="0.25">
      <c r="A5430" s="17">
        <v>351</v>
      </c>
      <c r="B5430" s="31">
        <v>53462</v>
      </c>
      <c r="C5430" s="32">
        <f>INDEX('Input Data'!$B:$B,A5430)/2+IF(A5430&lt;&gt;A5431,100,0)</f>
        <v>2.3125</v>
      </c>
      <c r="D5430" s="33">
        <f>INDEX('ZCB Curve - Payment Dates'!$D$2:$D$246,MATCH(B5430,'ZCB Curve - Payment Dates'!$A$2:$A$246,0))</f>
        <v>0.34812465854380154</v>
      </c>
      <c r="E5430" s="32">
        <f t="shared" si="84"/>
        <v>0.80503827288254104</v>
      </c>
    </row>
    <row r="5431" spans="1:5" x14ac:dyDescent="0.25">
      <c r="A5431" s="17">
        <v>351</v>
      </c>
      <c r="B5431" s="31">
        <v>53646</v>
      </c>
      <c r="C5431" s="32">
        <f>INDEX('Input Data'!$B:$B,A5431)/2+IF(A5431&lt;&gt;A5432,100,0)</f>
        <v>2.3125</v>
      </c>
      <c r="D5431" s="33">
        <f>INDEX('ZCB Curve - Payment Dates'!$D$2:$D$246,MATCH(B5431,'ZCB Curve - Payment Dates'!$A$2:$A$246,0))</f>
        <v>0.33788528510382887</v>
      </c>
      <c r="E5431" s="32">
        <f t="shared" si="84"/>
        <v>0.78135972180260427</v>
      </c>
    </row>
    <row r="5432" spans="1:5" x14ac:dyDescent="0.25">
      <c r="A5432" s="17">
        <v>351</v>
      </c>
      <c r="B5432" s="31">
        <v>53827</v>
      </c>
      <c r="C5432" s="32">
        <f>INDEX('Input Data'!$B:$B,A5432)/2+IF(A5432&lt;&gt;A5433,100,0)</f>
        <v>2.3125</v>
      </c>
      <c r="D5432" s="33">
        <f>INDEX('ZCB Curve - Payment Dates'!$D$2:$D$246,MATCH(B5432,'ZCB Curve - Payment Dates'!$A$2:$A$246,0))</f>
        <v>0.32820827061914198</v>
      </c>
      <c r="E5432" s="32">
        <f t="shared" si="84"/>
        <v>0.75898162580676587</v>
      </c>
    </row>
    <row r="5433" spans="1:5" x14ac:dyDescent="0.25">
      <c r="A5433" s="17">
        <v>351</v>
      </c>
      <c r="B5433" s="31">
        <v>54011</v>
      </c>
      <c r="C5433" s="32">
        <f>INDEX('Input Data'!$B:$B,A5433)/2+IF(A5433&lt;&gt;A5434,100,0)</f>
        <v>2.3125</v>
      </c>
      <c r="D5433" s="33">
        <f>INDEX('ZCB Curve - Payment Dates'!$D$2:$D$246,MATCH(B5433,'ZCB Curve - Payment Dates'!$A$2:$A$246,0))</f>
        <v>0.31875888330253388</v>
      </c>
      <c r="E5433" s="32">
        <f t="shared" si="84"/>
        <v>0.73712991763710956</v>
      </c>
    </row>
    <row r="5434" spans="1:5" x14ac:dyDescent="0.25">
      <c r="A5434" s="17">
        <v>351</v>
      </c>
      <c r="B5434" s="31">
        <v>54193</v>
      </c>
      <c r="C5434" s="32">
        <f>INDEX('Input Data'!$B:$B,A5434)/2+IF(A5434&lt;&gt;A5435,100,0)</f>
        <v>2.3125</v>
      </c>
      <c r="D5434" s="33">
        <f>INDEX('ZCB Curve - Payment Dates'!$D$2:$D$246,MATCH(B5434,'ZCB Curve - Payment Dates'!$A$2:$A$246,0))</f>
        <v>0.30979516521120642</v>
      </c>
      <c r="E5434" s="32">
        <f t="shared" si="84"/>
        <v>0.71640131955091491</v>
      </c>
    </row>
    <row r="5435" spans="1:5" x14ac:dyDescent="0.25">
      <c r="A5435" s="17">
        <v>351</v>
      </c>
      <c r="B5435" s="31">
        <v>54377</v>
      </c>
      <c r="C5435" s="32">
        <f>INDEX('Input Data'!$B:$B,A5435)/2+IF(A5435&lt;&gt;A5436,100,0)</f>
        <v>2.3125</v>
      </c>
      <c r="D5435" s="33">
        <f>INDEX('ZCB Curve - Payment Dates'!$D$2:$D$246,MATCH(B5435,'ZCB Curve - Payment Dates'!$A$2:$A$246,0))</f>
        <v>0.30110901062008694</v>
      </c>
      <c r="E5435" s="32">
        <f t="shared" si="84"/>
        <v>0.696314587058951</v>
      </c>
    </row>
    <row r="5436" spans="1:5" x14ac:dyDescent="0.25">
      <c r="A5436" s="17">
        <v>351</v>
      </c>
      <c r="B5436" s="31">
        <v>54558</v>
      </c>
      <c r="C5436" s="32">
        <f>INDEX('Input Data'!$B:$B,A5436)/2+IF(A5436&lt;&gt;A5437,100,0)</f>
        <v>2.3125</v>
      </c>
      <c r="D5436" s="33">
        <f>INDEX('ZCB Curve - Payment Dates'!$D$2:$D$246,MATCH(B5436,'ZCB Curve - Payment Dates'!$A$2:$A$246,0))</f>
        <v>0.29292467059800714</v>
      </c>
      <c r="E5436" s="32">
        <f t="shared" si="84"/>
        <v>0.67738830075789147</v>
      </c>
    </row>
    <row r="5437" spans="1:5" x14ac:dyDescent="0.25">
      <c r="A5437" s="17">
        <v>351</v>
      </c>
      <c r="B5437" s="31">
        <v>54742</v>
      </c>
      <c r="C5437" s="32">
        <f>INDEX('Input Data'!$B:$B,A5437)/2+IF(A5437&lt;&gt;A5438,100,0)</f>
        <v>2.3125</v>
      </c>
      <c r="D5437" s="33">
        <f>INDEX('ZCB Curve - Payment Dates'!$D$2:$D$246,MATCH(B5437,'ZCB Curve - Payment Dates'!$A$2:$A$246,0))</f>
        <v>0.28496204444064566</v>
      </c>
      <c r="E5437" s="32">
        <f t="shared" si="84"/>
        <v>0.65897472776899313</v>
      </c>
    </row>
    <row r="5438" spans="1:5" x14ac:dyDescent="0.25">
      <c r="A5438" s="17">
        <v>351</v>
      </c>
      <c r="B5438" s="31">
        <v>54923</v>
      </c>
      <c r="C5438" s="32">
        <f>INDEX('Input Data'!$B:$B,A5438)/2+IF(A5438&lt;&gt;A5439,100,0)</f>
        <v>2.3125</v>
      </c>
      <c r="D5438" s="33">
        <f>INDEX('ZCB Curve - Payment Dates'!$D$2:$D$246,MATCH(B5438,'ZCB Curve - Payment Dates'!$A$2:$A$246,0))</f>
        <v>0.27747061478742291</v>
      </c>
      <c r="E5438" s="32">
        <f t="shared" si="84"/>
        <v>0.64165079669591552</v>
      </c>
    </row>
    <row r="5439" spans="1:5" x14ac:dyDescent="0.25">
      <c r="A5439" s="17">
        <v>351</v>
      </c>
      <c r="B5439" s="31">
        <v>55107</v>
      </c>
      <c r="C5439" s="32">
        <f>INDEX('Input Data'!$B:$B,A5439)/2+IF(A5439&lt;&gt;A5440,100,0)</f>
        <v>2.3125</v>
      </c>
      <c r="D5439" s="33">
        <f>INDEX('ZCB Curve - Payment Dates'!$D$2:$D$246,MATCH(B5439,'ZCB Curve - Payment Dates'!$A$2:$A$246,0))</f>
        <v>0.2701926092917406</v>
      </c>
      <c r="E5439" s="32">
        <f t="shared" si="84"/>
        <v>0.62482040898715019</v>
      </c>
    </row>
    <row r="5440" spans="1:5" x14ac:dyDescent="0.25">
      <c r="A5440" s="17">
        <v>351</v>
      </c>
      <c r="B5440" s="31">
        <v>55288</v>
      </c>
      <c r="C5440" s="32">
        <f>INDEX('Input Data'!$B:$B,A5440)/2+IF(A5440&lt;&gt;A5441,100,0)</f>
        <v>2.3125</v>
      </c>
      <c r="D5440" s="33">
        <f>INDEX('ZCB Curve - Payment Dates'!$D$2:$D$246,MATCH(B5440,'ZCB Curve - Payment Dates'!$A$2:$A$246,0))</f>
        <v>0.26335484985695851</v>
      </c>
      <c r="E5440" s="32">
        <f t="shared" si="84"/>
        <v>0.60900809029421654</v>
      </c>
    </row>
    <row r="5441" spans="1:5" x14ac:dyDescent="0.25">
      <c r="A5441" s="17">
        <v>351</v>
      </c>
      <c r="B5441" s="31">
        <v>55472</v>
      </c>
      <c r="C5441" s="32">
        <f>INDEX('Input Data'!$B:$B,A5441)/2+IF(A5441&lt;&gt;A5442,100,0)</f>
        <v>2.3125</v>
      </c>
      <c r="D5441" s="33">
        <f>INDEX('ZCB Curve - Payment Dates'!$D$2:$D$246,MATCH(B5441,'ZCB Curve - Payment Dates'!$A$2:$A$246,0))</f>
        <v>0.25672095505458636</v>
      </c>
      <c r="E5441" s="32">
        <f t="shared" si="84"/>
        <v>0.59366720856373101</v>
      </c>
    </row>
    <row r="5442" spans="1:5" x14ac:dyDescent="0.25">
      <c r="A5442" s="17">
        <v>351</v>
      </c>
      <c r="B5442" s="31">
        <v>55654</v>
      </c>
      <c r="C5442" s="32">
        <f>INDEX('Input Data'!$B:$B,A5442)/2+IF(A5442&lt;&gt;A5443,100,0)</f>
        <v>2.3125</v>
      </c>
      <c r="D5442" s="33">
        <f>INDEX('ZCB Curve - Payment Dates'!$D$2:$D$246,MATCH(B5442,'ZCB Curve - Payment Dates'!$A$2:$A$246,0))</f>
        <v>0.25046362869454364</v>
      </c>
      <c r="E5442" s="32">
        <f t="shared" ref="E5442:E5505" si="85">C5442*D5442</f>
        <v>0.57919714135613221</v>
      </c>
    </row>
    <row r="5443" spans="1:5" x14ac:dyDescent="0.25">
      <c r="A5443" s="17">
        <v>351</v>
      </c>
      <c r="B5443" s="31">
        <v>55838</v>
      </c>
      <c r="C5443" s="32">
        <f>INDEX('Input Data'!$B:$B,A5443)/2+IF(A5443&lt;&gt;A5444,100,0)</f>
        <v>2.3125</v>
      </c>
      <c r="D5443" s="33">
        <f>INDEX('ZCB Curve - Payment Dates'!$D$2:$D$246,MATCH(B5443,'ZCB Curve - Payment Dates'!$A$2:$A$246,0))</f>
        <v>0.24443458292740508</v>
      </c>
      <c r="E5443" s="32">
        <f t="shared" si="85"/>
        <v>0.56525497301962424</v>
      </c>
    </row>
    <row r="5444" spans="1:5" x14ac:dyDescent="0.25">
      <c r="A5444" s="17">
        <v>351</v>
      </c>
      <c r="B5444" s="31">
        <v>56019</v>
      </c>
      <c r="C5444" s="32">
        <f>INDEX('Input Data'!$B:$B,A5444)/2+IF(A5444&lt;&gt;A5445,100,0)</f>
        <v>2.3125</v>
      </c>
      <c r="D5444" s="33">
        <f>INDEX('ZCB Curve - Payment Dates'!$D$2:$D$246,MATCH(B5444,'ZCB Curve - Payment Dates'!$A$2:$A$246,0))</f>
        <v>0.23878540660340086</v>
      </c>
      <c r="E5444" s="32">
        <f t="shared" si="85"/>
        <v>0.55219125277036452</v>
      </c>
    </row>
    <row r="5445" spans="1:5" x14ac:dyDescent="0.25">
      <c r="A5445" s="17">
        <v>351</v>
      </c>
      <c r="B5445" s="31">
        <v>56203</v>
      </c>
      <c r="C5445" s="32">
        <f>INDEX('Input Data'!$B:$B,A5445)/2+IF(A5445&lt;&gt;A5446,100,0)</f>
        <v>2.3125</v>
      </c>
      <c r="D5445" s="33">
        <f>INDEX('ZCB Curve - Payment Dates'!$D$2:$D$246,MATCH(B5445,'ZCB Curve - Payment Dates'!$A$2:$A$246,0))</f>
        <v>0.23331934656757974</v>
      </c>
      <c r="E5445" s="32">
        <f t="shared" si="85"/>
        <v>0.53955098893752818</v>
      </c>
    </row>
    <row r="5446" spans="1:5" x14ac:dyDescent="0.25">
      <c r="A5446" s="17">
        <v>351</v>
      </c>
      <c r="B5446" s="31">
        <v>56384</v>
      </c>
      <c r="C5446" s="32">
        <f>INDEX('Input Data'!$B:$B,A5446)/2+IF(A5446&lt;&gt;A5447,100,0)</f>
        <v>2.3125</v>
      </c>
      <c r="D5446" s="33">
        <f>INDEX('ZCB Curve - Payment Dates'!$D$2:$D$246,MATCH(B5446,'ZCB Curve - Payment Dates'!$A$2:$A$246,0))</f>
        <v>0.22820470703897541</v>
      </c>
      <c r="E5446" s="32">
        <f t="shared" si="85"/>
        <v>0.52772338502763061</v>
      </c>
    </row>
    <row r="5447" spans="1:5" x14ac:dyDescent="0.25">
      <c r="A5447" s="17">
        <v>351</v>
      </c>
      <c r="B5447" s="31">
        <v>56568</v>
      </c>
      <c r="C5447" s="32">
        <f>INDEX('Input Data'!$B:$B,A5447)/2+IF(A5447&lt;&gt;A5448,100,0)</f>
        <v>2.3125</v>
      </c>
      <c r="D5447" s="33">
        <f>INDEX('ZCB Curve - Payment Dates'!$D$2:$D$246,MATCH(B5447,'ZCB Curve - Payment Dates'!$A$2:$A$246,0))</f>
        <v>0.22326283085791943</v>
      </c>
      <c r="E5447" s="32">
        <f t="shared" si="85"/>
        <v>0.51629529635893867</v>
      </c>
    </row>
    <row r="5448" spans="1:5" x14ac:dyDescent="0.25">
      <c r="A5448" s="17">
        <v>351</v>
      </c>
      <c r="B5448" s="31">
        <v>56749</v>
      </c>
      <c r="C5448" s="32">
        <f>INDEX('Input Data'!$B:$B,A5448)/2+IF(A5448&lt;&gt;A5449,100,0)</f>
        <v>2.3125</v>
      </c>
      <c r="D5448" s="33">
        <f>INDEX('ZCB Curve - Payment Dates'!$D$2:$D$246,MATCH(B5448,'ZCB Curve - Payment Dates'!$A$2:$A$246,0))</f>
        <v>0.21864543432819281</v>
      </c>
      <c r="E5448" s="32">
        <f t="shared" si="85"/>
        <v>0.50561756688394588</v>
      </c>
    </row>
    <row r="5449" spans="1:5" x14ac:dyDescent="0.25">
      <c r="A5449" s="17">
        <v>351</v>
      </c>
      <c r="B5449" s="31">
        <v>56933</v>
      </c>
      <c r="C5449" s="32">
        <f>INDEX('Input Data'!$B:$B,A5449)/2+IF(A5449&lt;&gt;A5450,100,0)</f>
        <v>102.3125</v>
      </c>
      <c r="D5449" s="33">
        <f>INDEX('ZCB Curve - Payment Dates'!$D$2:$D$246,MATCH(B5449,'ZCB Curve - Payment Dates'!$A$2:$A$246,0))</f>
        <v>0.21419082724866884</v>
      </c>
      <c r="E5449" s="32">
        <f t="shared" si="85"/>
        <v>21.914399012879429</v>
      </c>
    </row>
    <row r="5450" spans="1:5" x14ac:dyDescent="0.25">
      <c r="A5450" s="17">
        <v>352</v>
      </c>
      <c r="B5450" s="31">
        <v>46433</v>
      </c>
      <c r="C5450" s="32">
        <f>INDEX('Input Data'!$B:$B,A5450)/2+IF(A5450&lt;&gt;A5451,100,0)</f>
        <v>2.375</v>
      </c>
      <c r="D5450" s="33">
        <f>INDEX('ZCB Curve - Payment Dates'!$D$2:$D$246,MATCH(B5450,'ZCB Curve - Payment Dates'!$A$2:$A$246,0))</f>
        <v>0.98242671792446301</v>
      </c>
      <c r="E5450" s="32">
        <f t="shared" si="85"/>
        <v>2.3332634550705995</v>
      </c>
    </row>
    <row r="5451" spans="1:5" x14ac:dyDescent="0.25">
      <c r="A5451" s="17">
        <v>352</v>
      </c>
      <c r="B5451" s="31">
        <v>46614</v>
      </c>
      <c r="C5451" s="32">
        <f>INDEX('Input Data'!$B:$B,A5451)/2+IF(A5451&lt;&gt;A5452,100,0)</f>
        <v>2.375</v>
      </c>
      <c r="D5451" s="33">
        <f>INDEX('ZCB Curve - Payment Dates'!$D$2:$D$246,MATCH(B5451,'ZCB Curve - Payment Dates'!$A$2:$A$246,0))</f>
        <v>0.96187948164765535</v>
      </c>
      <c r="E5451" s="32">
        <f t="shared" si="85"/>
        <v>2.2844637689131813</v>
      </c>
    </row>
    <row r="5452" spans="1:5" x14ac:dyDescent="0.25">
      <c r="A5452" s="17">
        <v>352</v>
      </c>
      <c r="B5452" s="31">
        <v>46798</v>
      </c>
      <c r="C5452" s="32">
        <f>INDEX('Input Data'!$B:$B,A5452)/2+IF(A5452&lt;&gt;A5453,100,0)</f>
        <v>2.375</v>
      </c>
      <c r="D5452" s="33">
        <f>INDEX('ZCB Curve - Payment Dates'!$D$2:$D$246,MATCH(B5452,'ZCB Curve - Payment Dates'!$A$2:$A$246,0))</f>
        <v>0.94049096132648802</v>
      </c>
      <c r="E5452" s="32">
        <f t="shared" si="85"/>
        <v>2.233666033150409</v>
      </c>
    </row>
    <row r="5453" spans="1:5" x14ac:dyDescent="0.25">
      <c r="A5453" s="17">
        <v>352</v>
      </c>
      <c r="B5453" s="31">
        <v>46980</v>
      </c>
      <c r="C5453" s="32">
        <f>INDEX('Input Data'!$B:$B,A5453)/2+IF(A5453&lt;&gt;A5454,100,0)</f>
        <v>2.375</v>
      </c>
      <c r="D5453" s="33">
        <f>INDEX('ZCB Curve - Payment Dates'!$D$2:$D$246,MATCH(B5453,'ZCB Curve - Payment Dates'!$A$2:$A$246,0))</f>
        <v>0.91931844130238327</v>
      </c>
      <c r="E5453" s="32">
        <f t="shared" si="85"/>
        <v>2.1833812980931602</v>
      </c>
    </row>
    <row r="5454" spans="1:5" x14ac:dyDescent="0.25">
      <c r="A5454" s="17">
        <v>352</v>
      </c>
      <c r="B5454" s="31">
        <v>47164</v>
      </c>
      <c r="C5454" s="32">
        <f>INDEX('Input Data'!$B:$B,A5454)/2+IF(A5454&lt;&gt;A5455,100,0)</f>
        <v>2.375</v>
      </c>
      <c r="D5454" s="33">
        <f>INDEX('ZCB Curve - Payment Dates'!$D$2:$D$246,MATCH(B5454,'ZCB Curve - Payment Dates'!$A$2:$A$246,0))</f>
        <v>0.89817430058086534</v>
      </c>
      <c r="E5454" s="32">
        <f t="shared" si="85"/>
        <v>2.133163963879555</v>
      </c>
    </row>
    <row r="5455" spans="1:5" x14ac:dyDescent="0.25">
      <c r="A5455" s="17">
        <v>352</v>
      </c>
      <c r="B5455" s="31">
        <v>47345</v>
      </c>
      <c r="C5455" s="32">
        <f>INDEX('Input Data'!$B:$B,A5455)/2+IF(A5455&lt;&gt;A5456,100,0)</f>
        <v>2.375</v>
      </c>
      <c r="D5455" s="33">
        <f>INDEX('ZCB Curve - Payment Dates'!$D$2:$D$246,MATCH(B5455,'ZCB Curve - Payment Dates'!$A$2:$A$246,0))</f>
        <v>0.87778421628860481</v>
      </c>
      <c r="E5455" s="32">
        <f t="shared" si="85"/>
        <v>2.0847375136854365</v>
      </c>
    </row>
    <row r="5456" spans="1:5" x14ac:dyDescent="0.25">
      <c r="A5456" s="17">
        <v>352</v>
      </c>
      <c r="B5456" s="31">
        <v>47529</v>
      </c>
      <c r="C5456" s="32">
        <f>INDEX('Input Data'!$B:$B,A5456)/2+IF(A5456&lt;&gt;A5457,100,0)</f>
        <v>2.375</v>
      </c>
      <c r="D5456" s="33">
        <f>INDEX('ZCB Curve - Payment Dates'!$D$2:$D$246,MATCH(B5456,'ZCB Curve - Payment Dates'!$A$2:$A$246,0))</f>
        <v>0.85751015570959666</v>
      </c>
      <c r="E5456" s="32">
        <f t="shared" si="85"/>
        <v>2.0365866198102922</v>
      </c>
    </row>
    <row r="5457" spans="1:5" x14ac:dyDescent="0.25">
      <c r="A5457" s="17">
        <v>352</v>
      </c>
      <c r="B5457" s="31">
        <v>47710</v>
      </c>
      <c r="C5457" s="32">
        <f>INDEX('Input Data'!$B:$B,A5457)/2+IF(A5457&lt;&gt;A5458,100,0)</f>
        <v>2.375</v>
      </c>
      <c r="D5457" s="33">
        <f>INDEX('ZCB Curve - Payment Dates'!$D$2:$D$246,MATCH(B5457,'ZCB Curve - Payment Dates'!$A$2:$A$246,0))</f>
        <v>0.83802423748211174</v>
      </c>
      <c r="E5457" s="32">
        <f t="shared" si="85"/>
        <v>1.9903075640200154</v>
      </c>
    </row>
    <row r="5458" spans="1:5" x14ac:dyDescent="0.25">
      <c r="A5458" s="17">
        <v>352</v>
      </c>
      <c r="B5458" s="31">
        <v>47894</v>
      </c>
      <c r="C5458" s="32">
        <f>INDEX('Input Data'!$B:$B,A5458)/2+IF(A5458&lt;&gt;A5459,100,0)</f>
        <v>2.375</v>
      </c>
      <c r="D5458" s="33">
        <f>INDEX('ZCB Curve - Payment Dates'!$D$2:$D$246,MATCH(B5458,'ZCB Curve - Payment Dates'!$A$2:$A$246,0))</f>
        <v>0.8186305474741673</v>
      </c>
      <c r="E5458" s="32">
        <f t="shared" si="85"/>
        <v>1.9442475502511474</v>
      </c>
    </row>
    <row r="5459" spans="1:5" x14ac:dyDescent="0.25">
      <c r="A5459" s="17">
        <v>352</v>
      </c>
      <c r="B5459" s="31">
        <v>48075</v>
      </c>
      <c r="C5459" s="32">
        <f>INDEX('Input Data'!$B:$B,A5459)/2+IF(A5459&lt;&gt;A5460,100,0)</f>
        <v>2.375</v>
      </c>
      <c r="D5459" s="33">
        <f>INDEX('ZCB Curve - Payment Dates'!$D$2:$D$246,MATCH(B5459,'ZCB Curve - Payment Dates'!$A$2:$A$246,0))</f>
        <v>0.7999252334775927</v>
      </c>
      <c r="E5459" s="32">
        <f t="shared" si="85"/>
        <v>1.8998224295092827</v>
      </c>
    </row>
    <row r="5460" spans="1:5" x14ac:dyDescent="0.25">
      <c r="A5460" s="17">
        <v>352</v>
      </c>
      <c r="B5460" s="31">
        <v>48259</v>
      </c>
      <c r="C5460" s="32">
        <f>INDEX('Input Data'!$B:$B,A5460)/2+IF(A5460&lt;&gt;A5461,100,0)</f>
        <v>2.375</v>
      </c>
      <c r="D5460" s="33">
        <f>INDEX('ZCB Curve - Payment Dates'!$D$2:$D$246,MATCH(B5460,'ZCB Curve - Payment Dates'!$A$2:$A$246,0))</f>
        <v>0.78121887027612602</v>
      </c>
      <c r="E5460" s="32">
        <f t="shared" si="85"/>
        <v>1.8553948169057992</v>
      </c>
    </row>
    <row r="5461" spans="1:5" x14ac:dyDescent="0.25">
      <c r="A5461" s="17">
        <v>352</v>
      </c>
      <c r="B5461" s="31">
        <v>48441</v>
      </c>
      <c r="C5461" s="32">
        <f>INDEX('Input Data'!$B:$B,A5461)/2+IF(A5461&lt;&gt;A5462,100,0)</f>
        <v>2.375</v>
      </c>
      <c r="D5461" s="33">
        <f>INDEX('ZCB Curve - Payment Dates'!$D$2:$D$246,MATCH(B5461,'ZCB Curve - Payment Dates'!$A$2:$A$246,0))</f>
        <v>0.76298123459017864</v>
      </c>
      <c r="E5461" s="32">
        <f t="shared" si="85"/>
        <v>1.8120804321516744</v>
      </c>
    </row>
    <row r="5462" spans="1:5" x14ac:dyDescent="0.25">
      <c r="A5462" s="17">
        <v>352</v>
      </c>
      <c r="B5462" s="31">
        <v>48625</v>
      </c>
      <c r="C5462" s="32">
        <f>INDEX('Input Data'!$B:$B,A5462)/2+IF(A5462&lt;&gt;A5463,100,0)</f>
        <v>2.375</v>
      </c>
      <c r="D5462" s="33">
        <f>INDEX('ZCB Curve - Payment Dates'!$D$2:$D$246,MATCH(B5462,'ZCB Curve - Payment Dates'!$A$2:$A$246,0))</f>
        <v>0.74476011611938586</v>
      </c>
      <c r="E5462" s="32">
        <f t="shared" si="85"/>
        <v>1.7688052757835415</v>
      </c>
    </row>
    <row r="5463" spans="1:5" x14ac:dyDescent="0.25">
      <c r="A5463" s="17">
        <v>352</v>
      </c>
      <c r="B5463" s="31">
        <v>48806</v>
      </c>
      <c r="C5463" s="32">
        <f>INDEX('Input Data'!$B:$B,A5463)/2+IF(A5463&lt;&gt;A5464,100,0)</f>
        <v>2.375</v>
      </c>
      <c r="D5463" s="33">
        <f>INDEX('ZCB Curve - Payment Dates'!$D$2:$D$246,MATCH(B5463,'ZCB Curve - Payment Dates'!$A$2:$A$246,0))</f>
        <v>0.72701302496114584</v>
      </c>
      <c r="E5463" s="32">
        <f t="shared" si="85"/>
        <v>1.7266559342827215</v>
      </c>
    </row>
    <row r="5464" spans="1:5" x14ac:dyDescent="0.25">
      <c r="A5464" s="17">
        <v>352</v>
      </c>
      <c r="B5464" s="31">
        <v>48990</v>
      </c>
      <c r="C5464" s="32">
        <f>INDEX('Input Data'!$B:$B,A5464)/2+IF(A5464&lt;&gt;A5465,100,0)</f>
        <v>2.375</v>
      </c>
      <c r="D5464" s="33">
        <f>INDEX('ZCB Curve - Payment Dates'!$D$2:$D$246,MATCH(B5464,'ZCB Curve - Payment Dates'!$A$2:$A$246,0))</f>
        <v>0.70912647031380449</v>
      </c>
      <c r="E5464" s="32">
        <f t="shared" si="85"/>
        <v>1.6841753669952857</v>
      </c>
    </row>
    <row r="5465" spans="1:5" x14ac:dyDescent="0.25">
      <c r="A5465" s="17">
        <v>352</v>
      </c>
      <c r="B5465" s="31">
        <v>49171</v>
      </c>
      <c r="C5465" s="32">
        <f>INDEX('Input Data'!$B:$B,A5465)/2+IF(A5465&lt;&gt;A5466,100,0)</f>
        <v>2.375</v>
      </c>
      <c r="D5465" s="33">
        <f>INDEX('ZCB Curve - Payment Dates'!$D$2:$D$246,MATCH(B5465,'ZCB Curve - Payment Dates'!$A$2:$A$246,0))</f>
        <v>0.6916661505723215</v>
      </c>
      <c r="E5465" s="32">
        <f t="shared" si="85"/>
        <v>1.6427071076092636</v>
      </c>
    </row>
    <row r="5466" spans="1:5" x14ac:dyDescent="0.25">
      <c r="A5466" s="17">
        <v>352</v>
      </c>
      <c r="B5466" s="31">
        <v>49355</v>
      </c>
      <c r="C5466" s="32">
        <f>INDEX('Input Data'!$B:$B,A5466)/2+IF(A5466&lt;&gt;A5467,100,0)</f>
        <v>2.375</v>
      </c>
      <c r="D5466" s="33">
        <f>INDEX('ZCB Curve - Payment Dates'!$D$2:$D$246,MATCH(B5466,'ZCB Curve - Payment Dates'!$A$2:$A$246,0))</f>
        <v>0.674047377898778</v>
      </c>
      <c r="E5466" s="32">
        <f t="shared" si="85"/>
        <v>1.6008625225095978</v>
      </c>
    </row>
    <row r="5467" spans="1:5" x14ac:dyDescent="0.25">
      <c r="A5467" s="17">
        <v>352</v>
      </c>
      <c r="B5467" s="31">
        <v>49536</v>
      </c>
      <c r="C5467" s="32">
        <f>INDEX('Input Data'!$B:$B,A5467)/2+IF(A5467&lt;&gt;A5468,100,0)</f>
        <v>2.375</v>
      </c>
      <c r="D5467" s="33">
        <f>INDEX('ZCB Curve - Payment Dates'!$D$2:$D$246,MATCH(B5467,'ZCB Curve - Payment Dates'!$A$2:$A$246,0))</f>
        <v>0.65684432300638129</v>
      </c>
      <c r="E5467" s="32">
        <f t="shared" si="85"/>
        <v>1.5600052671401556</v>
      </c>
    </row>
    <row r="5468" spans="1:5" x14ac:dyDescent="0.25">
      <c r="A5468" s="17">
        <v>352</v>
      </c>
      <c r="B5468" s="31">
        <v>49720</v>
      </c>
      <c r="C5468" s="32">
        <f>INDEX('Input Data'!$B:$B,A5468)/2+IF(A5468&lt;&gt;A5469,100,0)</f>
        <v>2.375</v>
      </c>
      <c r="D5468" s="33">
        <f>INDEX('ZCB Curve - Payment Dates'!$D$2:$D$246,MATCH(B5468,'ZCB Curve - Payment Dates'!$A$2:$A$246,0))</f>
        <v>0.63949604524993764</v>
      </c>
      <c r="E5468" s="32">
        <f t="shared" si="85"/>
        <v>1.5188031074686019</v>
      </c>
    </row>
    <row r="5469" spans="1:5" x14ac:dyDescent="0.25">
      <c r="A5469" s="17">
        <v>352</v>
      </c>
      <c r="B5469" s="31">
        <v>49902</v>
      </c>
      <c r="C5469" s="32">
        <f>INDEX('Input Data'!$B:$B,A5469)/2+IF(A5469&lt;&gt;A5470,100,0)</f>
        <v>2.375</v>
      </c>
      <c r="D5469" s="33">
        <f>INDEX('ZCB Curve - Payment Dates'!$D$2:$D$246,MATCH(B5469,'ZCB Curve - Payment Dates'!$A$2:$A$246,0))</f>
        <v>0.62248862376822711</v>
      </c>
      <c r="E5469" s="32">
        <f t="shared" si="85"/>
        <v>1.4784104814495393</v>
      </c>
    </row>
    <row r="5470" spans="1:5" x14ac:dyDescent="0.25">
      <c r="A5470" s="17">
        <v>352</v>
      </c>
      <c r="B5470" s="31">
        <v>50086</v>
      </c>
      <c r="C5470" s="32">
        <f>INDEX('Input Data'!$B:$B,A5470)/2+IF(A5470&lt;&gt;A5471,100,0)</f>
        <v>2.375</v>
      </c>
      <c r="D5470" s="33">
        <f>INDEX('ZCB Curve - Payment Dates'!$D$2:$D$246,MATCH(B5470,'ZCB Curve - Payment Dates'!$A$2:$A$246,0))</f>
        <v>0.60546490876014969</v>
      </c>
      <c r="E5470" s="32">
        <f t="shared" si="85"/>
        <v>1.4379791583053556</v>
      </c>
    </row>
    <row r="5471" spans="1:5" x14ac:dyDescent="0.25">
      <c r="A5471" s="17">
        <v>352</v>
      </c>
      <c r="B5471" s="31">
        <v>50267</v>
      </c>
      <c r="C5471" s="32">
        <f>INDEX('Input Data'!$B:$B,A5471)/2+IF(A5471&lt;&gt;A5472,100,0)</f>
        <v>2.375</v>
      </c>
      <c r="D5471" s="33">
        <f>INDEX('ZCB Curve - Payment Dates'!$D$2:$D$246,MATCH(B5471,'ZCB Curve - Payment Dates'!$A$2:$A$246,0))</f>
        <v>0.58890683803346977</v>
      </c>
      <c r="E5471" s="32">
        <f t="shared" si="85"/>
        <v>1.3986537403294907</v>
      </c>
    </row>
    <row r="5472" spans="1:5" x14ac:dyDescent="0.25">
      <c r="A5472" s="17">
        <v>352</v>
      </c>
      <c r="B5472" s="31">
        <v>50451</v>
      </c>
      <c r="C5472" s="32">
        <f>INDEX('Input Data'!$B:$B,A5472)/2+IF(A5472&lt;&gt;A5473,100,0)</f>
        <v>2.375</v>
      </c>
      <c r="D5472" s="33">
        <f>INDEX('ZCB Curve - Payment Dates'!$D$2:$D$246,MATCH(B5472,'ZCB Curve - Payment Dates'!$A$2:$A$246,0))</f>
        <v>0.57228983695479263</v>
      </c>
      <c r="E5472" s="32">
        <f t="shared" si="85"/>
        <v>1.3591883627676324</v>
      </c>
    </row>
    <row r="5473" spans="1:5" x14ac:dyDescent="0.25">
      <c r="A5473" s="17">
        <v>352</v>
      </c>
      <c r="B5473" s="31">
        <v>50632</v>
      </c>
      <c r="C5473" s="32">
        <f>INDEX('Input Data'!$B:$B,A5473)/2+IF(A5473&lt;&gt;A5474,100,0)</f>
        <v>2.375</v>
      </c>
      <c r="D5473" s="33">
        <f>INDEX('ZCB Curve - Payment Dates'!$D$2:$D$246,MATCH(B5473,'ZCB Curve - Payment Dates'!$A$2:$A$246,0))</f>
        <v>0.55617795699202288</v>
      </c>
      <c r="E5473" s="32">
        <f t="shared" si="85"/>
        <v>1.3209226478560543</v>
      </c>
    </row>
    <row r="5474" spans="1:5" x14ac:dyDescent="0.25">
      <c r="A5474" s="17">
        <v>352</v>
      </c>
      <c r="B5474" s="31">
        <v>50816</v>
      </c>
      <c r="C5474" s="32">
        <f>INDEX('Input Data'!$B:$B,A5474)/2+IF(A5474&lt;&gt;A5475,100,0)</f>
        <v>2.375</v>
      </c>
      <c r="D5474" s="33">
        <f>INDEX('ZCB Curve - Payment Dates'!$D$2:$D$246,MATCH(B5474,'ZCB Curve - Payment Dates'!$A$2:$A$246,0))</f>
        <v>0.54006240951211237</v>
      </c>
      <c r="E5474" s="32">
        <f t="shared" si="85"/>
        <v>1.282648222591267</v>
      </c>
    </row>
    <row r="5475" spans="1:5" x14ac:dyDescent="0.25">
      <c r="A5475" s="17">
        <v>352</v>
      </c>
      <c r="B5475" s="31">
        <v>50997</v>
      </c>
      <c r="C5475" s="32">
        <f>INDEX('Input Data'!$B:$B,A5475)/2+IF(A5475&lt;&gt;A5476,100,0)</f>
        <v>2.375</v>
      </c>
      <c r="D5475" s="33">
        <f>INDEX('ZCB Curve - Payment Dates'!$D$2:$D$246,MATCH(B5475,'ZCB Curve - Payment Dates'!$A$2:$A$246,0))</f>
        <v>0.52449040173194583</v>
      </c>
      <c r="E5475" s="32">
        <f t="shared" si="85"/>
        <v>1.2456647041133713</v>
      </c>
    </row>
    <row r="5476" spans="1:5" x14ac:dyDescent="0.25">
      <c r="A5476" s="17">
        <v>352</v>
      </c>
      <c r="B5476" s="31">
        <v>51181</v>
      </c>
      <c r="C5476" s="32">
        <f>INDEX('Input Data'!$B:$B,A5476)/2+IF(A5476&lt;&gt;A5477,100,0)</f>
        <v>2.375</v>
      </c>
      <c r="D5476" s="33">
        <f>INDEX('ZCB Curve - Payment Dates'!$D$2:$D$246,MATCH(B5476,'ZCB Curve - Payment Dates'!$A$2:$A$246,0))</f>
        <v>0.5089691698468306</v>
      </c>
      <c r="E5476" s="32">
        <f t="shared" si="85"/>
        <v>1.2088017783862226</v>
      </c>
    </row>
    <row r="5477" spans="1:5" x14ac:dyDescent="0.25">
      <c r="A5477" s="17">
        <v>352</v>
      </c>
      <c r="B5477" s="31">
        <v>51363</v>
      </c>
      <c r="C5477" s="32">
        <f>INDEX('Input Data'!$B:$B,A5477)/2+IF(A5477&lt;&gt;A5478,100,0)</f>
        <v>2.375</v>
      </c>
      <c r="D5477" s="33">
        <f>INDEX('ZCB Curve - Payment Dates'!$D$2:$D$246,MATCH(B5477,'ZCB Curve - Payment Dates'!$A$2:$A$246,0))</f>
        <v>0.49394036022330806</v>
      </c>
      <c r="E5477" s="32">
        <f t="shared" si="85"/>
        <v>1.1731083555303568</v>
      </c>
    </row>
    <row r="5478" spans="1:5" x14ac:dyDescent="0.25">
      <c r="A5478" s="17">
        <v>352</v>
      </c>
      <c r="B5478" s="31">
        <v>51547</v>
      </c>
      <c r="C5478" s="32">
        <f>INDEX('Input Data'!$B:$B,A5478)/2+IF(A5478&lt;&gt;A5479,100,0)</f>
        <v>2.375</v>
      </c>
      <c r="D5478" s="33">
        <f>INDEX('ZCB Curve - Payment Dates'!$D$2:$D$246,MATCH(B5478,'ZCB Curve - Payment Dates'!$A$2:$A$246,0))</f>
        <v>0.47909718957588998</v>
      </c>
      <c r="E5478" s="32">
        <f t="shared" si="85"/>
        <v>1.1378558252427386</v>
      </c>
    </row>
    <row r="5479" spans="1:5" x14ac:dyDescent="0.25">
      <c r="A5479" s="17">
        <v>352</v>
      </c>
      <c r="B5479" s="31">
        <v>51728</v>
      </c>
      <c r="C5479" s="32">
        <f>INDEX('Input Data'!$B:$B,A5479)/2+IF(A5479&lt;&gt;A5480,100,0)</f>
        <v>2.375</v>
      </c>
      <c r="D5479" s="33">
        <f>INDEX('ZCB Curve - Payment Dates'!$D$2:$D$246,MATCH(B5479,'ZCB Curve - Payment Dates'!$A$2:$A$246,0))</f>
        <v>0.46485329459616059</v>
      </c>
      <c r="E5479" s="32">
        <f t="shared" si="85"/>
        <v>1.1040265746658815</v>
      </c>
    </row>
    <row r="5480" spans="1:5" x14ac:dyDescent="0.25">
      <c r="A5480" s="17">
        <v>352</v>
      </c>
      <c r="B5480" s="31">
        <v>51912</v>
      </c>
      <c r="C5480" s="32">
        <f>INDEX('Input Data'!$B:$B,A5480)/2+IF(A5480&lt;&gt;A5481,100,0)</f>
        <v>2.375</v>
      </c>
      <c r="D5480" s="33">
        <f>INDEX('ZCB Curve - Payment Dates'!$D$2:$D$246,MATCH(B5480,'ZCB Curve - Payment Dates'!$A$2:$A$246,0))</f>
        <v>0.45075168915212815</v>
      </c>
      <c r="E5480" s="32">
        <f t="shared" si="85"/>
        <v>1.0705352617363044</v>
      </c>
    </row>
    <row r="5481" spans="1:5" x14ac:dyDescent="0.25">
      <c r="A5481" s="17">
        <v>352</v>
      </c>
      <c r="B5481" s="31">
        <v>52093</v>
      </c>
      <c r="C5481" s="32">
        <f>INDEX('Input Data'!$B:$B,A5481)/2+IF(A5481&lt;&gt;A5482,100,0)</f>
        <v>2.375</v>
      </c>
      <c r="D5481" s="33">
        <f>INDEX('ZCB Curve - Payment Dates'!$D$2:$D$246,MATCH(B5481,'ZCB Curve - Payment Dates'!$A$2:$A$246,0))</f>
        <v>0.43726259018094221</v>
      </c>
      <c r="E5481" s="32">
        <f t="shared" si="85"/>
        <v>1.0384986516797376</v>
      </c>
    </row>
    <row r="5482" spans="1:5" x14ac:dyDescent="0.25">
      <c r="A5482" s="17">
        <v>352</v>
      </c>
      <c r="B5482" s="31">
        <v>52277</v>
      </c>
      <c r="C5482" s="32">
        <f>INDEX('Input Data'!$B:$B,A5482)/2+IF(A5482&lt;&gt;A5483,100,0)</f>
        <v>2.375</v>
      </c>
      <c r="D5482" s="33">
        <f>INDEX('ZCB Curve - Payment Dates'!$D$2:$D$246,MATCH(B5482,'ZCB Curve - Payment Dates'!$A$2:$A$246,0))</f>
        <v>0.4239492285351204</v>
      </c>
      <c r="E5482" s="32">
        <f t="shared" si="85"/>
        <v>1.0068794177709111</v>
      </c>
    </row>
    <row r="5483" spans="1:5" x14ac:dyDescent="0.25">
      <c r="A5483" s="17">
        <v>352</v>
      </c>
      <c r="B5483" s="31">
        <v>52458</v>
      </c>
      <c r="C5483" s="32">
        <f>INDEX('Input Data'!$B:$B,A5483)/2+IF(A5483&lt;&gt;A5484,100,0)</f>
        <v>2.375</v>
      </c>
      <c r="D5483" s="33">
        <f>INDEX('ZCB Curve - Payment Dates'!$D$2:$D$246,MATCH(B5483,'ZCB Curve - Payment Dates'!$A$2:$A$246,0))</f>
        <v>0.4112516019468152</v>
      </c>
      <c r="E5483" s="32">
        <f t="shared" si="85"/>
        <v>0.97672255462368607</v>
      </c>
    </row>
    <row r="5484" spans="1:5" x14ac:dyDescent="0.25">
      <c r="A5484" s="17">
        <v>352</v>
      </c>
      <c r="B5484" s="31">
        <v>52642</v>
      </c>
      <c r="C5484" s="32">
        <f>INDEX('Input Data'!$B:$B,A5484)/2+IF(A5484&lt;&gt;A5485,100,0)</f>
        <v>2.375</v>
      </c>
      <c r="D5484" s="33">
        <f>INDEX('ZCB Curve - Payment Dates'!$D$2:$D$246,MATCH(B5484,'ZCB Curve - Payment Dates'!$A$2:$A$246,0))</f>
        <v>0.39875459879352759</v>
      </c>
      <c r="E5484" s="32">
        <f t="shared" si="85"/>
        <v>0.94704217213462805</v>
      </c>
    </row>
    <row r="5485" spans="1:5" x14ac:dyDescent="0.25">
      <c r="A5485" s="17">
        <v>352</v>
      </c>
      <c r="B5485" s="31">
        <v>52824</v>
      </c>
      <c r="C5485" s="32">
        <f>INDEX('Input Data'!$B:$B,A5485)/2+IF(A5485&lt;&gt;A5486,100,0)</f>
        <v>2.375</v>
      </c>
      <c r="D5485" s="33">
        <f>INDEX('ZCB Curve - Payment Dates'!$D$2:$D$246,MATCH(B5485,'ZCB Curve - Payment Dates'!$A$2:$A$246,0))</f>
        <v>0.38680384560622083</v>
      </c>
      <c r="E5485" s="32">
        <f t="shared" si="85"/>
        <v>0.91865913331477445</v>
      </c>
    </row>
    <row r="5486" spans="1:5" x14ac:dyDescent="0.25">
      <c r="A5486" s="17">
        <v>352</v>
      </c>
      <c r="B5486" s="31">
        <v>53008</v>
      </c>
      <c r="C5486" s="32">
        <f>INDEX('Input Data'!$B:$B,A5486)/2+IF(A5486&lt;&gt;A5487,100,0)</f>
        <v>2.375</v>
      </c>
      <c r="D5486" s="33">
        <f>INDEX('ZCB Curve - Payment Dates'!$D$2:$D$246,MATCH(B5486,'ZCB Curve - Payment Dates'!$A$2:$A$246,0))</f>
        <v>0.37513648791915083</v>
      </c>
      <c r="E5486" s="32">
        <f t="shared" si="85"/>
        <v>0.8909491588079832</v>
      </c>
    </row>
    <row r="5487" spans="1:5" x14ac:dyDescent="0.25">
      <c r="A5487" s="17">
        <v>352</v>
      </c>
      <c r="B5487" s="31">
        <v>53189</v>
      </c>
      <c r="C5487" s="32">
        <f>INDEX('Input Data'!$B:$B,A5487)/2+IF(A5487&lt;&gt;A5488,100,0)</f>
        <v>2.375</v>
      </c>
      <c r="D5487" s="33">
        <f>INDEX('ZCB Curve - Payment Dates'!$D$2:$D$246,MATCH(B5487,'ZCB Curve - Payment Dates'!$A$2:$A$246,0))</f>
        <v>0.36406533257851953</v>
      </c>
      <c r="E5487" s="32">
        <f t="shared" si="85"/>
        <v>0.86465516487398386</v>
      </c>
    </row>
    <row r="5488" spans="1:5" x14ac:dyDescent="0.25">
      <c r="A5488" s="17">
        <v>352</v>
      </c>
      <c r="B5488" s="31">
        <v>53373</v>
      </c>
      <c r="C5488" s="32">
        <f>INDEX('Input Data'!$B:$B,A5488)/2+IF(A5488&lt;&gt;A5489,100,0)</f>
        <v>2.375</v>
      </c>
      <c r="D5488" s="33">
        <f>INDEX('ZCB Curve - Payment Dates'!$D$2:$D$246,MATCH(B5488,'ZCB Curve - Payment Dates'!$A$2:$A$246,0))</f>
        <v>0.35322166892031259</v>
      </c>
      <c r="E5488" s="32">
        <f t="shared" si="85"/>
        <v>0.83890146368574237</v>
      </c>
    </row>
    <row r="5489" spans="1:5" x14ac:dyDescent="0.25">
      <c r="A5489" s="17">
        <v>352</v>
      </c>
      <c r="B5489" s="31">
        <v>53554</v>
      </c>
      <c r="C5489" s="32">
        <f>INDEX('Input Data'!$B:$B,A5489)/2+IF(A5489&lt;&gt;A5490,100,0)</f>
        <v>2.375</v>
      </c>
      <c r="D5489" s="33">
        <f>INDEX('ZCB Curve - Payment Dates'!$D$2:$D$246,MATCH(B5489,'ZCB Curve - Payment Dates'!$A$2:$A$246,0))</f>
        <v>0.34295436226619208</v>
      </c>
      <c r="E5489" s="32">
        <f t="shared" si="85"/>
        <v>0.81451661038220624</v>
      </c>
    </row>
    <row r="5490" spans="1:5" x14ac:dyDescent="0.25">
      <c r="A5490" s="17">
        <v>352</v>
      </c>
      <c r="B5490" s="31">
        <v>53738</v>
      </c>
      <c r="C5490" s="32">
        <f>INDEX('Input Data'!$B:$B,A5490)/2+IF(A5490&lt;&gt;A5491,100,0)</f>
        <v>2.375</v>
      </c>
      <c r="D5490" s="33">
        <f>INDEX('ZCB Curve - Payment Dates'!$D$2:$D$246,MATCH(B5490,'ZCB Curve - Payment Dates'!$A$2:$A$246,0))</f>
        <v>0.33291860450360972</v>
      </c>
      <c r="E5490" s="32">
        <f t="shared" si="85"/>
        <v>0.79068168569607311</v>
      </c>
    </row>
    <row r="5491" spans="1:5" x14ac:dyDescent="0.25">
      <c r="A5491" s="17">
        <v>352</v>
      </c>
      <c r="B5491" s="31">
        <v>53919</v>
      </c>
      <c r="C5491" s="32">
        <f>INDEX('Input Data'!$B:$B,A5491)/2+IF(A5491&lt;&gt;A5492,100,0)</f>
        <v>2.375</v>
      </c>
      <c r="D5491" s="33">
        <f>INDEX('ZCB Curve - Payment Dates'!$D$2:$D$246,MATCH(B5491,'ZCB Curve - Payment Dates'!$A$2:$A$246,0))</f>
        <v>0.32343468195091313</v>
      </c>
      <c r="E5491" s="32">
        <f t="shared" si="85"/>
        <v>0.76815736963341863</v>
      </c>
    </row>
    <row r="5492" spans="1:5" x14ac:dyDescent="0.25">
      <c r="A5492" s="17">
        <v>352</v>
      </c>
      <c r="B5492" s="31">
        <v>54103</v>
      </c>
      <c r="C5492" s="32">
        <f>INDEX('Input Data'!$B:$B,A5492)/2+IF(A5492&lt;&gt;A5493,100,0)</f>
        <v>2.375</v>
      </c>
      <c r="D5492" s="33">
        <f>INDEX('ZCB Curve - Payment Dates'!$D$2:$D$246,MATCH(B5492,'ZCB Curve - Payment Dates'!$A$2:$A$246,0))</f>
        <v>0.31418167147949361</v>
      </c>
      <c r="E5492" s="32">
        <f t="shared" si="85"/>
        <v>0.74618146976379729</v>
      </c>
    </row>
    <row r="5493" spans="1:5" x14ac:dyDescent="0.25">
      <c r="A5493" s="17">
        <v>352</v>
      </c>
      <c r="B5493" s="31">
        <v>54285</v>
      </c>
      <c r="C5493" s="32">
        <f>INDEX('Input Data'!$B:$B,A5493)/2+IF(A5493&lt;&gt;A5494,100,0)</f>
        <v>2.375</v>
      </c>
      <c r="D5493" s="33">
        <f>INDEX('ZCB Curve - Payment Dates'!$D$2:$D$246,MATCH(B5493,'ZCB Curve - Payment Dates'!$A$2:$A$246,0))</f>
        <v>0.30540618878290843</v>
      </c>
      <c r="E5493" s="32">
        <f t="shared" si="85"/>
        <v>0.72533969835940748</v>
      </c>
    </row>
    <row r="5494" spans="1:5" x14ac:dyDescent="0.25">
      <c r="A5494" s="17">
        <v>352</v>
      </c>
      <c r="B5494" s="31">
        <v>54469</v>
      </c>
      <c r="C5494" s="32">
        <f>INDEX('Input Data'!$B:$B,A5494)/2+IF(A5494&lt;&gt;A5495,100,0)</f>
        <v>2.375</v>
      </c>
      <c r="D5494" s="33">
        <f>INDEX('ZCB Curve - Payment Dates'!$D$2:$D$246,MATCH(B5494,'ZCB Curve - Payment Dates'!$A$2:$A$246,0))</f>
        <v>0.29690423521941833</v>
      </c>
      <c r="E5494" s="32">
        <f t="shared" si="85"/>
        <v>0.70514755864611856</v>
      </c>
    </row>
    <row r="5495" spans="1:5" x14ac:dyDescent="0.25">
      <c r="A5495" s="17">
        <v>352</v>
      </c>
      <c r="B5495" s="31">
        <v>54650</v>
      </c>
      <c r="C5495" s="32">
        <f>INDEX('Input Data'!$B:$B,A5495)/2+IF(A5495&lt;&gt;A5496,100,0)</f>
        <v>2.375</v>
      </c>
      <c r="D5495" s="33">
        <f>INDEX('ZCB Curve - Payment Dates'!$D$2:$D$246,MATCH(B5495,'ZCB Curve - Payment Dates'!$A$2:$A$246,0))</f>
        <v>0.2888997564491238</v>
      </c>
      <c r="E5495" s="32">
        <f t="shared" si="85"/>
        <v>0.68613692156666906</v>
      </c>
    </row>
    <row r="5496" spans="1:5" x14ac:dyDescent="0.25">
      <c r="A5496" s="17">
        <v>352</v>
      </c>
      <c r="B5496" s="31">
        <v>54834</v>
      </c>
      <c r="C5496" s="32">
        <f>INDEX('Input Data'!$B:$B,A5496)/2+IF(A5496&lt;&gt;A5497,100,0)</f>
        <v>2.375</v>
      </c>
      <c r="D5496" s="33">
        <f>INDEX('ZCB Curve - Payment Dates'!$D$2:$D$246,MATCH(B5496,'ZCB Curve - Payment Dates'!$A$2:$A$246,0))</f>
        <v>0.28111189964037164</v>
      </c>
      <c r="E5496" s="32">
        <f t="shared" si="85"/>
        <v>0.6676407616458826</v>
      </c>
    </row>
    <row r="5497" spans="1:5" x14ac:dyDescent="0.25">
      <c r="A5497" s="17">
        <v>352</v>
      </c>
      <c r="B5497" s="31">
        <v>55015</v>
      </c>
      <c r="C5497" s="32">
        <f>INDEX('Input Data'!$B:$B,A5497)/2+IF(A5497&lt;&gt;A5498,100,0)</f>
        <v>2.375</v>
      </c>
      <c r="D5497" s="33">
        <f>INDEX('ZCB Curve - Payment Dates'!$D$2:$D$246,MATCH(B5497,'ZCB Curve - Payment Dates'!$A$2:$A$246,0))</f>
        <v>0.27379046078597996</v>
      </c>
      <c r="E5497" s="32">
        <f t="shared" si="85"/>
        <v>0.65025234436670243</v>
      </c>
    </row>
    <row r="5498" spans="1:5" x14ac:dyDescent="0.25">
      <c r="A5498" s="17">
        <v>352</v>
      </c>
      <c r="B5498" s="31">
        <v>55199</v>
      </c>
      <c r="C5498" s="32">
        <f>INDEX('Input Data'!$B:$B,A5498)/2+IF(A5498&lt;&gt;A5499,100,0)</f>
        <v>2.375</v>
      </c>
      <c r="D5498" s="33">
        <f>INDEX('ZCB Curve - Payment Dates'!$D$2:$D$246,MATCH(B5498,'ZCB Curve - Payment Dates'!$A$2:$A$246,0))</f>
        <v>0.26667724322397307</v>
      </c>
      <c r="E5498" s="32">
        <f t="shared" si="85"/>
        <v>0.63335845265693602</v>
      </c>
    </row>
    <row r="5499" spans="1:5" x14ac:dyDescent="0.25">
      <c r="A5499" s="17">
        <v>352</v>
      </c>
      <c r="B5499" s="31">
        <v>55380</v>
      </c>
      <c r="C5499" s="32">
        <f>INDEX('Input Data'!$B:$B,A5499)/2+IF(A5499&lt;&gt;A5500,100,0)</f>
        <v>2.375</v>
      </c>
      <c r="D5499" s="33">
        <f>INDEX('ZCB Curve - Payment Dates'!$D$2:$D$246,MATCH(B5499,'ZCB Curve - Payment Dates'!$A$2:$A$246,0))</f>
        <v>0.25999926234228898</v>
      </c>
      <c r="E5499" s="32">
        <f t="shared" si="85"/>
        <v>0.61749824806293629</v>
      </c>
    </row>
    <row r="5500" spans="1:5" x14ac:dyDescent="0.25">
      <c r="A5500" s="17">
        <v>352</v>
      </c>
      <c r="B5500" s="31">
        <v>55564</v>
      </c>
      <c r="C5500" s="32">
        <f>INDEX('Input Data'!$B:$B,A5500)/2+IF(A5500&lt;&gt;A5501,100,0)</f>
        <v>2.375</v>
      </c>
      <c r="D5500" s="33">
        <f>INDEX('ZCB Curve - Payment Dates'!$D$2:$D$246,MATCH(B5500,'ZCB Curve - Payment Dates'!$A$2:$A$246,0))</f>
        <v>0.25351997596294801</v>
      </c>
      <c r="E5500" s="32">
        <f t="shared" si="85"/>
        <v>0.60210994291200148</v>
      </c>
    </row>
    <row r="5501" spans="1:5" x14ac:dyDescent="0.25">
      <c r="A5501" s="17">
        <v>352</v>
      </c>
      <c r="B5501" s="31">
        <v>55746</v>
      </c>
      <c r="C5501" s="32">
        <f>INDEX('Input Data'!$B:$B,A5501)/2+IF(A5501&lt;&gt;A5502,100,0)</f>
        <v>2.375</v>
      </c>
      <c r="D5501" s="33">
        <f>INDEX('ZCB Curve - Payment Dates'!$D$2:$D$246,MATCH(B5501,'ZCB Curve - Payment Dates'!$A$2:$A$246,0))</f>
        <v>0.24741177833471262</v>
      </c>
      <c r="E5501" s="32">
        <f t="shared" si="85"/>
        <v>0.58760297354494251</v>
      </c>
    </row>
    <row r="5502" spans="1:5" x14ac:dyDescent="0.25">
      <c r="A5502" s="17">
        <v>352</v>
      </c>
      <c r="B5502" s="31">
        <v>55930</v>
      </c>
      <c r="C5502" s="32">
        <f>INDEX('Input Data'!$B:$B,A5502)/2+IF(A5502&lt;&gt;A5503,100,0)</f>
        <v>2.375</v>
      </c>
      <c r="D5502" s="33">
        <f>INDEX('ZCB Curve - Payment Dates'!$D$2:$D$246,MATCH(B5502,'ZCB Curve - Payment Dates'!$A$2:$A$246,0))</f>
        <v>0.24152840552252464</v>
      </c>
      <c r="E5502" s="32">
        <f t="shared" si="85"/>
        <v>0.57362996311599601</v>
      </c>
    </row>
    <row r="5503" spans="1:5" x14ac:dyDescent="0.25">
      <c r="A5503" s="17">
        <v>352</v>
      </c>
      <c r="B5503" s="31">
        <v>56111</v>
      </c>
      <c r="C5503" s="32">
        <f>INDEX('Input Data'!$B:$B,A5503)/2+IF(A5503&lt;&gt;A5504,100,0)</f>
        <v>2.375</v>
      </c>
      <c r="D5503" s="33">
        <f>INDEX('ZCB Curve - Payment Dates'!$D$2:$D$246,MATCH(B5503,'ZCB Curve - Payment Dates'!$A$2:$A$246,0))</f>
        <v>0.23601759993777988</v>
      </c>
      <c r="E5503" s="32">
        <f t="shared" si="85"/>
        <v>0.56054179985222718</v>
      </c>
    </row>
    <row r="5504" spans="1:5" x14ac:dyDescent="0.25">
      <c r="A5504" s="17">
        <v>352</v>
      </c>
      <c r="B5504" s="31">
        <v>56295</v>
      </c>
      <c r="C5504" s="32">
        <f>INDEX('Input Data'!$B:$B,A5504)/2+IF(A5504&lt;&gt;A5505,100,0)</f>
        <v>2.375</v>
      </c>
      <c r="D5504" s="33">
        <f>INDEX('ZCB Curve - Payment Dates'!$D$2:$D$246,MATCH(B5504,'ZCB Curve - Payment Dates'!$A$2:$A$246,0))</f>
        <v>0.23068727764963001</v>
      </c>
      <c r="E5504" s="32">
        <f t="shared" si="85"/>
        <v>0.54788228441787123</v>
      </c>
    </row>
    <row r="5505" spans="1:5" x14ac:dyDescent="0.25">
      <c r="A5505" s="17">
        <v>352</v>
      </c>
      <c r="B5505" s="31">
        <v>56476</v>
      </c>
      <c r="C5505" s="32">
        <f>INDEX('Input Data'!$B:$B,A5505)/2+IF(A5505&lt;&gt;A5506,100,0)</f>
        <v>2.375</v>
      </c>
      <c r="D5505" s="33">
        <f>INDEX('ZCB Curve - Payment Dates'!$D$2:$D$246,MATCH(B5505,'ZCB Curve - Payment Dates'!$A$2:$A$246,0))</f>
        <v>0.22570143434065604</v>
      </c>
      <c r="E5505" s="32">
        <f t="shared" si="85"/>
        <v>0.53604090655905812</v>
      </c>
    </row>
    <row r="5506" spans="1:5" x14ac:dyDescent="0.25">
      <c r="A5506" s="17">
        <v>352</v>
      </c>
      <c r="B5506" s="31">
        <v>56660</v>
      </c>
      <c r="C5506" s="32">
        <f>INDEX('Input Data'!$B:$B,A5506)/2+IF(A5506&lt;&gt;A5507,100,0)</f>
        <v>2.375</v>
      </c>
      <c r="D5506" s="33">
        <f>INDEX('ZCB Curve - Payment Dates'!$D$2:$D$246,MATCH(B5506,'ZCB Curve - Payment Dates'!$A$2:$A$246,0))</f>
        <v>0.22088579586025855</v>
      </c>
      <c r="E5506" s="32">
        <f t="shared" ref="E5506:E5569" si="86">C5506*D5506</f>
        <v>0.52460376516811402</v>
      </c>
    </row>
    <row r="5507" spans="1:5" x14ac:dyDescent="0.25">
      <c r="A5507" s="17">
        <v>352</v>
      </c>
      <c r="B5507" s="31">
        <v>56841</v>
      </c>
      <c r="C5507" s="32">
        <f>INDEX('Input Data'!$B:$B,A5507)/2+IF(A5507&lt;&gt;A5508,100,0)</f>
        <v>2.375</v>
      </c>
      <c r="D5507" s="33">
        <f>INDEX('ZCB Curve - Payment Dates'!$D$2:$D$246,MATCH(B5507,'ZCB Curve - Payment Dates'!$A$2:$A$246,0))</f>
        <v>0.21638810336036826</v>
      </c>
      <c r="E5507" s="32">
        <f t="shared" si="86"/>
        <v>0.51392174548087466</v>
      </c>
    </row>
    <row r="5508" spans="1:5" x14ac:dyDescent="0.25">
      <c r="A5508" s="17">
        <v>352</v>
      </c>
      <c r="B5508" s="31">
        <v>57025</v>
      </c>
      <c r="C5508" s="32">
        <f>INDEX('Input Data'!$B:$B,A5508)/2+IF(A5508&lt;&gt;A5509,100,0)</f>
        <v>102.375</v>
      </c>
      <c r="D5508" s="33">
        <f>INDEX('ZCB Curve - Payment Dates'!$D$2:$D$246,MATCH(B5508,'ZCB Curve - Payment Dates'!$A$2:$A$246,0))</f>
        <v>0.21205076885329019</v>
      </c>
      <c r="E5508" s="32">
        <f t="shared" si="86"/>
        <v>21.708697461355584</v>
      </c>
    </row>
    <row r="5509" spans="1:5" x14ac:dyDescent="0.25">
      <c r="A5509" s="17">
        <v>353</v>
      </c>
      <c r="B5509" s="31">
        <v>46341</v>
      </c>
      <c r="C5509" s="32">
        <f>INDEX('Input Data'!$B:$B,A5509)/2+IF(A5509&lt;&gt;A5510,100,0)</f>
        <v>2.5</v>
      </c>
      <c r="D5509" s="33">
        <f>INDEX('ZCB Curve - Payment Dates'!$D$2:$D$246,MATCH(B5509,'ZCB Curve - Payment Dates'!$A$2:$A$246,0))</f>
        <v>0.99245367292309439</v>
      </c>
      <c r="E5509" s="32">
        <f t="shared" si="86"/>
        <v>2.481134182307736</v>
      </c>
    </row>
    <row r="5510" spans="1:5" x14ac:dyDescent="0.25">
      <c r="A5510" s="17">
        <v>353</v>
      </c>
      <c r="B5510" s="31">
        <v>46522</v>
      </c>
      <c r="C5510" s="32">
        <f>INDEX('Input Data'!$B:$B,A5510)/2+IF(A5510&lt;&gt;A5511,100,0)</f>
        <v>2.5</v>
      </c>
      <c r="D5510" s="33">
        <f>INDEX('ZCB Curve - Payment Dates'!$D$2:$D$246,MATCH(B5510,'ZCB Curve - Payment Dates'!$A$2:$A$246,0))</f>
        <v>0.97242179559611874</v>
      </c>
      <c r="E5510" s="32">
        <f t="shared" si="86"/>
        <v>2.4310544889902967</v>
      </c>
    </row>
    <row r="5511" spans="1:5" x14ac:dyDescent="0.25">
      <c r="A5511" s="17">
        <v>353</v>
      </c>
      <c r="B5511" s="31">
        <v>46706</v>
      </c>
      <c r="C5511" s="32">
        <f>INDEX('Input Data'!$B:$B,A5511)/2+IF(A5511&lt;&gt;A5512,100,0)</f>
        <v>2.5</v>
      </c>
      <c r="D5511" s="33">
        <f>INDEX('ZCB Curve - Payment Dates'!$D$2:$D$246,MATCH(B5511,'ZCB Curve - Payment Dates'!$A$2:$A$246,0))</f>
        <v>0.95121018311627348</v>
      </c>
      <c r="E5511" s="32">
        <f t="shared" si="86"/>
        <v>2.3780254577906836</v>
      </c>
    </row>
    <row r="5512" spans="1:5" x14ac:dyDescent="0.25">
      <c r="A5512" s="17">
        <v>353</v>
      </c>
      <c r="B5512" s="31">
        <v>46888</v>
      </c>
      <c r="C5512" s="32">
        <f>INDEX('Input Data'!$B:$B,A5512)/2+IF(A5512&lt;&gt;A5513,100,0)</f>
        <v>2.5</v>
      </c>
      <c r="D5512" s="33">
        <f>INDEX('ZCB Curve - Payment Dates'!$D$2:$D$246,MATCH(B5512,'ZCB Curve - Payment Dates'!$A$2:$A$246,0))</f>
        <v>0.93000025435083566</v>
      </c>
      <c r="E5512" s="32">
        <f t="shared" si="86"/>
        <v>2.3250006358770889</v>
      </c>
    </row>
    <row r="5513" spans="1:5" x14ac:dyDescent="0.25">
      <c r="A5513" s="17">
        <v>353</v>
      </c>
      <c r="B5513" s="31">
        <v>47072</v>
      </c>
      <c r="C5513" s="32">
        <f>INDEX('Input Data'!$B:$B,A5513)/2+IF(A5513&lt;&gt;A5514,100,0)</f>
        <v>2.5</v>
      </c>
      <c r="D5513" s="33">
        <f>INDEX('ZCB Curve - Payment Dates'!$D$2:$D$246,MATCH(B5513,'ZCB Curve - Payment Dates'!$A$2:$A$246,0))</f>
        <v>0.90870125167038918</v>
      </c>
      <c r="E5513" s="32">
        <f t="shared" si="86"/>
        <v>2.2717531291759729</v>
      </c>
    </row>
    <row r="5514" spans="1:5" x14ac:dyDescent="0.25">
      <c r="A5514" s="17">
        <v>353</v>
      </c>
      <c r="B5514" s="31">
        <v>47253</v>
      </c>
      <c r="C5514" s="32">
        <f>INDEX('Input Data'!$B:$B,A5514)/2+IF(A5514&lt;&gt;A5515,100,0)</f>
        <v>2.5</v>
      </c>
      <c r="D5514" s="33">
        <f>INDEX('ZCB Curve - Payment Dates'!$D$2:$D$246,MATCH(B5514,'ZCB Curve - Payment Dates'!$A$2:$A$246,0))</f>
        <v>0.88809325063638844</v>
      </c>
      <c r="E5514" s="32">
        <f t="shared" si="86"/>
        <v>2.2202331265909709</v>
      </c>
    </row>
    <row r="5515" spans="1:5" x14ac:dyDescent="0.25">
      <c r="A5515" s="17">
        <v>353</v>
      </c>
      <c r="B5515" s="31">
        <v>47437</v>
      </c>
      <c r="C5515" s="32">
        <f>INDEX('Input Data'!$B:$B,A5515)/2+IF(A5515&lt;&gt;A5516,100,0)</f>
        <v>2.5</v>
      </c>
      <c r="D5515" s="33">
        <f>INDEX('ZCB Curve - Payment Dates'!$D$2:$D$246,MATCH(B5515,'ZCB Curve - Payment Dates'!$A$2:$A$246,0))</f>
        <v>0.86758824089536279</v>
      </c>
      <c r="E5515" s="32">
        <f t="shared" si="86"/>
        <v>2.168970602238407</v>
      </c>
    </row>
    <row r="5516" spans="1:5" x14ac:dyDescent="0.25">
      <c r="A5516" s="17">
        <v>353</v>
      </c>
      <c r="B5516" s="31">
        <v>47618</v>
      </c>
      <c r="C5516" s="32">
        <f>INDEX('Input Data'!$B:$B,A5516)/2+IF(A5516&lt;&gt;A5517,100,0)</f>
        <v>2.5</v>
      </c>
      <c r="D5516" s="33">
        <f>INDEX('ZCB Curve - Payment Dates'!$D$2:$D$246,MATCH(B5516,'ZCB Curve - Payment Dates'!$A$2:$A$246,0))</f>
        <v>0.84787416911783064</v>
      </c>
      <c r="E5516" s="32">
        <f t="shared" si="86"/>
        <v>2.1196854227945767</v>
      </c>
    </row>
    <row r="5517" spans="1:5" x14ac:dyDescent="0.25">
      <c r="A5517" s="17">
        <v>353</v>
      </c>
      <c r="B5517" s="31">
        <v>47802</v>
      </c>
      <c r="C5517" s="32">
        <f>INDEX('Input Data'!$B:$B,A5517)/2+IF(A5517&lt;&gt;A5518,100,0)</f>
        <v>2.5</v>
      </c>
      <c r="D5517" s="33">
        <f>INDEX('ZCB Curve - Payment Dates'!$D$2:$D$246,MATCH(B5517,'ZCB Curve - Payment Dates'!$A$2:$A$246,0))</f>
        <v>0.82827715028796722</v>
      </c>
      <c r="E5517" s="32">
        <f t="shared" si="86"/>
        <v>2.0706928757199181</v>
      </c>
    </row>
    <row r="5518" spans="1:5" x14ac:dyDescent="0.25">
      <c r="A5518" s="17">
        <v>353</v>
      </c>
      <c r="B5518" s="31">
        <v>47983</v>
      </c>
      <c r="C5518" s="32">
        <f>INDEX('Input Data'!$B:$B,A5518)/2+IF(A5518&lt;&gt;A5519,100,0)</f>
        <v>2.5</v>
      </c>
      <c r="D5518" s="33">
        <f>INDEX('ZCB Curve - Payment Dates'!$D$2:$D$246,MATCH(B5518,'ZCB Curve - Payment Dates'!$A$2:$A$246,0))</f>
        <v>0.80939067484273564</v>
      </c>
      <c r="E5518" s="32">
        <f t="shared" si="86"/>
        <v>2.023476687106839</v>
      </c>
    </row>
    <row r="5519" spans="1:5" x14ac:dyDescent="0.25">
      <c r="A5519" s="17">
        <v>353</v>
      </c>
      <c r="B5519" s="31">
        <v>48167</v>
      </c>
      <c r="C5519" s="32">
        <f>INDEX('Input Data'!$B:$B,A5519)/2+IF(A5519&lt;&gt;A5520,100,0)</f>
        <v>2.5</v>
      </c>
      <c r="D5519" s="33">
        <f>INDEX('ZCB Curve - Payment Dates'!$D$2:$D$246,MATCH(B5519,'ZCB Curve - Payment Dates'!$A$2:$A$246,0))</f>
        <v>0.79053567842581962</v>
      </c>
      <c r="E5519" s="32">
        <f t="shared" si="86"/>
        <v>1.9763391960645491</v>
      </c>
    </row>
    <row r="5520" spans="1:5" x14ac:dyDescent="0.25">
      <c r="A5520" s="17">
        <v>353</v>
      </c>
      <c r="B5520" s="31">
        <v>48349</v>
      </c>
      <c r="C5520" s="32">
        <f>INDEX('Input Data'!$B:$B,A5520)/2+IF(A5520&lt;&gt;A5521,100,0)</f>
        <v>2.5</v>
      </c>
      <c r="D5520" s="33">
        <f>INDEX('ZCB Curve - Payment Dates'!$D$2:$D$246,MATCH(B5520,'ZCB Curve - Payment Dates'!$A$2:$A$246,0))</f>
        <v>0.77217305702007488</v>
      </c>
      <c r="E5520" s="32">
        <f t="shared" si="86"/>
        <v>1.9304326425501872</v>
      </c>
    </row>
    <row r="5521" spans="1:5" x14ac:dyDescent="0.25">
      <c r="A5521" s="17">
        <v>353</v>
      </c>
      <c r="B5521" s="31">
        <v>48533</v>
      </c>
      <c r="C5521" s="32">
        <f>INDEX('Input Data'!$B:$B,A5521)/2+IF(A5521&lt;&gt;A5522,100,0)</f>
        <v>2.5</v>
      </c>
      <c r="D5521" s="33">
        <f>INDEX('ZCB Curve - Payment Dates'!$D$2:$D$246,MATCH(B5521,'ZCB Curve - Payment Dates'!$A$2:$A$246,0))</f>
        <v>0.75384766072076514</v>
      </c>
      <c r="E5521" s="32">
        <f t="shared" si="86"/>
        <v>1.8846191518019129</v>
      </c>
    </row>
    <row r="5522" spans="1:5" x14ac:dyDescent="0.25">
      <c r="A5522" s="17">
        <v>353</v>
      </c>
      <c r="B5522" s="31">
        <v>48714</v>
      </c>
      <c r="C5522" s="32">
        <f>INDEX('Input Data'!$B:$B,A5522)/2+IF(A5522&lt;&gt;A5523,100,0)</f>
        <v>2.5</v>
      </c>
      <c r="D5522" s="33">
        <f>INDEX('ZCB Curve - Payment Dates'!$D$2:$D$246,MATCH(B5522,'ZCB Curve - Payment Dates'!$A$2:$A$246,0))</f>
        <v>0.73601491848746747</v>
      </c>
      <c r="E5522" s="32">
        <f t="shared" si="86"/>
        <v>1.8400372962186686</v>
      </c>
    </row>
    <row r="5523" spans="1:5" x14ac:dyDescent="0.25">
      <c r="A5523" s="17">
        <v>353</v>
      </c>
      <c r="B5523" s="31">
        <v>48898</v>
      </c>
      <c r="C5523" s="32">
        <f>INDEX('Input Data'!$B:$B,A5523)/2+IF(A5523&lt;&gt;A5524,100,0)</f>
        <v>2.5</v>
      </c>
      <c r="D5523" s="33">
        <f>INDEX('ZCB Curve - Payment Dates'!$D$2:$D$246,MATCH(B5523,'ZCB Curve - Payment Dates'!$A$2:$A$246,0))</f>
        <v>0.71805338140354003</v>
      </c>
      <c r="E5523" s="32">
        <f t="shared" si="86"/>
        <v>1.7951334535088501</v>
      </c>
    </row>
    <row r="5524" spans="1:5" x14ac:dyDescent="0.25">
      <c r="A5524" s="17">
        <v>353</v>
      </c>
      <c r="B5524" s="31">
        <v>49079</v>
      </c>
      <c r="C5524" s="32">
        <f>INDEX('Input Data'!$B:$B,A5524)/2+IF(A5524&lt;&gt;A5525,100,0)</f>
        <v>2.5</v>
      </c>
      <c r="D5524" s="33">
        <f>INDEX('ZCB Curve - Payment Dates'!$D$2:$D$246,MATCH(B5524,'ZCB Curve - Payment Dates'!$A$2:$A$246,0))</f>
        <v>0.70052630492471468</v>
      </c>
      <c r="E5524" s="32">
        <f t="shared" si="86"/>
        <v>1.7513157623117868</v>
      </c>
    </row>
    <row r="5525" spans="1:5" x14ac:dyDescent="0.25">
      <c r="A5525" s="17">
        <v>353</v>
      </c>
      <c r="B5525" s="31">
        <v>49263</v>
      </c>
      <c r="C5525" s="32">
        <f>INDEX('Input Data'!$B:$B,A5525)/2+IF(A5525&lt;&gt;A5526,100,0)</f>
        <v>2.5</v>
      </c>
      <c r="D5525" s="33">
        <f>INDEX('ZCB Curve - Payment Dates'!$D$2:$D$246,MATCH(B5525,'ZCB Curve - Payment Dates'!$A$2:$A$246,0))</f>
        <v>0.68284221202539863</v>
      </c>
      <c r="E5525" s="32">
        <f t="shared" si="86"/>
        <v>1.7071055300634965</v>
      </c>
    </row>
    <row r="5526" spans="1:5" x14ac:dyDescent="0.25">
      <c r="A5526" s="17">
        <v>353</v>
      </c>
      <c r="B5526" s="31">
        <v>49444</v>
      </c>
      <c r="C5526" s="32">
        <f>INDEX('Input Data'!$B:$B,A5526)/2+IF(A5526&lt;&gt;A5527,100,0)</f>
        <v>2.5</v>
      </c>
      <c r="D5526" s="33">
        <f>INDEX('ZCB Curve - Payment Dates'!$D$2:$D$246,MATCH(B5526,'ZCB Curve - Payment Dates'!$A$2:$A$246,0))</f>
        <v>0.66557347415228496</v>
      </c>
      <c r="E5526" s="32">
        <f t="shared" si="86"/>
        <v>1.6639336853807123</v>
      </c>
    </row>
    <row r="5527" spans="1:5" x14ac:dyDescent="0.25">
      <c r="A5527" s="17">
        <v>353</v>
      </c>
      <c r="B5527" s="31">
        <v>49628</v>
      </c>
      <c r="C5527" s="32">
        <f>INDEX('Input Data'!$B:$B,A5527)/2+IF(A5527&lt;&gt;A5528,100,0)</f>
        <v>2.5</v>
      </c>
      <c r="D5527" s="33">
        <f>INDEX('ZCB Curve - Payment Dates'!$D$2:$D$246,MATCH(B5527,'ZCB Curve - Payment Dates'!$A$2:$A$246,0))</f>
        <v>0.64815361918127823</v>
      </c>
      <c r="E5527" s="32">
        <f t="shared" si="86"/>
        <v>1.6203840479531957</v>
      </c>
    </row>
    <row r="5528" spans="1:5" x14ac:dyDescent="0.25">
      <c r="A5528" s="17">
        <v>353</v>
      </c>
      <c r="B5528" s="31">
        <v>49810</v>
      </c>
      <c r="C5528" s="32">
        <f>INDEX('Input Data'!$B:$B,A5528)/2+IF(A5528&lt;&gt;A5529,100,0)</f>
        <v>2.5</v>
      </c>
      <c r="D5528" s="33">
        <f>INDEX('ZCB Curve - Payment Dates'!$D$2:$D$246,MATCH(B5528,'ZCB Curve - Payment Dates'!$A$2:$A$246,0))</f>
        <v>0.63106457078577471</v>
      </c>
      <c r="E5528" s="32">
        <f t="shared" si="86"/>
        <v>1.5776614269644367</v>
      </c>
    </row>
    <row r="5529" spans="1:5" x14ac:dyDescent="0.25">
      <c r="A5529" s="17">
        <v>353</v>
      </c>
      <c r="B5529" s="31">
        <v>49994</v>
      </c>
      <c r="C5529" s="32">
        <f>INDEX('Input Data'!$B:$B,A5529)/2+IF(A5529&lt;&gt;A5530,100,0)</f>
        <v>2.5</v>
      </c>
      <c r="D5529" s="33">
        <f>INDEX('ZCB Curve - Payment Dates'!$D$2:$D$246,MATCH(B5529,'ZCB Curve - Payment Dates'!$A$2:$A$246,0))</f>
        <v>0.61395227923184648</v>
      </c>
      <c r="E5529" s="32">
        <f t="shared" si="86"/>
        <v>1.5348806980796161</v>
      </c>
    </row>
    <row r="5530" spans="1:5" x14ac:dyDescent="0.25">
      <c r="A5530" s="17">
        <v>353</v>
      </c>
      <c r="B5530" s="31">
        <v>50175</v>
      </c>
      <c r="C5530" s="32">
        <f>INDEX('Input Data'!$B:$B,A5530)/2+IF(A5530&lt;&gt;A5531,100,0)</f>
        <v>2.5</v>
      </c>
      <c r="D5530" s="33">
        <f>INDEX('ZCB Curve - Payment Dates'!$D$2:$D$246,MATCH(B5530,'ZCB Curve - Payment Dates'!$A$2:$A$246,0))</f>
        <v>0.5972963482314616</v>
      </c>
      <c r="E5530" s="32">
        <f t="shared" si="86"/>
        <v>1.493240870578654</v>
      </c>
    </row>
    <row r="5531" spans="1:5" x14ac:dyDescent="0.25">
      <c r="A5531" s="17">
        <v>353</v>
      </c>
      <c r="B5531" s="31">
        <v>50359</v>
      </c>
      <c r="C5531" s="32">
        <f>INDEX('Input Data'!$B:$B,A5531)/2+IF(A5531&lt;&gt;A5532,100,0)</f>
        <v>2.5</v>
      </c>
      <c r="D5531" s="33">
        <f>INDEX('ZCB Curve - Payment Dates'!$D$2:$D$246,MATCH(B5531,'ZCB Curve - Payment Dates'!$A$2:$A$246,0))</f>
        <v>0.58056812006155756</v>
      </c>
      <c r="E5531" s="32">
        <f t="shared" si="86"/>
        <v>1.4514203001538939</v>
      </c>
    </row>
    <row r="5532" spans="1:5" x14ac:dyDescent="0.25">
      <c r="A5532" s="17">
        <v>353</v>
      </c>
      <c r="B5532" s="31">
        <v>50540</v>
      </c>
      <c r="C5532" s="32">
        <f>INDEX('Input Data'!$B:$B,A5532)/2+IF(A5532&lt;&gt;A5533,100,0)</f>
        <v>2.5</v>
      </c>
      <c r="D5532" s="33">
        <f>INDEX('ZCB Curve - Payment Dates'!$D$2:$D$246,MATCH(B5532,'ZCB Curve - Payment Dates'!$A$2:$A$246,0))</f>
        <v>0.56433491315969797</v>
      </c>
      <c r="E5532" s="32">
        <f t="shared" si="86"/>
        <v>1.4108372828992448</v>
      </c>
    </row>
    <row r="5533" spans="1:5" x14ac:dyDescent="0.25">
      <c r="A5533" s="17">
        <v>353</v>
      </c>
      <c r="B5533" s="31">
        <v>50724</v>
      </c>
      <c r="C5533" s="32">
        <f>INDEX('Input Data'!$B:$B,A5533)/2+IF(A5533&lt;&gt;A5534,100,0)</f>
        <v>2.5</v>
      </c>
      <c r="D5533" s="33">
        <f>INDEX('ZCB Curve - Payment Dates'!$D$2:$D$246,MATCH(B5533,'ZCB Curve - Payment Dates'!$A$2:$A$246,0))</f>
        <v>0.54808398139057424</v>
      </c>
      <c r="E5533" s="32">
        <f t="shared" si="86"/>
        <v>1.3702099534764356</v>
      </c>
    </row>
    <row r="5534" spans="1:5" x14ac:dyDescent="0.25">
      <c r="A5534" s="17">
        <v>353</v>
      </c>
      <c r="B5534" s="31">
        <v>50905</v>
      </c>
      <c r="C5534" s="32">
        <f>INDEX('Input Data'!$B:$B,A5534)/2+IF(A5534&lt;&gt;A5535,100,0)</f>
        <v>2.5</v>
      </c>
      <c r="D5534" s="33">
        <f>INDEX('ZCB Curve - Payment Dates'!$D$2:$D$246,MATCH(B5534,'ZCB Curve - Payment Dates'!$A$2:$A$246,0))</f>
        <v>0.5323673246083096</v>
      </c>
      <c r="E5534" s="32">
        <f t="shared" si="86"/>
        <v>1.3309183115207741</v>
      </c>
    </row>
    <row r="5535" spans="1:5" x14ac:dyDescent="0.25">
      <c r="A5535" s="17">
        <v>353</v>
      </c>
      <c r="B5535" s="31">
        <v>51089</v>
      </c>
      <c r="C5535" s="32">
        <f>INDEX('Input Data'!$B:$B,A5535)/2+IF(A5535&lt;&gt;A5536,100,0)</f>
        <v>2.5</v>
      </c>
      <c r="D5535" s="33">
        <f>INDEX('ZCB Curve - Payment Dates'!$D$2:$D$246,MATCH(B5535,'ZCB Curve - Payment Dates'!$A$2:$A$246,0))</f>
        <v>0.51668806431098135</v>
      </c>
      <c r="E5535" s="32">
        <f t="shared" si="86"/>
        <v>1.2917201607774533</v>
      </c>
    </row>
    <row r="5536" spans="1:5" x14ac:dyDescent="0.25">
      <c r="A5536" s="17">
        <v>353</v>
      </c>
      <c r="B5536" s="31">
        <v>51271</v>
      </c>
      <c r="C5536" s="32">
        <f>INDEX('Input Data'!$B:$B,A5536)/2+IF(A5536&lt;&gt;A5537,100,0)</f>
        <v>2.5</v>
      </c>
      <c r="D5536" s="33">
        <f>INDEX('ZCB Curve - Payment Dates'!$D$2:$D$246,MATCH(B5536,'ZCB Curve - Payment Dates'!$A$2:$A$246,0))</f>
        <v>0.50149590020417278</v>
      </c>
      <c r="E5536" s="32">
        <f t="shared" si="86"/>
        <v>1.253739750510432</v>
      </c>
    </row>
    <row r="5537" spans="1:5" x14ac:dyDescent="0.25">
      <c r="A5537" s="17">
        <v>353</v>
      </c>
      <c r="B5537" s="31">
        <v>51455</v>
      </c>
      <c r="C5537" s="32">
        <f>INDEX('Input Data'!$B:$B,A5537)/2+IF(A5537&lt;&gt;A5538,100,0)</f>
        <v>2.5</v>
      </c>
      <c r="D5537" s="33">
        <f>INDEX('ZCB Curve - Payment Dates'!$D$2:$D$246,MATCH(B5537,'ZCB Curve - Payment Dates'!$A$2:$A$246,0))</f>
        <v>0.48647538074270091</v>
      </c>
      <c r="E5537" s="32">
        <f t="shared" si="86"/>
        <v>1.2161884518567523</v>
      </c>
    </row>
    <row r="5538" spans="1:5" x14ac:dyDescent="0.25">
      <c r="A5538" s="17">
        <v>353</v>
      </c>
      <c r="B5538" s="31">
        <v>51636</v>
      </c>
      <c r="C5538" s="32">
        <f>INDEX('Input Data'!$B:$B,A5538)/2+IF(A5538&lt;&gt;A5539,100,0)</f>
        <v>2.5</v>
      </c>
      <c r="D5538" s="33">
        <f>INDEX('ZCB Curve - Payment Dates'!$D$2:$D$246,MATCH(B5538,'ZCB Curve - Payment Dates'!$A$2:$A$246,0))</f>
        <v>0.47204918703719451</v>
      </c>
      <c r="E5538" s="32">
        <f t="shared" si="86"/>
        <v>1.1801229675929863</v>
      </c>
    </row>
    <row r="5539" spans="1:5" x14ac:dyDescent="0.25">
      <c r="A5539" s="17">
        <v>353</v>
      </c>
      <c r="B5539" s="31">
        <v>51820</v>
      </c>
      <c r="C5539" s="32">
        <f>INDEX('Input Data'!$B:$B,A5539)/2+IF(A5539&lt;&gt;A5540,100,0)</f>
        <v>2.5</v>
      </c>
      <c r="D5539" s="33">
        <f>INDEX('ZCB Curve - Payment Dates'!$D$2:$D$246,MATCH(B5539,'ZCB Curve - Payment Dates'!$A$2:$A$246,0))</f>
        <v>0.45775548669345245</v>
      </c>
      <c r="E5539" s="32">
        <f t="shared" si="86"/>
        <v>1.1443887167336311</v>
      </c>
    </row>
    <row r="5540" spans="1:5" x14ac:dyDescent="0.25">
      <c r="A5540" s="17">
        <v>353</v>
      </c>
      <c r="B5540" s="31">
        <v>52001</v>
      </c>
      <c r="C5540" s="32">
        <f>INDEX('Input Data'!$B:$B,A5540)/2+IF(A5540&lt;&gt;A5541,100,0)</f>
        <v>2.5</v>
      </c>
      <c r="D5540" s="33">
        <f>INDEX('ZCB Curve - Payment Dates'!$D$2:$D$246,MATCH(B5540,'ZCB Curve - Payment Dates'!$A$2:$A$246,0))</f>
        <v>0.44407192118484318</v>
      </c>
      <c r="E5540" s="32">
        <f t="shared" si="86"/>
        <v>1.1101798029621079</v>
      </c>
    </row>
    <row r="5541" spans="1:5" x14ac:dyDescent="0.25">
      <c r="A5541" s="17">
        <v>353</v>
      </c>
      <c r="B5541" s="31">
        <v>52185</v>
      </c>
      <c r="C5541" s="32">
        <f>INDEX('Input Data'!$B:$B,A5541)/2+IF(A5541&lt;&gt;A5542,100,0)</f>
        <v>2.5</v>
      </c>
      <c r="D5541" s="33">
        <f>INDEX('ZCB Curve - Payment Dates'!$D$2:$D$246,MATCH(B5541,'ZCB Curve - Payment Dates'!$A$2:$A$246,0))</f>
        <v>0.43055647946672393</v>
      </c>
      <c r="E5541" s="32">
        <f t="shared" si="86"/>
        <v>1.0763911986668098</v>
      </c>
    </row>
    <row r="5542" spans="1:5" x14ac:dyDescent="0.25">
      <c r="A5542" s="17">
        <v>353</v>
      </c>
      <c r="B5542" s="31">
        <v>52366</v>
      </c>
      <c r="C5542" s="32">
        <f>INDEX('Input Data'!$B:$B,A5542)/2+IF(A5542&lt;&gt;A5543,100,0)</f>
        <v>2.5</v>
      </c>
      <c r="D5542" s="33">
        <f>INDEX('ZCB Curve - Payment Dates'!$D$2:$D$246,MATCH(B5542,'ZCB Curve - Payment Dates'!$A$2:$A$246,0))</f>
        <v>0.41765686229470528</v>
      </c>
      <c r="E5542" s="32">
        <f t="shared" si="86"/>
        <v>1.0441421557367632</v>
      </c>
    </row>
    <row r="5543" spans="1:5" x14ac:dyDescent="0.25">
      <c r="A5543" s="17">
        <v>353</v>
      </c>
      <c r="B5543" s="31">
        <v>52550</v>
      </c>
      <c r="C5543" s="32">
        <f>INDEX('Input Data'!$B:$B,A5543)/2+IF(A5543&lt;&gt;A5544,100,0)</f>
        <v>2.5</v>
      </c>
      <c r="D5543" s="33">
        <f>INDEX('ZCB Curve - Payment Dates'!$D$2:$D$246,MATCH(B5543,'ZCB Curve - Payment Dates'!$A$2:$A$246,0))</f>
        <v>0.40495237741553414</v>
      </c>
      <c r="E5543" s="32">
        <f t="shared" si="86"/>
        <v>1.0123809435388353</v>
      </c>
    </row>
    <row r="5544" spans="1:5" x14ac:dyDescent="0.25">
      <c r="A5544" s="17">
        <v>353</v>
      </c>
      <c r="B5544" s="31">
        <v>52732</v>
      </c>
      <c r="C5544" s="32">
        <f>INDEX('Input Data'!$B:$B,A5544)/2+IF(A5544&lt;&gt;A5545,100,0)</f>
        <v>2.5</v>
      </c>
      <c r="D5544" s="33">
        <f>INDEX('ZCB Curve - Payment Dates'!$D$2:$D$246,MATCH(B5544,'ZCB Curve - Payment Dates'!$A$2:$A$246,0))</f>
        <v>0.3927952920896523</v>
      </c>
      <c r="E5544" s="32">
        <f t="shared" si="86"/>
        <v>0.98198823022413073</v>
      </c>
    </row>
    <row r="5545" spans="1:5" x14ac:dyDescent="0.25">
      <c r="A5545" s="17">
        <v>353</v>
      </c>
      <c r="B5545" s="31">
        <v>52916</v>
      </c>
      <c r="C5545" s="32">
        <f>INDEX('Input Data'!$B:$B,A5545)/2+IF(A5545&lt;&gt;A5546,100,0)</f>
        <v>2.5</v>
      </c>
      <c r="D5545" s="33">
        <f>INDEX('ZCB Curve - Payment Dates'!$D$2:$D$246,MATCH(B5545,'ZCB Curve - Payment Dates'!$A$2:$A$246,0))</f>
        <v>0.38091684361752687</v>
      </c>
      <c r="E5545" s="32">
        <f t="shared" si="86"/>
        <v>0.95229210904381723</v>
      </c>
    </row>
    <row r="5546" spans="1:5" x14ac:dyDescent="0.25">
      <c r="A5546" s="17">
        <v>353</v>
      </c>
      <c r="B5546" s="31">
        <v>53097</v>
      </c>
      <c r="C5546" s="32">
        <f>INDEX('Input Data'!$B:$B,A5546)/2+IF(A5546&lt;&gt;A5547,100,0)</f>
        <v>2.5</v>
      </c>
      <c r="D5546" s="33">
        <f>INDEX('ZCB Curve - Payment Dates'!$D$2:$D$246,MATCH(B5546,'ZCB Curve - Payment Dates'!$A$2:$A$246,0))</f>
        <v>0.36964331092783359</v>
      </c>
      <c r="E5546" s="32">
        <f t="shared" si="86"/>
        <v>0.924108277319584</v>
      </c>
    </row>
    <row r="5547" spans="1:5" x14ac:dyDescent="0.25">
      <c r="A5547" s="17">
        <v>353</v>
      </c>
      <c r="B5547" s="31">
        <v>53281</v>
      </c>
      <c r="C5547" s="32">
        <f>INDEX('Input Data'!$B:$B,A5547)/2+IF(A5547&lt;&gt;A5548,100,0)</f>
        <v>2.5</v>
      </c>
      <c r="D5547" s="33">
        <f>INDEX('ZCB Curve - Payment Dates'!$D$2:$D$246,MATCH(B5547,'ZCB Curve - Payment Dates'!$A$2:$A$246,0))</f>
        <v>0.35859090372935404</v>
      </c>
      <c r="E5547" s="32">
        <f t="shared" si="86"/>
        <v>0.89647725932338507</v>
      </c>
    </row>
    <row r="5548" spans="1:5" x14ac:dyDescent="0.25">
      <c r="A5548" s="17">
        <v>353</v>
      </c>
      <c r="B5548" s="31">
        <v>53462</v>
      </c>
      <c r="C5548" s="32">
        <f>INDEX('Input Data'!$B:$B,A5548)/2+IF(A5548&lt;&gt;A5549,100,0)</f>
        <v>2.5</v>
      </c>
      <c r="D5548" s="33">
        <f>INDEX('ZCB Curve - Payment Dates'!$D$2:$D$246,MATCH(B5548,'ZCB Curve - Payment Dates'!$A$2:$A$246,0))</f>
        <v>0.34812465854380154</v>
      </c>
      <c r="E5548" s="32">
        <f t="shared" si="86"/>
        <v>0.87031164635950387</v>
      </c>
    </row>
    <row r="5549" spans="1:5" x14ac:dyDescent="0.25">
      <c r="A5549" s="17">
        <v>353</v>
      </c>
      <c r="B5549" s="31">
        <v>53646</v>
      </c>
      <c r="C5549" s="32">
        <f>INDEX('Input Data'!$B:$B,A5549)/2+IF(A5549&lt;&gt;A5550,100,0)</f>
        <v>2.5</v>
      </c>
      <c r="D5549" s="33">
        <f>INDEX('ZCB Curve - Payment Dates'!$D$2:$D$246,MATCH(B5549,'ZCB Curve - Payment Dates'!$A$2:$A$246,0))</f>
        <v>0.33788528510382887</v>
      </c>
      <c r="E5549" s="32">
        <f t="shared" si="86"/>
        <v>0.84471321275957223</v>
      </c>
    </row>
    <row r="5550" spans="1:5" x14ac:dyDescent="0.25">
      <c r="A5550" s="17">
        <v>353</v>
      </c>
      <c r="B5550" s="31">
        <v>53827</v>
      </c>
      <c r="C5550" s="32">
        <f>INDEX('Input Data'!$B:$B,A5550)/2+IF(A5550&lt;&gt;A5551,100,0)</f>
        <v>2.5</v>
      </c>
      <c r="D5550" s="33">
        <f>INDEX('ZCB Curve - Payment Dates'!$D$2:$D$246,MATCH(B5550,'ZCB Curve - Payment Dates'!$A$2:$A$246,0))</f>
        <v>0.32820827061914198</v>
      </c>
      <c r="E5550" s="32">
        <f t="shared" si="86"/>
        <v>0.82052067654785499</v>
      </c>
    </row>
    <row r="5551" spans="1:5" x14ac:dyDescent="0.25">
      <c r="A5551" s="17">
        <v>353</v>
      </c>
      <c r="B5551" s="31">
        <v>54011</v>
      </c>
      <c r="C5551" s="32">
        <f>INDEX('Input Data'!$B:$B,A5551)/2+IF(A5551&lt;&gt;A5552,100,0)</f>
        <v>2.5</v>
      </c>
      <c r="D5551" s="33">
        <f>INDEX('ZCB Curve - Payment Dates'!$D$2:$D$246,MATCH(B5551,'ZCB Curve - Payment Dates'!$A$2:$A$246,0))</f>
        <v>0.31875888330253388</v>
      </c>
      <c r="E5551" s="32">
        <f t="shared" si="86"/>
        <v>0.7968972082563347</v>
      </c>
    </row>
    <row r="5552" spans="1:5" x14ac:dyDescent="0.25">
      <c r="A5552" s="17">
        <v>353</v>
      </c>
      <c r="B5552" s="31">
        <v>54193</v>
      </c>
      <c r="C5552" s="32">
        <f>INDEX('Input Data'!$B:$B,A5552)/2+IF(A5552&lt;&gt;A5553,100,0)</f>
        <v>2.5</v>
      </c>
      <c r="D5552" s="33">
        <f>INDEX('ZCB Curve - Payment Dates'!$D$2:$D$246,MATCH(B5552,'ZCB Curve - Payment Dates'!$A$2:$A$246,0))</f>
        <v>0.30979516521120642</v>
      </c>
      <c r="E5552" s="32">
        <f t="shared" si="86"/>
        <v>0.77448791302801601</v>
      </c>
    </row>
    <row r="5553" spans="1:5" x14ac:dyDescent="0.25">
      <c r="A5553" s="17">
        <v>353</v>
      </c>
      <c r="B5553" s="31">
        <v>54377</v>
      </c>
      <c r="C5553" s="32">
        <f>INDEX('Input Data'!$B:$B,A5553)/2+IF(A5553&lt;&gt;A5554,100,0)</f>
        <v>2.5</v>
      </c>
      <c r="D5553" s="33">
        <f>INDEX('ZCB Curve - Payment Dates'!$D$2:$D$246,MATCH(B5553,'ZCB Curve - Payment Dates'!$A$2:$A$246,0))</f>
        <v>0.30110901062008694</v>
      </c>
      <c r="E5553" s="32">
        <f t="shared" si="86"/>
        <v>0.75277252655021731</v>
      </c>
    </row>
    <row r="5554" spans="1:5" x14ac:dyDescent="0.25">
      <c r="A5554" s="17">
        <v>353</v>
      </c>
      <c r="B5554" s="31">
        <v>54558</v>
      </c>
      <c r="C5554" s="32">
        <f>INDEX('Input Data'!$B:$B,A5554)/2+IF(A5554&lt;&gt;A5555,100,0)</f>
        <v>2.5</v>
      </c>
      <c r="D5554" s="33">
        <f>INDEX('ZCB Curve - Payment Dates'!$D$2:$D$246,MATCH(B5554,'ZCB Curve - Payment Dates'!$A$2:$A$246,0))</f>
        <v>0.29292467059800714</v>
      </c>
      <c r="E5554" s="32">
        <f t="shared" si="86"/>
        <v>0.73231167649501783</v>
      </c>
    </row>
    <row r="5555" spans="1:5" x14ac:dyDescent="0.25">
      <c r="A5555" s="17">
        <v>353</v>
      </c>
      <c r="B5555" s="31">
        <v>54742</v>
      </c>
      <c r="C5555" s="32">
        <f>INDEX('Input Data'!$B:$B,A5555)/2+IF(A5555&lt;&gt;A5556,100,0)</f>
        <v>2.5</v>
      </c>
      <c r="D5555" s="33">
        <f>INDEX('ZCB Curve - Payment Dates'!$D$2:$D$246,MATCH(B5555,'ZCB Curve - Payment Dates'!$A$2:$A$246,0))</f>
        <v>0.28496204444064566</v>
      </c>
      <c r="E5555" s="32">
        <f t="shared" si="86"/>
        <v>0.71240511110161409</v>
      </c>
    </row>
    <row r="5556" spans="1:5" x14ac:dyDescent="0.25">
      <c r="A5556" s="17">
        <v>353</v>
      </c>
      <c r="B5556" s="31">
        <v>54923</v>
      </c>
      <c r="C5556" s="32">
        <f>INDEX('Input Data'!$B:$B,A5556)/2+IF(A5556&lt;&gt;A5557,100,0)</f>
        <v>2.5</v>
      </c>
      <c r="D5556" s="33">
        <f>INDEX('ZCB Curve - Payment Dates'!$D$2:$D$246,MATCH(B5556,'ZCB Curve - Payment Dates'!$A$2:$A$246,0))</f>
        <v>0.27747061478742291</v>
      </c>
      <c r="E5556" s="32">
        <f t="shared" si="86"/>
        <v>0.69367653696855724</v>
      </c>
    </row>
    <row r="5557" spans="1:5" x14ac:dyDescent="0.25">
      <c r="A5557" s="17">
        <v>353</v>
      </c>
      <c r="B5557" s="31">
        <v>55107</v>
      </c>
      <c r="C5557" s="32">
        <f>INDEX('Input Data'!$B:$B,A5557)/2+IF(A5557&lt;&gt;A5558,100,0)</f>
        <v>2.5</v>
      </c>
      <c r="D5557" s="33">
        <f>INDEX('ZCB Curve - Payment Dates'!$D$2:$D$246,MATCH(B5557,'ZCB Curve - Payment Dates'!$A$2:$A$246,0))</f>
        <v>0.2701926092917406</v>
      </c>
      <c r="E5557" s="32">
        <f t="shared" si="86"/>
        <v>0.67548152322935151</v>
      </c>
    </row>
    <row r="5558" spans="1:5" x14ac:dyDescent="0.25">
      <c r="A5558" s="17">
        <v>353</v>
      </c>
      <c r="B5558" s="31">
        <v>55288</v>
      </c>
      <c r="C5558" s="32">
        <f>INDEX('Input Data'!$B:$B,A5558)/2+IF(A5558&lt;&gt;A5559,100,0)</f>
        <v>2.5</v>
      </c>
      <c r="D5558" s="33">
        <f>INDEX('ZCB Curve - Payment Dates'!$D$2:$D$246,MATCH(B5558,'ZCB Curve - Payment Dates'!$A$2:$A$246,0))</f>
        <v>0.26335484985695851</v>
      </c>
      <c r="E5558" s="32">
        <f t="shared" si="86"/>
        <v>0.65838712464239624</v>
      </c>
    </row>
    <row r="5559" spans="1:5" x14ac:dyDescent="0.25">
      <c r="A5559" s="17">
        <v>353</v>
      </c>
      <c r="B5559" s="31">
        <v>55472</v>
      </c>
      <c r="C5559" s="32">
        <f>INDEX('Input Data'!$B:$B,A5559)/2+IF(A5559&lt;&gt;A5560,100,0)</f>
        <v>2.5</v>
      </c>
      <c r="D5559" s="33">
        <f>INDEX('ZCB Curve - Payment Dates'!$D$2:$D$246,MATCH(B5559,'ZCB Curve - Payment Dates'!$A$2:$A$246,0))</f>
        <v>0.25672095505458636</v>
      </c>
      <c r="E5559" s="32">
        <f t="shared" si="86"/>
        <v>0.64180238763646591</v>
      </c>
    </row>
    <row r="5560" spans="1:5" x14ac:dyDescent="0.25">
      <c r="A5560" s="17">
        <v>353</v>
      </c>
      <c r="B5560" s="31">
        <v>55654</v>
      </c>
      <c r="C5560" s="32">
        <f>INDEX('Input Data'!$B:$B,A5560)/2+IF(A5560&lt;&gt;A5561,100,0)</f>
        <v>2.5</v>
      </c>
      <c r="D5560" s="33">
        <f>INDEX('ZCB Curve - Payment Dates'!$D$2:$D$246,MATCH(B5560,'ZCB Curve - Payment Dates'!$A$2:$A$246,0))</f>
        <v>0.25046362869454364</v>
      </c>
      <c r="E5560" s="32">
        <f t="shared" si="86"/>
        <v>0.6261590717363591</v>
      </c>
    </row>
    <row r="5561" spans="1:5" x14ac:dyDescent="0.25">
      <c r="A5561" s="17">
        <v>353</v>
      </c>
      <c r="B5561" s="31">
        <v>55838</v>
      </c>
      <c r="C5561" s="32">
        <f>INDEX('Input Data'!$B:$B,A5561)/2+IF(A5561&lt;&gt;A5562,100,0)</f>
        <v>2.5</v>
      </c>
      <c r="D5561" s="33">
        <f>INDEX('ZCB Curve - Payment Dates'!$D$2:$D$246,MATCH(B5561,'ZCB Curve - Payment Dates'!$A$2:$A$246,0))</f>
        <v>0.24443458292740508</v>
      </c>
      <c r="E5561" s="32">
        <f t="shared" si="86"/>
        <v>0.61108645731851274</v>
      </c>
    </row>
    <row r="5562" spans="1:5" x14ac:dyDescent="0.25">
      <c r="A5562" s="17">
        <v>353</v>
      </c>
      <c r="B5562" s="31">
        <v>56019</v>
      </c>
      <c r="C5562" s="32">
        <f>INDEX('Input Data'!$B:$B,A5562)/2+IF(A5562&lt;&gt;A5563,100,0)</f>
        <v>2.5</v>
      </c>
      <c r="D5562" s="33">
        <f>INDEX('ZCB Curve - Payment Dates'!$D$2:$D$246,MATCH(B5562,'ZCB Curve - Payment Dates'!$A$2:$A$246,0))</f>
        <v>0.23878540660340086</v>
      </c>
      <c r="E5562" s="32">
        <f t="shared" si="86"/>
        <v>0.5969635165085021</v>
      </c>
    </row>
    <row r="5563" spans="1:5" x14ac:dyDescent="0.25">
      <c r="A5563" s="17">
        <v>353</v>
      </c>
      <c r="B5563" s="31">
        <v>56203</v>
      </c>
      <c r="C5563" s="32">
        <f>INDEX('Input Data'!$B:$B,A5563)/2+IF(A5563&lt;&gt;A5564,100,0)</f>
        <v>2.5</v>
      </c>
      <c r="D5563" s="33">
        <f>INDEX('ZCB Curve - Payment Dates'!$D$2:$D$246,MATCH(B5563,'ZCB Curve - Payment Dates'!$A$2:$A$246,0))</f>
        <v>0.23331934656757974</v>
      </c>
      <c r="E5563" s="32">
        <f t="shared" si="86"/>
        <v>0.58329836641894939</v>
      </c>
    </row>
    <row r="5564" spans="1:5" x14ac:dyDescent="0.25">
      <c r="A5564" s="17">
        <v>353</v>
      </c>
      <c r="B5564" s="31">
        <v>56384</v>
      </c>
      <c r="C5564" s="32">
        <f>INDEX('Input Data'!$B:$B,A5564)/2+IF(A5564&lt;&gt;A5565,100,0)</f>
        <v>2.5</v>
      </c>
      <c r="D5564" s="33">
        <f>INDEX('ZCB Curve - Payment Dates'!$D$2:$D$246,MATCH(B5564,'ZCB Curve - Payment Dates'!$A$2:$A$246,0))</f>
        <v>0.22820470703897541</v>
      </c>
      <c r="E5564" s="32">
        <f t="shared" si="86"/>
        <v>0.57051176759743849</v>
      </c>
    </row>
    <row r="5565" spans="1:5" x14ac:dyDescent="0.25">
      <c r="A5565" s="17">
        <v>353</v>
      </c>
      <c r="B5565" s="31">
        <v>56568</v>
      </c>
      <c r="C5565" s="32">
        <f>INDEX('Input Data'!$B:$B,A5565)/2+IF(A5565&lt;&gt;A5566,100,0)</f>
        <v>2.5</v>
      </c>
      <c r="D5565" s="33">
        <f>INDEX('ZCB Curve - Payment Dates'!$D$2:$D$246,MATCH(B5565,'ZCB Curve - Payment Dates'!$A$2:$A$246,0))</f>
        <v>0.22326283085791943</v>
      </c>
      <c r="E5565" s="32">
        <f t="shared" si="86"/>
        <v>0.55815707714479856</v>
      </c>
    </row>
    <row r="5566" spans="1:5" x14ac:dyDescent="0.25">
      <c r="A5566" s="17">
        <v>353</v>
      </c>
      <c r="B5566" s="31">
        <v>56749</v>
      </c>
      <c r="C5566" s="32">
        <f>INDEX('Input Data'!$B:$B,A5566)/2+IF(A5566&lt;&gt;A5567,100,0)</f>
        <v>2.5</v>
      </c>
      <c r="D5566" s="33">
        <f>INDEX('ZCB Curve - Payment Dates'!$D$2:$D$246,MATCH(B5566,'ZCB Curve - Payment Dates'!$A$2:$A$246,0))</f>
        <v>0.21864543432819281</v>
      </c>
      <c r="E5566" s="32">
        <f t="shared" si="86"/>
        <v>0.54661358582048203</v>
      </c>
    </row>
    <row r="5567" spans="1:5" x14ac:dyDescent="0.25">
      <c r="A5567" s="17">
        <v>353</v>
      </c>
      <c r="B5567" s="31">
        <v>56933</v>
      </c>
      <c r="C5567" s="32">
        <f>INDEX('Input Data'!$B:$B,A5567)/2+IF(A5567&lt;&gt;A5568,100,0)</f>
        <v>2.5</v>
      </c>
      <c r="D5567" s="33">
        <f>INDEX('ZCB Curve - Payment Dates'!$D$2:$D$246,MATCH(B5567,'ZCB Curve - Payment Dates'!$A$2:$A$246,0))</f>
        <v>0.21419082724866884</v>
      </c>
      <c r="E5567" s="32">
        <f t="shared" si="86"/>
        <v>0.53547706812167206</v>
      </c>
    </row>
    <row r="5568" spans="1:5" x14ac:dyDescent="0.25">
      <c r="A5568" s="17">
        <v>353</v>
      </c>
      <c r="B5568" s="31">
        <v>57115</v>
      </c>
      <c r="C5568" s="32">
        <f>INDEX('Input Data'!$B:$B,A5568)/2+IF(A5568&lt;&gt;A5569,100,0)</f>
        <v>102.5</v>
      </c>
      <c r="D5568" s="33">
        <f>INDEX('ZCB Curve - Payment Dates'!$D$2:$D$246,MATCH(B5568,'ZCB Curve - Payment Dates'!$A$2:$A$246,0))</f>
        <v>0.21001258129369069</v>
      </c>
      <c r="E5568" s="32">
        <f t="shared" si="86"/>
        <v>21.526289582603294</v>
      </c>
    </row>
    <row r="5569" spans="1:5" x14ac:dyDescent="0.25">
      <c r="A5569" s="17">
        <v>354</v>
      </c>
      <c r="B5569" s="31">
        <v>46433</v>
      </c>
      <c r="C5569" s="32">
        <f>INDEX('Input Data'!$B:$B,A5569)/2+IF(A5569&lt;&gt;A5570,100,0)</f>
        <v>2.5625</v>
      </c>
      <c r="D5569" s="33">
        <f>INDEX('ZCB Curve - Payment Dates'!$D$2:$D$246,MATCH(B5569,'ZCB Curve - Payment Dates'!$A$2:$A$246,0))</f>
        <v>0.98242671792446301</v>
      </c>
      <c r="E5569" s="32">
        <f t="shared" si="86"/>
        <v>2.5174684646814365</v>
      </c>
    </row>
    <row r="5570" spans="1:5" x14ac:dyDescent="0.25">
      <c r="A5570" s="17">
        <v>354</v>
      </c>
      <c r="B5570" s="31">
        <v>46614</v>
      </c>
      <c r="C5570" s="32">
        <f>INDEX('Input Data'!$B:$B,A5570)/2+IF(A5570&lt;&gt;A5571,100,0)</f>
        <v>2.5625</v>
      </c>
      <c r="D5570" s="33">
        <f>INDEX('ZCB Curve - Payment Dates'!$D$2:$D$246,MATCH(B5570,'ZCB Curve - Payment Dates'!$A$2:$A$246,0))</f>
        <v>0.96187948164765535</v>
      </c>
      <c r="E5570" s="32">
        <f t="shared" ref="E5570:E5628" si="87">C5570*D5570</f>
        <v>2.4648161717221169</v>
      </c>
    </row>
    <row r="5571" spans="1:5" x14ac:dyDescent="0.25">
      <c r="A5571" s="17">
        <v>354</v>
      </c>
      <c r="B5571" s="31">
        <v>46798</v>
      </c>
      <c r="C5571" s="32">
        <f>INDEX('Input Data'!$B:$B,A5571)/2+IF(A5571&lt;&gt;A5572,100,0)</f>
        <v>2.5625</v>
      </c>
      <c r="D5571" s="33">
        <f>INDEX('ZCB Curve - Payment Dates'!$D$2:$D$246,MATCH(B5571,'ZCB Curve - Payment Dates'!$A$2:$A$246,0))</f>
        <v>0.94049096132648802</v>
      </c>
      <c r="E5571" s="32">
        <f t="shared" si="87"/>
        <v>2.4100080883991257</v>
      </c>
    </row>
    <row r="5572" spans="1:5" x14ac:dyDescent="0.25">
      <c r="A5572" s="17">
        <v>354</v>
      </c>
      <c r="B5572" s="31">
        <v>46980</v>
      </c>
      <c r="C5572" s="32">
        <f>INDEX('Input Data'!$B:$B,A5572)/2+IF(A5572&lt;&gt;A5573,100,0)</f>
        <v>2.5625</v>
      </c>
      <c r="D5572" s="33">
        <f>INDEX('ZCB Curve - Payment Dates'!$D$2:$D$246,MATCH(B5572,'ZCB Curve - Payment Dates'!$A$2:$A$246,0))</f>
        <v>0.91931844130238327</v>
      </c>
      <c r="E5572" s="32">
        <f t="shared" si="87"/>
        <v>2.3557535058373573</v>
      </c>
    </row>
    <row r="5573" spans="1:5" x14ac:dyDescent="0.25">
      <c r="A5573" s="17">
        <v>354</v>
      </c>
      <c r="B5573" s="31">
        <v>47164</v>
      </c>
      <c r="C5573" s="32">
        <f>INDEX('Input Data'!$B:$B,A5573)/2+IF(A5573&lt;&gt;A5574,100,0)</f>
        <v>2.5625</v>
      </c>
      <c r="D5573" s="33">
        <f>INDEX('ZCB Curve - Payment Dates'!$D$2:$D$246,MATCH(B5573,'ZCB Curve - Payment Dates'!$A$2:$A$246,0))</f>
        <v>0.89817430058086534</v>
      </c>
      <c r="E5573" s="32">
        <f t="shared" si="87"/>
        <v>2.3015716452384676</v>
      </c>
    </row>
    <row r="5574" spans="1:5" x14ac:dyDescent="0.25">
      <c r="A5574" s="17">
        <v>354</v>
      </c>
      <c r="B5574" s="31">
        <v>47345</v>
      </c>
      <c r="C5574" s="32">
        <f>INDEX('Input Data'!$B:$B,A5574)/2+IF(A5574&lt;&gt;A5575,100,0)</f>
        <v>2.5625</v>
      </c>
      <c r="D5574" s="33">
        <f>INDEX('ZCB Curve - Payment Dates'!$D$2:$D$246,MATCH(B5574,'ZCB Curve - Payment Dates'!$A$2:$A$246,0))</f>
        <v>0.87778421628860481</v>
      </c>
      <c r="E5574" s="32">
        <f t="shared" si="87"/>
        <v>2.24932205423955</v>
      </c>
    </row>
    <row r="5575" spans="1:5" x14ac:dyDescent="0.25">
      <c r="A5575" s="17">
        <v>354</v>
      </c>
      <c r="B5575" s="31">
        <v>47529</v>
      </c>
      <c r="C5575" s="32">
        <f>INDEX('Input Data'!$B:$B,A5575)/2+IF(A5575&lt;&gt;A5576,100,0)</f>
        <v>2.5625</v>
      </c>
      <c r="D5575" s="33">
        <f>INDEX('ZCB Curve - Payment Dates'!$D$2:$D$246,MATCH(B5575,'ZCB Curve - Payment Dates'!$A$2:$A$246,0))</f>
        <v>0.85751015570959666</v>
      </c>
      <c r="E5575" s="32">
        <f t="shared" si="87"/>
        <v>2.1973697740058413</v>
      </c>
    </row>
    <row r="5576" spans="1:5" x14ac:dyDescent="0.25">
      <c r="A5576" s="17">
        <v>354</v>
      </c>
      <c r="B5576" s="31">
        <v>47710</v>
      </c>
      <c r="C5576" s="32">
        <f>INDEX('Input Data'!$B:$B,A5576)/2+IF(A5576&lt;&gt;A5577,100,0)</f>
        <v>2.5625</v>
      </c>
      <c r="D5576" s="33">
        <f>INDEX('ZCB Curve - Payment Dates'!$D$2:$D$246,MATCH(B5576,'ZCB Curve - Payment Dates'!$A$2:$A$246,0))</f>
        <v>0.83802423748211174</v>
      </c>
      <c r="E5576" s="32">
        <f t="shared" si="87"/>
        <v>2.1474371085479111</v>
      </c>
    </row>
    <row r="5577" spans="1:5" x14ac:dyDescent="0.25">
      <c r="A5577" s="17">
        <v>354</v>
      </c>
      <c r="B5577" s="31">
        <v>47894</v>
      </c>
      <c r="C5577" s="32">
        <f>INDEX('Input Data'!$B:$B,A5577)/2+IF(A5577&lt;&gt;A5578,100,0)</f>
        <v>2.5625</v>
      </c>
      <c r="D5577" s="33">
        <f>INDEX('ZCB Curve - Payment Dates'!$D$2:$D$246,MATCH(B5577,'ZCB Curve - Payment Dates'!$A$2:$A$246,0))</f>
        <v>0.8186305474741673</v>
      </c>
      <c r="E5577" s="32">
        <f t="shared" si="87"/>
        <v>2.0977407779025539</v>
      </c>
    </row>
    <row r="5578" spans="1:5" x14ac:dyDescent="0.25">
      <c r="A5578" s="17">
        <v>354</v>
      </c>
      <c r="B5578" s="31">
        <v>48075</v>
      </c>
      <c r="C5578" s="32">
        <f>INDEX('Input Data'!$B:$B,A5578)/2+IF(A5578&lt;&gt;A5579,100,0)</f>
        <v>2.5625</v>
      </c>
      <c r="D5578" s="33">
        <f>INDEX('ZCB Curve - Payment Dates'!$D$2:$D$246,MATCH(B5578,'ZCB Curve - Payment Dates'!$A$2:$A$246,0))</f>
        <v>0.7999252334775927</v>
      </c>
      <c r="E5578" s="32">
        <f t="shared" si="87"/>
        <v>2.0498084107863312</v>
      </c>
    </row>
    <row r="5579" spans="1:5" x14ac:dyDescent="0.25">
      <c r="A5579" s="17">
        <v>354</v>
      </c>
      <c r="B5579" s="31">
        <v>48259</v>
      </c>
      <c r="C5579" s="32">
        <f>INDEX('Input Data'!$B:$B,A5579)/2+IF(A5579&lt;&gt;A5580,100,0)</f>
        <v>2.5625</v>
      </c>
      <c r="D5579" s="33">
        <f>INDEX('ZCB Curve - Payment Dates'!$D$2:$D$246,MATCH(B5579,'ZCB Curve - Payment Dates'!$A$2:$A$246,0))</f>
        <v>0.78121887027612602</v>
      </c>
      <c r="E5579" s="32">
        <f t="shared" si="87"/>
        <v>2.0018733550825729</v>
      </c>
    </row>
    <row r="5580" spans="1:5" x14ac:dyDescent="0.25">
      <c r="A5580" s="17">
        <v>354</v>
      </c>
      <c r="B5580" s="31">
        <v>48441</v>
      </c>
      <c r="C5580" s="32">
        <f>INDEX('Input Data'!$B:$B,A5580)/2+IF(A5580&lt;&gt;A5581,100,0)</f>
        <v>2.5625</v>
      </c>
      <c r="D5580" s="33">
        <f>INDEX('ZCB Curve - Payment Dates'!$D$2:$D$246,MATCH(B5580,'ZCB Curve - Payment Dates'!$A$2:$A$246,0))</f>
        <v>0.76298123459017864</v>
      </c>
      <c r="E5580" s="32">
        <f t="shared" si="87"/>
        <v>1.9551394136373328</v>
      </c>
    </row>
    <row r="5581" spans="1:5" x14ac:dyDescent="0.25">
      <c r="A5581" s="17">
        <v>354</v>
      </c>
      <c r="B5581" s="31">
        <v>48625</v>
      </c>
      <c r="C5581" s="32">
        <f>INDEX('Input Data'!$B:$B,A5581)/2+IF(A5581&lt;&gt;A5582,100,0)</f>
        <v>2.5625</v>
      </c>
      <c r="D5581" s="33">
        <f>INDEX('ZCB Curve - Payment Dates'!$D$2:$D$246,MATCH(B5581,'ZCB Curve - Payment Dates'!$A$2:$A$246,0))</f>
        <v>0.74476011611938586</v>
      </c>
      <c r="E5581" s="32">
        <f t="shared" si="87"/>
        <v>1.9084477975559262</v>
      </c>
    </row>
    <row r="5582" spans="1:5" x14ac:dyDescent="0.25">
      <c r="A5582" s="17">
        <v>354</v>
      </c>
      <c r="B5582" s="31">
        <v>48806</v>
      </c>
      <c r="C5582" s="32">
        <f>INDEX('Input Data'!$B:$B,A5582)/2+IF(A5582&lt;&gt;A5583,100,0)</f>
        <v>2.5625</v>
      </c>
      <c r="D5582" s="33">
        <f>INDEX('ZCB Curve - Payment Dates'!$D$2:$D$246,MATCH(B5582,'ZCB Curve - Payment Dates'!$A$2:$A$246,0))</f>
        <v>0.72701302496114584</v>
      </c>
      <c r="E5582" s="32">
        <f t="shared" si="87"/>
        <v>1.8629708764629362</v>
      </c>
    </row>
    <row r="5583" spans="1:5" x14ac:dyDescent="0.25">
      <c r="A5583" s="17">
        <v>354</v>
      </c>
      <c r="B5583" s="31">
        <v>48990</v>
      </c>
      <c r="C5583" s="32">
        <f>INDEX('Input Data'!$B:$B,A5583)/2+IF(A5583&lt;&gt;A5584,100,0)</f>
        <v>2.5625</v>
      </c>
      <c r="D5583" s="33">
        <f>INDEX('ZCB Curve - Payment Dates'!$D$2:$D$246,MATCH(B5583,'ZCB Curve - Payment Dates'!$A$2:$A$246,0))</f>
        <v>0.70912647031380449</v>
      </c>
      <c r="E5583" s="32">
        <f t="shared" si="87"/>
        <v>1.8171365801791239</v>
      </c>
    </row>
    <row r="5584" spans="1:5" x14ac:dyDescent="0.25">
      <c r="A5584" s="17">
        <v>354</v>
      </c>
      <c r="B5584" s="31">
        <v>49171</v>
      </c>
      <c r="C5584" s="32">
        <f>INDEX('Input Data'!$B:$B,A5584)/2+IF(A5584&lt;&gt;A5585,100,0)</f>
        <v>2.5625</v>
      </c>
      <c r="D5584" s="33">
        <f>INDEX('ZCB Curve - Payment Dates'!$D$2:$D$246,MATCH(B5584,'ZCB Curve - Payment Dates'!$A$2:$A$246,0))</f>
        <v>0.6916661505723215</v>
      </c>
      <c r="E5584" s="32">
        <f t="shared" si="87"/>
        <v>1.772394510841574</v>
      </c>
    </row>
    <row r="5585" spans="1:5" x14ac:dyDescent="0.25">
      <c r="A5585" s="17">
        <v>354</v>
      </c>
      <c r="B5585" s="31">
        <v>49355</v>
      </c>
      <c r="C5585" s="32">
        <f>INDEX('Input Data'!$B:$B,A5585)/2+IF(A5585&lt;&gt;A5586,100,0)</f>
        <v>2.5625</v>
      </c>
      <c r="D5585" s="33">
        <f>INDEX('ZCB Curve - Payment Dates'!$D$2:$D$246,MATCH(B5585,'ZCB Curve - Payment Dates'!$A$2:$A$246,0))</f>
        <v>0.674047377898778</v>
      </c>
      <c r="E5585" s="32">
        <f t="shared" si="87"/>
        <v>1.7272464058656187</v>
      </c>
    </row>
    <row r="5586" spans="1:5" x14ac:dyDescent="0.25">
      <c r="A5586" s="17">
        <v>354</v>
      </c>
      <c r="B5586" s="31">
        <v>49536</v>
      </c>
      <c r="C5586" s="32">
        <f>INDEX('Input Data'!$B:$B,A5586)/2+IF(A5586&lt;&gt;A5587,100,0)</f>
        <v>2.5625</v>
      </c>
      <c r="D5586" s="33">
        <f>INDEX('ZCB Curve - Payment Dates'!$D$2:$D$246,MATCH(B5586,'ZCB Curve - Payment Dates'!$A$2:$A$246,0))</f>
        <v>0.65684432300638129</v>
      </c>
      <c r="E5586" s="32">
        <f t="shared" si="87"/>
        <v>1.6831635777038521</v>
      </c>
    </row>
    <row r="5587" spans="1:5" x14ac:dyDescent="0.25">
      <c r="A5587" s="17">
        <v>354</v>
      </c>
      <c r="B5587" s="31">
        <v>49720</v>
      </c>
      <c r="C5587" s="32">
        <f>INDEX('Input Data'!$B:$B,A5587)/2+IF(A5587&lt;&gt;A5588,100,0)</f>
        <v>2.5625</v>
      </c>
      <c r="D5587" s="33">
        <f>INDEX('ZCB Curve - Payment Dates'!$D$2:$D$246,MATCH(B5587,'ZCB Curve - Payment Dates'!$A$2:$A$246,0))</f>
        <v>0.63949604524993764</v>
      </c>
      <c r="E5587" s="32">
        <f t="shared" si="87"/>
        <v>1.6387086159529651</v>
      </c>
    </row>
    <row r="5588" spans="1:5" x14ac:dyDescent="0.25">
      <c r="A5588" s="17">
        <v>354</v>
      </c>
      <c r="B5588" s="31">
        <v>49902</v>
      </c>
      <c r="C5588" s="32">
        <f>INDEX('Input Data'!$B:$B,A5588)/2+IF(A5588&lt;&gt;A5589,100,0)</f>
        <v>2.5625</v>
      </c>
      <c r="D5588" s="33">
        <f>INDEX('ZCB Curve - Payment Dates'!$D$2:$D$246,MATCH(B5588,'ZCB Curve - Payment Dates'!$A$2:$A$246,0))</f>
        <v>0.62248862376822711</v>
      </c>
      <c r="E5588" s="32">
        <f t="shared" si="87"/>
        <v>1.5951270984060819</v>
      </c>
    </row>
    <row r="5589" spans="1:5" x14ac:dyDescent="0.25">
      <c r="A5589" s="17">
        <v>354</v>
      </c>
      <c r="B5589" s="31">
        <v>50086</v>
      </c>
      <c r="C5589" s="32">
        <f>INDEX('Input Data'!$B:$B,A5589)/2+IF(A5589&lt;&gt;A5590,100,0)</f>
        <v>2.5625</v>
      </c>
      <c r="D5589" s="33">
        <f>INDEX('ZCB Curve - Payment Dates'!$D$2:$D$246,MATCH(B5589,'ZCB Curve - Payment Dates'!$A$2:$A$246,0))</f>
        <v>0.60546490876014969</v>
      </c>
      <c r="E5589" s="32">
        <f t="shared" si="87"/>
        <v>1.5515038286978835</v>
      </c>
    </row>
    <row r="5590" spans="1:5" x14ac:dyDescent="0.25">
      <c r="A5590" s="17">
        <v>354</v>
      </c>
      <c r="B5590" s="31">
        <v>50267</v>
      </c>
      <c r="C5590" s="32">
        <f>INDEX('Input Data'!$B:$B,A5590)/2+IF(A5590&lt;&gt;A5591,100,0)</f>
        <v>2.5625</v>
      </c>
      <c r="D5590" s="33">
        <f>INDEX('ZCB Curve - Payment Dates'!$D$2:$D$246,MATCH(B5590,'ZCB Curve - Payment Dates'!$A$2:$A$246,0))</f>
        <v>0.58890683803346977</v>
      </c>
      <c r="E5590" s="32">
        <f t="shared" si="87"/>
        <v>1.5090737724607663</v>
      </c>
    </row>
    <row r="5591" spans="1:5" x14ac:dyDescent="0.25">
      <c r="A5591" s="17">
        <v>354</v>
      </c>
      <c r="B5591" s="31">
        <v>50451</v>
      </c>
      <c r="C5591" s="32">
        <f>INDEX('Input Data'!$B:$B,A5591)/2+IF(A5591&lt;&gt;A5592,100,0)</f>
        <v>2.5625</v>
      </c>
      <c r="D5591" s="33">
        <f>INDEX('ZCB Curve - Payment Dates'!$D$2:$D$246,MATCH(B5591,'ZCB Curve - Payment Dates'!$A$2:$A$246,0))</f>
        <v>0.57228983695479263</v>
      </c>
      <c r="E5591" s="32">
        <f t="shared" si="87"/>
        <v>1.466492707196656</v>
      </c>
    </row>
    <row r="5592" spans="1:5" x14ac:dyDescent="0.25">
      <c r="A5592" s="17">
        <v>354</v>
      </c>
      <c r="B5592" s="31">
        <v>50632</v>
      </c>
      <c r="C5592" s="32">
        <f>INDEX('Input Data'!$B:$B,A5592)/2+IF(A5592&lt;&gt;A5593,100,0)</f>
        <v>2.5625</v>
      </c>
      <c r="D5592" s="33">
        <f>INDEX('ZCB Curve - Payment Dates'!$D$2:$D$246,MATCH(B5592,'ZCB Curve - Payment Dates'!$A$2:$A$246,0))</f>
        <v>0.55617795699202288</v>
      </c>
      <c r="E5592" s="32">
        <f t="shared" si="87"/>
        <v>1.4252060147920587</v>
      </c>
    </row>
    <row r="5593" spans="1:5" x14ac:dyDescent="0.25">
      <c r="A5593" s="17">
        <v>354</v>
      </c>
      <c r="B5593" s="31">
        <v>50816</v>
      </c>
      <c r="C5593" s="32">
        <f>INDEX('Input Data'!$B:$B,A5593)/2+IF(A5593&lt;&gt;A5594,100,0)</f>
        <v>2.5625</v>
      </c>
      <c r="D5593" s="33">
        <f>INDEX('ZCB Curve - Payment Dates'!$D$2:$D$246,MATCH(B5593,'ZCB Curve - Payment Dates'!$A$2:$A$246,0))</f>
        <v>0.54006240951211237</v>
      </c>
      <c r="E5593" s="32">
        <f t="shared" si="87"/>
        <v>1.3839099243747879</v>
      </c>
    </row>
    <row r="5594" spans="1:5" x14ac:dyDescent="0.25">
      <c r="A5594" s="17">
        <v>354</v>
      </c>
      <c r="B5594" s="31">
        <v>50997</v>
      </c>
      <c r="C5594" s="32">
        <f>INDEX('Input Data'!$B:$B,A5594)/2+IF(A5594&lt;&gt;A5595,100,0)</f>
        <v>2.5625</v>
      </c>
      <c r="D5594" s="33">
        <f>INDEX('ZCB Curve - Payment Dates'!$D$2:$D$246,MATCH(B5594,'ZCB Curve - Payment Dates'!$A$2:$A$246,0))</f>
        <v>0.52449040173194583</v>
      </c>
      <c r="E5594" s="32">
        <f t="shared" si="87"/>
        <v>1.3440066544381113</v>
      </c>
    </row>
    <row r="5595" spans="1:5" x14ac:dyDescent="0.25">
      <c r="A5595" s="17">
        <v>354</v>
      </c>
      <c r="B5595" s="31">
        <v>51181</v>
      </c>
      <c r="C5595" s="32">
        <f>INDEX('Input Data'!$B:$B,A5595)/2+IF(A5595&lt;&gt;A5596,100,0)</f>
        <v>2.5625</v>
      </c>
      <c r="D5595" s="33">
        <f>INDEX('ZCB Curve - Payment Dates'!$D$2:$D$246,MATCH(B5595,'ZCB Curve - Payment Dates'!$A$2:$A$246,0))</f>
        <v>0.5089691698468306</v>
      </c>
      <c r="E5595" s="32">
        <f t="shared" si="87"/>
        <v>1.3042334977325034</v>
      </c>
    </row>
    <row r="5596" spans="1:5" x14ac:dyDescent="0.25">
      <c r="A5596" s="17">
        <v>354</v>
      </c>
      <c r="B5596" s="31">
        <v>51363</v>
      </c>
      <c r="C5596" s="32">
        <f>INDEX('Input Data'!$B:$B,A5596)/2+IF(A5596&lt;&gt;A5597,100,0)</f>
        <v>2.5625</v>
      </c>
      <c r="D5596" s="33">
        <f>INDEX('ZCB Curve - Payment Dates'!$D$2:$D$246,MATCH(B5596,'ZCB Curve - Payment Dates'!$A$2:$A$246,0))</f>
        <v>0.49394036022330806</v>
      </c>
      <c r="E5596" s="32">
        <f t="shared" si="87"/>
        <v>1.265722173072227</v>
      </c>
    </row>
    <row r="5597" spans="1:5" x14ac:dyDescent="0.25">
      <c r="A5597" s="17">
        <v>354</v>
      </c>
      <c r="B5597" s="31">
        <v>51547</v>
      </c>
      <c r="C5597" s="32">
        <f>INDEX('Input Data'!$B:$B,A5597)/2+IF(A5597&lt;&gt;A5598,100,0)</f>
        <v>2.5625</v>
      </c>
      <c r="D5597" s="33">
        <f>INDEX('ZCB Curve - Payment Dates'!$D$2:$D$246,MATCH(B5597,'ZCB Curve - Payment Dates'!$A$2:$A$246,0))</f>
        <v>0.47909718957588998</v>
      </c>
      <c r="E5597" s="32">
        <f t="shared" si="87"/>
        <v>1.227686548288218</v>
      </c>
    </row>
    <row r="5598" spans="1:5" x14ac:dyDescent="0.25">
      <c r="A5598" s="17">
        <v>354</v>
      </c>
      <c r="B5598" s="31">
        <v>51728</v>
      </c>
      <c r="C5598" s="32">
        <f>INDEX('Input Data'!$B:$B,A5598)/2+IF(A5598&lt;&gt;A5599,100,0)</f>
        <v>2.5625</v>
      </c>
      <c r="D5598" s="33">
        <f>INDEX('ZCB Curve - Payment Dates'!$D$2:$D$246,MATCH(B5598,'ZCB Curve - Payment Dates'!$A$2:$A$246,0))</f>
        <v>0.46485329459616059</v>
      </c>
      <c r="E5598" s="32">
        <f t="shared" si="87"/>
        <v>1.1911865674026616</v>
      </c>
    </row>
    <row r="5599" spans="1:5" x14ac:dyDescent="0.25">
      <c r="A5599" s="17">
        <v>354</v>
      </c>
      <c r="B5599" s="31">
        <v>51912</v>
      </c>
      <c r="C5599" s="32">
        <f>INDEX('Input Data'!$B:$B,A5599)/2+IF(A5599&lt;&gt;A5600,100,0)</f>
        <v>2.5625</v>
      </c>
      <c r="D5599" s="33">
        <f>INDEX('ZCB Curve - Payment Dates'!$D$2:$D$246,MATCH(B5599,'ZCB Curve - Payment Dates'!$A$2:$A$246,0))</f>
        <v>0.45075168915212815</v>
      </c>
      <c r="E5599" s="32">
        <f t="shared" si="87"/>
        <v>1.1550512034523284</v>
      </c>
    </row>
    <row r="5600" spans="1:5" x14ac:dyDescent="0.25">
      <c r="A5600" s="17">
        <v>354</v>
      </c>
      <c r="B5600" s="31">
        <v>52093</v>
      </c>
      <c r="C5600" s="32">
        <f>INDEX('Input Data'!$B:$B,A5600)/2+IF(A5600&lt;&gt;A5601,100,0)</f>
        <v>2.5625</v>
      </c>
      <c r="D5600" s="33">
        <f>INDEX('ZCB Curve - Payment Dates'!$D$2:$D$246,MATCH(B5600,'ZCB Curve - Payment Dates'!$A$2:$A$246,0))</f>
        <v>0.43726259018094221</v>
      </c>
      <c r="E5600" s="32">
        <f t="shared" si="87"/>
        <v>1.1204853873386644</v>
      </c>
    </row>
    <row r="5601" spans="1:5" x14ac:dyDescent="0.25">
      <c r="A5601" s="17">
        <v>354</v>
      </c>
      <c r="B5601" s="31">
        <v>52277</v>
      </c>
      <c r="C5601" s="32">
        <f>INDEX('Input Data'!$B:$B,A5601)/2+IF(A5601&lt;&gt;A5602,100,0)</f>
        <v>2.5625</v>
      </c>
      <c r="D5601" s="33">
        <f>INDEX('ZCB Curve - Payment Dates'!$D$2:$D$246,MATCH(B5601,'ZCB Curve - Payment Dates'!$A$2:$A$246,0))</f>
        <v>0.4239492285351204</v>
      </c>
      <c r="E5601" s="32">
        <f t="shared" si="87"/>
        <v>1.086369898121246</v>
      </c>
    </row>
    <row r="5602" spans="1:5" x14ac:dyDescent="0.25">
      <c r="A5602" s="17">
        <v>354</v>
      </c>
      <c r="B5602" s="31">
        <v>52458</v>
      </c>
      <c r="C5602" s="32">
        <f>INDEX('Input Data'!$B:$B,A5602)/2+IF(A5602&lt;&gt;A5603,100,0)</f>
        <v>2.5625</v>
      </c>
      <c r="D5602" s="33">
        <f>INDEX('ZCB Curve - Payment Dates'!$D$2:$D$246,MATCH(B5602,'ZCB Curve - Payment Dates'!$A$2:$A$246,0))</f>
        <v>0.4112516019468152</v>
      </c>
      <c r="E5602" s="32">
        <f t="shared" si="87"/>
        <v>1.053832229988714</v>
      </c>
    </row>
    <row r="5603" spans="1:5" x14ac:dyDescent="0.25">
      <c r="A5603" s="17">
        <v>354</v>
      </c>
      <c r="B5603" s="31">
        <v>52642</v>
      </c>
      <c r="C5603" s="32">
        <f>INDEX('Input Data'!$B:$B,A5603)/2+IF(A5603&lt;&gt;A5604,100,0)</f>
        <v>2.5625</v>
      </c>
      <c r="D5603" s="33">
        <f>INDEX('ZCB Curve - Payment Dates'!$D$2:$D$246,MATCH(B5603,'ZCB Curve - Payment Dates'!$A$2:$A$246,0))</f>
        <v>0.39875459879352759</v>
      </c>
      <c r="E5603" s="32">
        <f t="shared" si="87"/>
        <v>1.0218086594084144</v>
      </c>
    </row>
    <row r="5604" spans="1:5" x14ac:dyDescent="0.25">
      <c r="A5604" s="17">
        <v>354</v>
      </c>
      <c r="B5604" s="31">
        <v>52824</v>
      </c>
      <c r="C5604" s="32">
        <f>INDEX('Input Data'!$B:$B,A5604)/2+IF(A5604&lt;&gt;A5605,100,0)</f>
        <v>2.5625</v>
      </c>
      <c r="D5604" s="33">
        <f>INDEX('ZCB Curve - Payment Dates'!$D$2:$D$246,MATCH(B5604,'ZCB Curve - Payment Dates'!$A$2:$A$246,0))</f>
        <v>0.38680384560622083</v>
      </c>
      <c r="E5604" s="32">
        <f t="shared" si="87"/>
        <v>0.99118485436594084</v>
      </c>
    </row>
    <row r="5605" spans="1:5" x14ac:dyDescent="0.25">
      <c r="A5605" s="17">
        <v>354</v>
      </c>
      <c r="B5605" s="31">
        <v>53008</v>
      </c>
      <c r="C5605" s="32">
        <f>INDEX('Input Data'!$B:$B,A5605)/2+IF(A5605&lt;&gt;A5606,100,0)</f>
        <v>2.5625</v>
      </c>
      <c r="D5605" s="33">
        <f>INDEX('ZCB Curve - Payment Dates'!$D$2:$D$246,MATCH(B5605,'ZCB Curve - Payment Dates'!$A$2:$A$246,0))</f>
        <v>0.37513648791915083</v>
      </c>
      <c r="E5605" s="32">
        <f t="shared" si="87"/>
        <v>0.96128725029282402</v>
      </c>
    </row>
    <row r="5606" spans="1:5" x14ac:dyDescent="0.25">
      <c r="A5606" s="17">
        <v>354</v>
      </c>
      <c r="B5606" s="31">
        <v>53189</v>
      </c>
      <c r="C5606" s="32">
        <f>INDEX('Input Data'!$B:$B,A5606)/2+IF(A5606&lt;&gt;A5607,100,0)</f>
        <v>2.5625</v>
      </c>
      <c r="D5606" s="33">
        <f>INDEX('ZCB Curve - Payment Dates'!$D$2:$D$246,MATCH(B5606,'ZCB Curve - Payment Dates'!$A$2:$A$246,0))</f>
        <v>0.36406533257851953</v>
      </c>
      <c r="E5606" s="32">
        <f t="shared" si="87"/>
        <v>0.93291741473245626</v>
      </c>
    </row>
    <row r="5607" spans="1:5" x14ac:dyDescent="0.25">
      <c r="A5607" s="17">
        <v>354</v>
      </c>
      <c r="B5607" s="31">
        <v>53373</v>
      </c>
      <c r="C5607" s="32">
        <f>INDEX('Input Data'!$B:$B,A5607)/2+IF(A5607&lt;&gt;A5608,100,0)</f>
        <v>2.5625</v>
      </c>
      <c r="D5607" s="33">
        <f>INDEX('ZCB Curve - Payment Dates'!$D$2:$D$246,MATCH(B5607,'ZCB Curve - Payment Dates'!$A$2:$A$246,0))</f>
        <v>0.35322166892031259</v>
      </c>
      <c r="E5607" s="32">
        <f t="shared" si="87"/>
        <v>0.90513052660830107</v>
      </c>
    </row>
    <row r="5608" spans="1:5" x14ac:dyDescent="0.25">
      <c r="A5608" s="17">
        <v>354</v>
      </c>
      <c r="B5608" s="31">
        <v>53554</v>
      </c>
      <c r="C5608" s="32">
        <f>INDEX('Input Data'!$B:$B,A5608)/2+IF(A5608&lt;&gt;A5609,100,0)</f>
        <v>2.5625</v>
      </c>
      <c r="D5608" s="33">
        <f>INDEX('ZCB Curve - Payment Dates'!$D$2:$D$246,MATCH(B5608,'ZCB Curve - Payment Dates'!$A$2:$A$246,0))</f>
        <v>0.34295436226619208</v>
      </c>
      <c r="E5608" s="32">
        <f t="shared" si="87"/>
        <v>0.87882055330711717</v>
      </c>
    </row>
    <row r="5609" spans="1:5" x14ac:dyDescent="0.25">
      <c r="A5609" s="17">
        <v>354</v>
      </c>
      <c r="B5609" s="31">
        <v>53738</v>
      </c>
      <c r="C5609" s="32">
        <f>INDEX('Input Data'!$B:$B,A5609)/2+IF(A5609&lt;&gt;A5610,100,0)</f>
        <v>2.5625</v>
      </c>
      <c r="D5609" s="33">
        <f>INDEX('ZCB Curve - Payment Dates'!$D$2:$D$246,MATCH(B5609,'ZCB Curve - Payment Dates'!$A$2:$A$246,0))</f>
        <v>0.33291860450360972</v>
      </c>
      <c r="E5609" s="32">
        <f t="shared" si="87"/>
        <v>0.85310392404049995</v>
      </c>
    </row>
    <row r="5610" spans="1:5" x14ac:dyDescent="0.25">
      <c r="A5610" s="17">
        <v>354</v>
      </c>
      <c r="B5610" s="31">
        <v>53919</v>
      </c>
      <c r="C5610" s="32">
        <f>INDEX('Input Data'!$B:$B,A5610)/2+IF(A5610&lt;&gt;A5611,100,0)</f>
        <v>2.5625</v>
      </c>
      <c r="D5610" s="33">
        <f>INDEX('ZCB Curve - Payment Dates'!$D$2:$D$246,MATCH(B5610,'ZCB Curve - Payment Dates'!$A$2:$A$246,0))</f>
        <v>0.32343468195091313</v>
      </c>
      <c r="E5610" s="32">
        <f t="shared" si="87"/>
        <v>0.82880137249921493</v>
      </c>
    </row>
    <row r="5611" spans="1:5" x14ac:dyDescent="0.25">
      <c r="A5611" s="17">
        <v>354</v>
      </c>
      <c r="B5611" s="31">
        <v>54103</v>
      </c>
      <c r="C5611" s="32">
        <f>INDEX('Input Data'!$B:$B,A5611)/2+IF(A5611&lt;&gt;A5612,100,0)</f>
        <v>2.5625</v>
      </c>
      <c r="D5611" s="33">
        <f>INDEX('ZCB Curve - Payment Dates'!$D$2:$D$246,MATCH(B5611,'ZCB Curve - Payment Dates'!$A$2:$A$246,0))</f>
        <v>0.31418167147949361</v>
      </c>
      <c r="E5611" s="32">
        <f t="shared" si="87"/>
        <v>0.80509053316620238</v>
      </c>
    </row>
    <row r="5612" spans="1:5" x14ac:dyDescent="0.25">
      <c r="A5612" s="17">
        <v>354</v>
      </c>
      <c r="B5612" s="31">
        <v>54285</v>
      </c>
      <c r="C5612" s="32">
        <f>INDEX('Input Data'!$B:$B,A5612)/2+IF(A5612&lt;&gt;A5613,100,0)</f>
        <v>2.5625</v>
      </c>
      <c r="D5612" s="33">
        <f>INDEX('ZCB Curve - Payment Dates'!$D$2:$D$246,MATCH(B5612,'ZCB Curve - Payment Dates'!$A$2:$A$246,0))</f>
        <v>0.30540618878290843</v>
      </c>
      <c r="E5612" s="32">
        <f t="shared" si="87"/>
        <v>0.78260335875620279</v>
      </c>
    </row>
    <row r="5613" spans="1:5" x14ac:dyDescent="0.25">
      <c r="A5613" s="17">
        <v>354</v>
      </c>
      <c r="B5613" s="31">
        <v>54469</v>
      </c>
      <c r="C5613" s="32">
        <f>INDEX('Input Data'!$B:$B,A5613)/2+IF(A5613&lt;&gt;A5614,100,0)</f>
        <v>2.5625</v>
      </c>
      <c r="D5613" s="33">
        <f>INDEX('ZCB Curve - Payment Dates'!$D$2:$D$246,MATCH(B5613,'ZCB Curve - Payment Dates'!$A$2:$A$246,0))</f>
        <v>0.29690423521941833</v>
      </c>
      <c r="E5613" s="32">
        <f t="shared" si="87"/>
        <v>0.76081710274975944</v>
      </c>
    </row>
    <row r="5614" spans="1:5" x14ac:dyDescent="0.25">
      <c r="A5614" s="17">
        <v>354</v>
      </c>
      <c r="B5614" s="31">
        <v>54650</v>
      </c>
      <c r="C5614" s="32">
        <f>INDEX('Input Data'!$B:$B,A5614)/2+IF(A5614&lt;&gt;A5615,100,0)</f>
        <v>2.5625</v>
      </c>
      <c r="D5614" s="33">
        <f>INDEX('ZCB Curve - Payment Dates'!$D$2:$D$246,MATCH(B5614,'ZCB Curve - Payment Dates'!$A$2:$A$246,0))</f>
        <v>0.2888997564491238</v>
      </c>
      <c r="E5614" s="32">
        <f t="shared" si="87"/>
        <v>0.74030562590087978</v>
      </c>
    </row>
    <row r="5615" spans="1:5" x14ac:dyDescent="0.25">
      <c r="A5615" s="17">
        <v>354</v>
      </c>
      <c r="B5615" s="31">
        <v>54834</v>
      </c>
      <c r="C5615" s="32">
        <f>INDEX('Input Data'!$B:$B,A5615)/2+IF(A5615&lt;&gt;A5616,100,0)</f>
        <v>2.5625</v>
      </c>
      <c r="D5615" s="33">
        <f>INDEX('ZCB Curve - Payment Dates'!$D$2:$D$246,MATCH(B5615,'ZCB Curve - Payment Dates'!$A$2:$A$246,0))</f>
        <v>0.28111189964037164</v>
      </c>
      <c r="E5615" s="32">
        <f t="shared" si="87"/>
        <v>0.72034924282845236</v>
      </c>
    </row>
    <row r="5616" spans="1:5" x14ac:dyDescent="0.25">
      <c r="A5616" s="17">
        <v>354</v>
      </c>
      <c r="B5616" s="31">
        <v>55015</v>
      </c>
      <c r="C5616" s="32">
        <f>INDEX('Input Data'!$B:$B,A5616)/2+IF(A5616&lt;&gt;A5617,100,0)</f>
        <v>2.5625</v>
      </c>
      <c r="D5616" s="33">
        <f>INDEX('ZCB Curve - Payment Dates'!$D$2:$D$246,MATCH(B5616,'ZCB Curve - Payment Dates'!$A$2:$A$246,0))</f>
        <v>0.27379046078597996</v>
      </c>
      <c r="E5616" s="32">
        <f t="shared" si="87"/>
        <v>0.70158805576407368</v>
      </c>
    </row>
    <row r="5617" spans="1:5" x14ac:dyDescent="0.25">
      <c r="A5617" s="17">
        <v>354</v>
      </c>
      <c r="B5617" s="31">
        <v>55199</v>
      </c>
      <c r="C5617" s="32">
        <f>INDEX('Input Data'!$B:$B,A5617)/2+IF(A5617&lt;&gt;A5618,100,0)</f>
        <v>2.5625</v>
      </c>
      <c r="D5617" s="33">
        <f>INDEX('ZCB Curve - Payment Dates'!$D$2:$D$246,MATCH(B5617,'ZCB Curve - Payment Dates'!$A$2:$A$246,0))</f>
        <v>0.26667724322397307</v>
      </c>
      <c r="E5617" s="32">
        <f t="shared" si="87"/>
        <v>0.68336043576143102</v>
      </c>
    </row>
    <row r="5618" spans="1:5" x14ac:dyDescent="0.25">
      <c r="A5618" s="17">
        <v>354</v>
      </c>
      <c r="B5618" s="31">
        <v>55380</v>
      </c>
      <c r="C5618" s="32">
        <f>INDEX('Input Data'!$B:$B,A5618)/2+IF(A5618&lt;&gt;A5619,100,0)</f>
        <v>2.5625</v>
      </c>
      <c r="D5618" s="33">
        <f>INDEX('ZCB Curve - Payment Dates'!$D$2:$D$246,MATCH(B5618,'ZCB Curve - Payment Dates'!$A$2:$A$246,0))</f>
        <v>0.25999926234228898</v>
      </c>
      <c r="E5618" s="32">
        <f t="shared" si="87"/>
        <v>0.66624810975211557</v>
      </c>
    </row>
    <row r="5619" spans="1:5" x14ac:dyDescent="0.25">
      <c r="A5619" s="17">
        <v>354</v>
      </c>
      <c r="B5619" s="31">
        <v>55564</v>
      </c>
      <c r="C5619" s="32">
        <f>INDEX('Input Data'!$B:$B,A5619)/2+IF(A5619&lt;&gt;A5620,100,0)</f>
        <v>2.5625</v>
      </c>
      <c r="D5619" s="33">
        <f>INDEX('ZCB Curve - Payment Dates'!$D$2:$D$246,MATCH(B5619,'ZCB Curve - Payment Dates'!$A$2:$A$246,0))</f>
        <v>0.25351997596294801</v>
      </c>
      <c r="E5619" s="32">
        <f t="shared" si="87"/>
        <v>0.64964493840505422</v>
      </c>
    </row>
    <row r="5620" spans="1:5" x14ac:dyDescent="0.25">
      <c r="A5620" s="17">
        <v>354</v>
      </c>
      <c r="B5620" s="31">
        <v>55746</v>
      </c>
      <c r="C5620" s="32">
        <f>INDEX('Input Data'!$B:$B,A5620)/2+IF(A5620&lt;&gt;A5621,100,0)</f>
        <v>2.5625</v>
      </c>
      <c r="D5620" s="33">
        <f>INDEX('ZCB Curve - Payment Dates'!$D$2:$D$246,MATCH(B5620,'ZCB Curve - Payment Dates'!$A$2:$A$246,0))</f>
        <v>0.24741177833471262</v>
      </c>
      <c r="E5620" s="32">
        <f t="shared" si="87"/>
        <v>0.63399268198270109</v>
      </c>
    </row>
    <row r="5621" spans="1:5" x14ac:dyDescent="0.25">
      <c r="A5621" s="17">
        <v>354</v>
      </c>
      <c r="B5621" s="31">
        <v>55930</v>
      </c>
      <c r="C5621" s="32">
        <f>INDEX('Input Data'!$B:$B,A5621)/2+IF(A5621&lt;&gt;A5622,100,0)</f>
        <v>2.5625</v>
      </c>
      <c r="D5621" s="33">
        <f>INDEX('ZCB Curve - Payment Dates'!$D$2:$D$246,MATCH(B5621,'ZCB Curve - Payment Dates'!$A$2:$A$246,0))</f>
        <v>0.24152840552252464</v>
      </c>
      <c r="E5621" s="32">
        <f t="shared" si="87"/>
        <v>0.61891653915146938</v>
      </c>
    </row>
    <row r="5622" spans="1:5" x14ac:dyDescent="0.25">
      <c r="A5622" s="17">
        <v>354</v>
      </c>
      <c r="B5622" s="31">
        <v>56111</v>
      </c>
      <c r="C5622" s="32">
        <f>INDEX('Input Data'!$B:$B,A5622)/2+IF(A5622&lt;&gt;A5623,100,0)</f>
        <v>2.5625</v>
      </c>
      <c r="D5622" s="33">
        <f>INDEX('ZCB Curve - Payment Dates'!$D$2:$D$246,MATCH(B5622,'ZCB Curve - Payment Dates'!$A$2:$A$246,0))</f>
        <v>0.23601759993777988</v>
      </c>
      <c r="E5622" s="32">
        <f t="shared" si="87"/>
        <v>0.6047950998405609</v>
      </c>
    </row>
    <row r="5623" spans="1:5" x14ac:dyDescent="0.25">
      <c r="A5623" s="17">
        <v>354</v>
      </c>
      <c r="B5623" s="31">
        <v>56295</v>
      </c>
      <c r="C5623" s="32">
        <f>INDEX('Input Data'!$B:$B,A5623)/2+IF(A5623&lt;&gt;A5624,100,0)</f>
        <v>2.5625</v>
      </c>
      <c r="D5623" s="33">
        <f>INDEX('ZCB Curve - Payment Dates'!$D$2:$D$246,MATCH(B5623,'ZCB Curve - Payment Dates'!$A$2:$A$246,0))</f>
        <v>0.23068727764963001</v>
      </c>
      <c r="E5623" s="32">
        <f t="shared" si="87"/>
        <v>0.59113614897717692</v>
      </c>
    </row>
    <row r="5624" spans="1:5" x14ac:dyDescent="0.25">
      <c r="A5624" s="17">
        <v>354</v>
      </c>
      <c r="B5624" s="31">
        <v>56476</v>
      </c>
      <c r="C5624" s="32">
        <f>INDEX('Input Data'!$B:$B,A5624)/2+IF(A5624&lt;&gt;A5625,100,0)</f>
        <v>2.5625</v>
      </c>
      <c r="D5624" s="33">
        <f>INDEX('ZCB Curve - Payment Dates'!$D$2:$D$246,MATCH(B5624,'ZCB Curve - Payment Dates'!$A$2:$A$246,0))</f>
        <v>0.22570143434065604</v>
      </c>
      <c r="E5624" s="32">
        <f t="shared" si="87"/>
        <v>0.57835992549793114</v>
      </c>
    </row>
    <row r="5625" spans="1:5" x14ac:dyDescent="0.25">
      <c r="A5625" s="17">
        <v>354</v>
      </c>
      <c r="B5625" s="31">
        <v>56660</v>
      </c>
      <c r="C5625" s="32">
        <f>INDEX('Input Data'!$B:$B,A5625)/2+IF(A5625&lt;&gt;A5626,100,0)</f>
        <v>2.5625</v>
      </c>
      <c r="D5625" s="33">
        <f>INDEX('ZCB Curve - Payment Dates'!$D$2:$D$246,MATCH(B5625,'ZCB Curve - Payment Dates'!$A$2:$A$246,0))</f>
        <v>0.22088579586025855</v>
      </c>
      <c r="E5625" s="32">
        <f t="shared" si="87"/>
        <v>0.56601985189191251</v>
      </c>
    </row>
    <row r="5626" spans="1:5" x14ac:dyDescent="0.25">
      <c r="A5626" s="17">
        <v>354</v>
      </c>
      <c r="B5626" s="31">
        <v>56841</v>
      </c>
      <c r="C5626" s="32">
        <f>INDEX('Input Data'!$B:$B,A5626)/2+IF(A5626&lt;&gt;A5627,100,0)</f>
        <v>2.5625</v>
      </c>
      <c r="D5626" s="33">
        <f>INDEX('ZCB Curve - Payment Dates'!$D$2:$D$246,MATCH(B5626,'ZCB Curve - Payment Dates'!$A$2:$A$246,0))</f>
        <v>0.21638810336036826</v>
      </c>
      <c r="E5626" s="32">
        <f t="shared" si="87"/>
        <v>0.5544945148609437</v>
      </c>
    </row>
    <row r="5627" spans="1:5" x14ac:dyDescent="0.25">
      <c r="A5627" s="17">
        <v>354</v>
      </c>
      <c r="B5627" s="31">
        <v>57025</v>
      </c>
      <c r="C5627" s="32">
        <f>INDEX('Input Data'!$B:$B,A5627)/2+IF(A5627&lt;&gt;A5628,100,0)</f>
        <v>2.5625</v>
      </c>
      <c r="D5627" s="33">
        <f>INDEX('ZCB Curve - Payment Dates'!$D$2:$D$246,MATCH(B5627,'ZCB Curve - Payment Dates'!$A$2:$A$246,0))</f>
        <v>0.21205076885329019</v>
      </c>
      <c r="E5627" s="32">
        <f t="shared" si="87"/>
        <v>0.54338009518655606</v>
      </c>
    </row>
    <row r="5628" spans="1:5" x14ac:dyDescent="0.25">
      <c r="A5628" s="17">
        <v>354</v>
      </c>
      <c r="B5628" s="31">
        <v>57207</v>
      </c>
      <c r="C5628" s="32">
        <f>INDEX('Input Data'!$B:$B,A5628)/2+IF(A5628&lt;&gt;A5629,100,0)</f>
        <v>102.5625</v>
      </c>
      <c r="D5628" s="33">
        <f>INDEX('ZCB Curve - Payment Dates'!$D$2:$D$246,MATCH(B5628,'ZCB Curve - Payment Dates'!$A$2:$A$246,0))</f>
        <v>0.2079851054738624</v>
      </c>
      <c r="E5628" s="32">
        <f t="shared" si="87"/>
        <v>21.331472380163014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3"/>
  <sheetViews>
    <sheetView showGridLines="0" workbookViewId="0">
      <selection activeCell="H16" sqref="H16"/>
    </sheetView>
  </sheetViews>
  <sheetFormatPr defaultColWidth="8.7109375" defaultRowHeight="15" x14ac:dyDescent="0.25"/>
  <cols>
    <col min="1" max="1" width="14.85546875" customWidth="1"/>
    <col min="2" max="2" width="13.85546875" customWidth="1"/>
    <col min="3" max="3" width="36.5703125" customWidth="1"/>
    <col min="4" max="4" width="19.5703125" customWidth="1"/>
  </cols>
  <sheetData>
    <row r="1" spans="1:4" ht="15" customHeight="1" x14ac:dyDescent="0.25">
      <c r="A1" s="25" t="s">
        <v>29</v>
      </c>
      <c r="B1" s="25" t="s">
        <v>22</v>
      </c>
      <c r="C1" s="25" t="s">
        <v>30</v>
      </c>
      <c r="D1" s="25" t="s">
        <v>31</v>
      </c>
    </row>
    <row r="2" spans="1:4" ht="15" customHeight="1" x14ac:dyDescent="0.25">
      <c r="A2" s="26">
        <v>46280</v>
      </c>
      <c r="B2" s="27">
        <v>3.0099999999999998E-2</v>
      </c>
      <c r="C2" s="28">
        <f>'Fit Diagnostics'!$B$4+'Fit Diagnostics'!$B$5*((1-EXP(-B2/'Fit Diagnostics'!$B$8))/(B2/'Fit Diagnostics'!$B$8))+'Fit Diagnostics'!$B$6*(((1-EXP(-B2/'Fit Diagnostics'!$B$8))/(B2/'Fit Diagnostics'!$B$8))-EXP(-B2/'Fit Diagnostics'!$B$8))+'Fit Diagnostics'!$B$7*(((1-EXP(-B2/'Fit Diagnostics'!$B$9))/(B2/'Fit Diagnostics'!$B$9))-EXP(-B2/'Fit Diagnostics'!$B$9))</f>
        <v>3.7586353152277346E-2</v>
      </c>
      <c r="D2" s="29">
        <f t="shared" ref="D2:D65" si="0">EXP(-C2*B2)</f>
        <v>0.99886929050437945</v>
      </c>
    </row>
    <row r="3" spans="1:4" ht="15" customHeight="1" x14ac:dyDescent="0.25">
      <c r="A3" s="26">
        <v>46295</v>
      </c>
      <c r="B3" s="27">
        <v>7.1199999999999999E-2</v>
      </c>
      <c r="C3" s="28">
        <f>'Fit Diagnostics'!$B$4+'Fit Diagnostics'!$B$5*((1-EXP(-B3/'Fit Diagnostics'!$B$8))/(B3/'Fit Diagnostics'!$B$8))+'Fit Diagnostics'!$B$6*(((1-EXP(-B3/'Fit Diagnostics'!$B$8))/(B3/'Fit Diagnostics'!$B$8))-EXP(-B3/'Fit Diagnostics'!$B$8))+'Fit Diagnostics'!$B$7*(((1-EXP(-B3/'Fit Diagnostics'!$B$9))/(B3/'Fit Diagnostics'!$B$9))-EXP(-B3/'Fit Diagnostics'!$B$9))</f>
        <v>3.7792442311042888E-2</v>
      </c>
      <c r="D3" s="29">
        <f t="shared" si="0"/>
        <v>0.9973127951237063</v>
      </c>
    </row>
    <row r="4" spans="1:4" ht="15" customHeight="1" x14ac:dyDescent="0.25">
      <c r="A4" s="26">
        <v>46310</v>
      </c>
      <c r="B4" s="27">
        <v>0.1123</v>
      </c>
      <c r="C4" s="28">
        <f>'Fit Diagnostics'!$B$4+'Fit Diagnostics'!$B$5*((1-EXP(-B4/'Fit Diagnostics'!$B$8))/(B4/'Fit Diagnostics'!$B$8))+'Fit Diagnostics'!$B$6*(((1-EXP(-B4/'Fit Diagnostics'!$B$8))/(B4/'Fit Diagnostics'!$B$8))-EXP(-B4/'Fit Diagnostics'!$B$8))+'Fit Diagnostics'!$B$7*(((1-EXP(-B4/'Fit Diagnostics'!$B$9))/(B4/'Fit Diagnostics'!$B$9))-EXP(-B4/'Fit Diagnostics'!$B$9))</f>
        <v>3.7993370744480004E-2</v>
      </c>
      <c r="D4" s="29">
        <f t="shared" si="0"/>
        <v>0.99574243370863547</v>
      </c>
    </row>
    <row r="5" spans="1:4" ht="15" customHeight="1" x14ac:dyDescent="0.25">
      <c r="A5" s="26">
        <v>46326</v>
      </c>
      <c r="B5" s="27">
        <v>0.15620000000000001</v>
      </c>
      <c r="C5" s="28">
        <f>'Fit Diagnostics'!$B$4+'Fit Diagnostics'!$B$5*((1-EXP(-B5/'Fit Diagnostics'!$B$8))/(B5/'Fit Diagnostics'!$B$8))+'Fit Diagnostics'!$B$6*(((1-EXP(-B5/'Fit Diagnostics'!$B$8))/(B5/'Fit Diagnostics'!$B$8))-EXP(-B5/'Fit Diagnostics'!$B$8))+'Fit Diagnostics'!$B$7*(((1-EXP(-B5/'Fit Diagnostics'!$B$9))/(B5/'Fit Diagnostics'!$B$9))-EXP(-B5/'Fit Diagnostics'!$B$9))</f>
        <v>3.8202415905415982E-2</v>
      </c>
      <c r="D5" s="29">
        <f t="shared" si="0"/>
        <v>0.99405055111674689</v>
      </c>
    </row>
    <row r="6" spans="1:4" ht="15" customHeight="1" x14ac:dyDescent="0.25">
      <c r="A6" s="26">
        <v>46341</v>
      </c>
      <c r="B6" s="27">
        <v>0.1973</v>
      </c>
      <c r="C6" s="28">
        <f>'Fit Diagnostics'!$B$4+'Fit Diagnostics'!$B$5*((1-EXP(-B6/'Fit Diagnostics'!$B$8))/(B6/'Fit Diagnostics'!$B$8))+'Fit Diagnostics'!$B$6*(((1-EXP(-B6/'Fit Diagnostics'!$B$8))/(B6/'Fit Diagnostics'!$B$8))-EXP(-B6/'Fit Diagnostics'!$B$8))+'Fit Diagnostics'!$B$7*(((1-EXP(-B6/'Fit Diagnostics'!$B$9))/(B6/'Fit Diagnostics'!$B$9))-EXP(-B6/'Fit Diagnostics'!$B$9))</f>
        <v>3.8393029223397351E-2</v>
      </c>
      <c r="D6" s="29">
        <f t="shared" si="0"/>
        <v>0.99245367292309439</v>
      </c>
    </row>
    <row r="7" spans="1:4" ht="15" customHeight="1" x14ac:dyDescent="0.25">
      <c r="A7" s="26">
        <v>46356</v>
      </c>
      <c r="B7" s="27">
        <v>0.2384</v>
      </c>
      <c r="C7" s="28">
        <f>'Fit Diagnostics'!$B$4+'Fit Diagnostics'!$B$5*((1-EXP(-B7/'Fit Diagnostics'!$B$8))/(B7/'Fit Diagnostics'!$B$8))+'Fit Diagnostics'!$B$6*(((1-EXP(-B7/'Fit Diagnostics'!$B$8))/(B7/'Fit Diagnostics'!$B$8))-EXP(-B7/'Fit Diagnostics'!$B$8))+'Fit Diagnostics'!$B$7*(((1-EXP(-B7/'Fit Diagnostics'!$B$9))/(B7/'Fit Diagnostics'!$B$9))-EXP(-B7/'Fit Diagnostics'!$B$9))</f>
        <v>3.8578823562629913E-2</v>
      </c>
      <c r="D7" s="29">
        <f t="shared" si="0"/>
        <v>0.99084497326382592</v>
      </c>
    </row>
    <row r="8" spans="1:4" ht="15" customHeight="1" x14ac:dyDescent="0.25">
      <c r="A8" s="26">
        <v>46371</v>
      </c>
      <c r="B8" s="27">
        <v>0.27950000000000003</v>
      </c>
      <c r="C8" s="28">
        <f>'Fit Diagnostics'!$B$4+'Fit Diagnostics'!$B$5*((1-EXP(-B8/'Fit Diagnostics'!$B$8))/(B8/'Fit Diagnostics'!$B$8))+'Fit Diagnostics'!$B$6*(((1-EXP(-B8/'Fit Diagnostics'!$B$8))/(B8/'Fit Diagnostics'!$B$8))-EXP(-B8/'Fit Diagnostics'!$B$8))+'Fit Diagnostics'!$B$7*(((1-EXP(-B8/'Fit Diagnostics'!$B$9))/(B8/'Fit Diagnostics'!$B$9))-EXP(-B8/'Fit Diagnostics'!$B$9))</f>
        <v>3.8759906087558013E-2</v>
      </c>
      <c r="D8" s="29">
        <f t="shared" si="0"/>
        <v>0.98922507612573607</v>
      </c>
    </row>
    <row r="9" spans="1:4" ht="15" customHeight="1" x14ac:dyDescent="0.25">
      <c r="A9" s="26">
        <v>46387</v>
      </c>
      <c r="B9" s="27">
        <v>0.32329999999999998</v>
      </c>
      <c r="C9" s="28">
        <f>'Fit Diagnostics'!$B$4+'Fit Diagnostics'!$B$5*((1-EXP(-B9/'Fit Diagnostics'!$B$8))/(B9/'Fit Diagnostics'!$B$8))+'Fit Diagnostics'!$B$6*(((1-EXP(-B9/'Fit Diagnostics'!$B$8))/(B9/'Fit Diagnostics'!$B$8))-EXP(-B9/'Fit Diagnostics'!$B$8))+'Fit Diagnostics'!$B$7*(((1-EXP(-B9/'Fit Diagnostics'!$B$9))/(B9/'Fit Diagnostics'!$B$9))-EXP(-B9/'Fit Diagnostics'!$B$9))</f>
        <v>3.8947816495145497E-2</v>
      </c>
      <c r="D9" s="29">
        <f t="shared" si="0"/>
        <v>0.987487116303851</v>
      </c>
    </row>
    <row r="10" spans="1:4" ht="15" customHeight="1" x14ac:dyDescent="0.25">
      <c r="A10" s="26">
        <v>46402</v>
      </c>
      <c r="B10" s="27">
        <v>0.3644</v>
      </c>
      <c r="C10" s="28">
        <f>'Fit Diagnostics'!$B$4+'Fit Diagnostics'!$B$5*((1-EXP(-B10/'Fit Diagnostics'!$B$8))/(B10/'Fit Diagnostics'!$B$8))+'Fit Diagnostics'!$B$6*(((1-EXP(-B10/'Fit Diagnostics'!$B$8))/(B10/'Fit Diagnostics'!$B$8))-EXP(-B10/'Fit Diagnostics'!$B$8))+'Fit Diagnostics'!$B$7*(((1-EXP(-B10/'Fit Diagnostics'!$B$9))/(B10/'Fit Diagnostics'!$B$9))-EXP(-B10/'Fit Diagnostics'!$B$9))</f>
        <v>3.9119496570775694E-2</v>
      </c>
      <c r="D10" s="29">
        <f t="shared" si="0"/>
        <v>0.98584597894241466</v>
      </c>
    </row>
    <row r="11" spans="1:4" ht="15" customHeight="1" x14ac:dyDescent="0.25">
      <c r="A11" s="26">
        <v>46418</v>
      </c>
      <c r="B11" s="27">
        <v>0.40820000000000001</v>
      </c>
      <c r="C11" s="28">
        <f>'Fit Diagnostics'!$B$4+'Fit Diagnostics'!$B$5*((1-EXP(-B11/'Fit Diagnostics'!$B$8))/(B11/'Fit Diagnostics'!$B$8))+'Fit Diagnostics'!$B$6*(((1-EXP(-B11/'Fit Diagnostics'!$B$8))/(B11/'Fit Diagnostics'!$B$8))-EXP(-B11/'Fit Diagnostics'!$B$8))+'Fit Diagnostics'!$B$7*(((1-EXP(-B11/'Fit Diagnostics'!$B$9))/(B11/'Fit Diagnostics'!$B$9))-EXP(-B11/'Fit Diagnostics'!$B$9))</f>
        <v>3.9297618968182055E-2</v>
      </c>
      <c r="D11" s="29">
        <f t="shared" si="0"/>
        <v>0.98408668818349121</v>
      </c>
    </row>
    <row r="12" spans="1:4" ht="15" customHeight="1" x14ac:dyDescent="0.25">
      <c r="A12" s="26">
        <v>46433</v>
      </c>
      <c r="B12" s="27">
        <v>0.44929999999999998</v>
      </c>
      <c r="C12" s="28">
        <f>'Fit Diagnostics'!$B$4+'Fit Diagnostics'!$B$5*((1-EXP(-B12/'Fit Diagnostics'!$B$8))/(B12/'Fit Diagnostics'!$B$8))+'Fit Diagnostics'!$B$6*(((1-EXP(-B12/'Fit Diagnostics'!$B$8))/(B12/'Fit Diagnostics'!$B$8))-EXP(-B12/'Fit Diagnostics'!$B$8))+'Fit Diagnostics'!$B$7*(((1-EXP(-B12/'Fit Diagnostics'!$B$9))/(B12/'Fit Diagnostics'!$B$9))-EXP(-B12/'Fit Diagnostics'!$B$9))</f>
        <v>3.9460328009641409E-2</v>
      </c>
      <c r="D12" s="29">
        <f t="shared" si="0"/>
        <v>0.98242671792446301</v>
      </c>
    </row>
    <row r="13" spans="1:4" ht="15" customHeight="1" x14ac:dyDescent="0.25">
      <c r="A13" s="26">
        <v>46446</v>
      </c>
      <c r="B13" s="27">
        <v>0.4849</v>
      </c>
      <c r="C13" s="28">
        <f>'Fit Diagnostics'!$B$4+'Fit Diagnostics'!$B$5*((1-EXP(-B13/'Fit Diagnostics'!$B$8))/(B13/'Fit Diagnostics'!$B$8))+'Fit Diagnostics'!$B$6*(((1-EXP(-B13/'Fit Diagnostics'!$B$8))/(B13/'Fit Diagnostics'!$B$8))-EXP(-B13/'Fit Diagnostics'!$B$8))+'Fit Diagnostics'!$B$7*(((1-EXP(-B13/'Fit Diagnostics'!$B$9))/(B13/'Fit Diagnostics'!$B$9))-EXP(-B13/'Fit Diagnostics'!$B$9))</f>
        <v>3.9597871091601268E-2</v>
      </c>
      <c r="D13" s="29">
        <f t="shared" si="0"/>
        <v>0.98098215746395478</v>
      </c>
    </row>
    <row r="14" spans="1:4" ht="15" customHeight="1" x14ac:dyDescent="0.25">
      <c r="A14" s="26">
        <v>46461</v>
      </c>
      <c r="B14" s="27">
        <v>0.52600000000000002</v>
      </c>
      <c r="C14" s="28">
        <f>'Fit Diagnostics'!$B$4+'Fit Diagnostics'!$B$5*((1-EXP(-B14/'Fit Diagnostics'!$B$8))/(B14/'Fit Diagnostics'!$B$8))+'Fit Diagnostics'!$B$6*(((1-EXP(-B14/'Fit Diagnostics'!$B$8))/(B14/'Fit Diagnostics'!$B$8))-EXP(-B14/'Fit Diagnostics'!$B$8))+'Fit Diagnostics'!$B$7*(((1-EXP(-B14/'Fit Diagnostics'!$B$9))/(B14/'Fit Diagnostics'!$B$9))-EXP(-B14/'Fit Diagnostics'!$B$9))</f>
        <v>3.9752832579555274E-2</v>
      </c>
      <c r="D14" s="29">
        <f t="shared" si="0"/>
        <v>0.97930710809714472</v>
      </c>
    </row>
    <row r="15" spans="1:4" ht="15" customHeight="1" x14ac:dyDescent="0.25">
      <c r="A15" s="26">
        <v>46477</v>
      </c>
      <c r="B15" s="27">
        <v>0.56989999999999996</v>
      </c>
      <c r="C15" s="28">
        <f>'Fit Diagnostics'!$B$4+'Fit Diagnostics'!$B$5*((1-EXP(-B15/'Fit Diagnostics'!$B$8))/(B15/'Fit Diagnostics'!$B$8))+'Fit Diagnostics'!$B$6*(((1-EXP(-B15/'Fit Diagnostics'!$B$8))/(B15/'Fit Diagnostics'!$B$8))-EXP(-B15/'Fit Diagnostics'!$B$8))+'Fit Diagnostics'!$B$7*(((1-EXP(-B15/'Fit Diagnostics'!$B$9))/(B15/'Fit Diagnostics'!$B$9))-EXP(-B15/'Fit Diagnostics'!$B$9))</f>
        <v>3.9913917180782368E-2</v>
      </c>
      <c r="D15" s="29">
        <f t="shared" si="0"/>
        <v>0.97750981974188245</v>
      </c>
    </row>
    <row r="16" spans="1:4" ht="15" customHeight="1" x14ac:dyDescent="0.25">
      <c r="A16" s="26">
        <v>46492</v>
      </c>
      <c r="B16" s="27">
        <v>0.61099999999999999</v>
      </c>
      <c r="C16" s="28">
        <f>'Fit Diagnostics'!$B$4+'Fit Diagnostics'!$B$5*((1-EXP(-B16/'Fit Diagnostics'!$B$8))/(B16/'Fit Diagnostics'!$B$8))+'Fit Diagnostics'!$B$6*(((1-EXP(-B16/'Fit Diagnostics'!$B$8))/(B16/'Fit Diagnostics'!$B$8))-EXP(-B16/'Fit Diagnostics'!$B$8))+'Fit Diagnostics'!$B$7*(((1-EXP(-B16/'Fit Diagnostics'!$B$9))/(B16/'Fit Diagnostics'!$B$9))-EXP(-B16/'Fit Diagnostics'!$B$9))</f>
        <v>4.0060673727009798E-2</v>
      </c>
      <c r="D16" s="29">
        <f t="shared" si="0"/>
        <v>0.97582006260857235</v>
      </c>
    </row>
    <row r="17" spans="1:4" ht="15" customHeight="1" x14ac:dyDescent="0.25">
      <c r="A17" s="26">
        <v>46507</v>
      </c>
      <c r="B17" s="27">
        <v>0.65210000000000001</v>
      </c>
      <c r="C17" s="28">
        <f>'Fit Diagnostics'!$B$4+'Fit Diagnostics'!$B$5*((1-EXP(-B17/'Fit Diagnostics'!$B$8))/(B17/'Fit Diagnostics'!$B$8))+'Fit Diagnostics'!$B$6*(((1-EXP(-B17/'Fit Diagnostics'!$B$8))/(B17/'Fit Diagnostics'!$B$8))-EXP(-B17/'Fit Diagnostics'!$B$8))+'Fit Diagnostics'!$B$7*(((1-EXP(-B17/'Fit Diagnostics'!$B$9))/(B17/'Fit Diagnostics'!$B$9))-EXP(-B17/'Fit Diagnostics'!$B$9))</f>
        <v>4.0203602129117957E-2</v>
      </c>
      <c r="D17" s="29">
        <f t="shared" si="0"/>
        <v>0.97412390690574091</v>
      </c>
    </row>
    <row r="18" spans="1:4" ht="15" customHeight="1" x14ac:dyDescent="0.25">
      <c r="A18" s="26">
        <v>46522</v>
      </c>
      <c r="B18" s="27">
        <v>0.69320000000000004</v>
      </c>
      <c r="C18" s="28">
        <f>'Fit Diagnostics'!$B$4+'Fit Diagnostics'!$B$5*((1-EXP(-B18/'Fit Diagnostics'!$B$8))/(B18/'Fit Diagnostics'!$B$8))+'Fit Diagnostics'!$B$6*(((1-EXP(-B18/'Fit Diagnostics'!$B$8))/(B18/'Fit Diagnostics'!$B$8))-EXP(-B18/'Fit Diagnostics'!$B$8))+'Fit Diagnostics'!$B$7*(((1-EXP(-B18/'Fit Diagnostics'!$B$9))/(B18/'Fit Diagnostics'!$B$9))-EXP(-B18/'Fit Diagnostics'!$B$9))</f>
        <v>4.0342790771103941E-2</v>
      </c>
      <c r="D18" s="29">
        <f t="shared" si="0"/>
        <v>0.97242179559611874</v>
      </c>
    </row>
    <row r="19" spans="1:4" ht="15" customHeight="1" x14ac:dyDescent="0.25">
      <c r="A19" s="26">
        <v>46538</v>
      </c>
      <c r="B19" s="27">
        <v>0.73699999999999999</v>
      </c>
      <c r="C19" s="28">
        <f>'Fit Diagnostics'!$B$4+'Fit Diagnostics'!$B$5*((1-EXP(-B19/'Fit Diagnostics'!$B$8))/(B19/'Fit Diagnostics'!$B$8))+'Fit Diagnostics'!$B$6*(((1-EXP(-B19/'Fit Diagnostics'!$B$8))/(B19/'Fit Diagnostics'!$B$8))-EXP(-B19/'Fit Diagnostics'!$B$8))+'Fit Diagnostics'!$B$7*(((1-EXP(-B19/'Fit Diagnostics'!$B$9))/(B19/'Fit Diagnostics'!$B$9))-EXP(-B19/'Fit Diagnostics'!$B$9))</f>
        <v>4.0487104325788247E-2</v>
      </c>
      <c r="D19" s="29">
        <f t="shared" si="0"/>
        <v>0.97060179184855555</v>
      </c>
    </row>
    <row r="20" spans="1:4" ht="15" customHeight="1" x14ac:dyDescent="0.25">
      <c r="A20" s="26">
        <v>46553</v>
      </c>
      <c r="B20" s="27">
        <v>0.77810000000000001</v>
      </c>
      <c r="C20" s="28">
        <f>'Fit Diagnostics'!$B$4+'Fit Diagnostics'!$B$5*((1-EXP(-B20/'Fit Diagnostics'!$B$8))/(B20/'Fit Diagnostics'!$B$8))+'Fit Diagnostics'!$B$6*(((1-EXP(-B20/'Fit Diagnostics'!$B$8))/(B20/'Fit Diagnostics'!$B$8))-EXP(-B20/'Fit Diagnostics'!$B$8))+'Fit Diagnostics'!$B$7*(((1-EXP(-B20/'Fit Diagnostics'!$B$9))/(B20/'Fit Diagnostics'!$B$9))-EXP(-B20/'Fit Diagnostics'!$B$9))</f>
        <v>4.0618840397983101E-2</v>
      </c>
      <c r="D20" s="29">
        <f t="shared" si="0"/>
        <v>0.96888871419984679</v>
      </c>
    </row>
    <row r="21" spans="1:4" ht="15" customHeight="1" x14ac:dyDescent="0.25">
      <c r="A21" s="26">
        <v>46568</v>
      </c>
      <c r="B21" s="27">
        <v>0.81920000000000004</v>
      </c>
      <c r="C21" s="28">
        <f>'Fit Diagnostics'!$B$4+'Fit Diagnostics'!$B$5*((1-EXP(-B21/'Fit Diagnostics'!$B$8))/(B21/'Fit Diagnostics'!$B$8))+'Fit Diagnostics'!$B$6*(((1-EXP(-B21/'Fit Diagnostics'!$B$8))/(B21/'Fit Diagnostics'!$B$8))-EXP(-B21/'Fit Diagnostics'!$B$8))+'Fit Diagnostics'!$B$7*(((1-EXP(-B21/'Fit Diagnostics'!$B$9))/(B21/'Fit Diagnostics'!$B$9))-EXP(-B21/'Fit Diagnostics'!$B$9))</f>
        <v>4.074709724431165E-2</v>
      </c>
      <c r="D21" s="29">
        <f t="shared" si="0"/>
        <v>0.96717094344557664</v>
      </c>
    </row>
    <row r="22" spans="1:4" ht="15" customHeight="1" x14ac:dyDescent="0.25">
      <c r="A22" s="26">
        <v>46583</v>
      </c>
      <c r="B22" s="27">
        <v>0.86029999999999995</v>
      </c>
      <c r="C22" s="28">
        <f>'Fit Diagnostics'!$B$4+'Fit Diagnostics'!$B$5*((1-EXP(-B22/'Fit Diagnostics'!$B$8))/(B22/'Fit Diagnostics'!$B$8))+'Fit Diagnostics'!$B$6*(((1-EXP(-B22/'Fit Diagnostics'!$B$8))/(B22/'Fit Diagnostics'!$B$8))-EXP(-B22/'Fit Diagnostics'!$B$8))+'Fit Diagnostics'!$B$7*(((1-EXP(-B22/'Fit Diagnostics'!$B$9))/(B22/'Fit Diagnostics'!$B$9))-EXP(-B22/'Fit Diagnostics'!$B$9))</f>
        <v>4.0871956547079341E-2</v>
      </c>
      <c r="D22" s="29">
        <f t="shared" si="0"/>
        <v>0.96544886161553756</v>
      </c>
    </row>
    <row r="23" spans="1:4" ht="15" customHeight="1" x14ac:dyDescent="0.25">
      <c r="A23" s="26">
        <v>46599</v>
      </c>
      <c r="B23" s="27">
        <v>0.90410000000000001</v>
      </c>
      <c r="C23" s="28">
        <f>'Fit Diagnostics'!$B$4+'Fit Diagnostics'!$B$5*((1-EXP(-B23/'Fit Diagnostics'!$B$8))/(B23/'Fit Diagnostics'!$B$8))+'Fit Diagnostics'!$B$6*(((1-EXP(-B23/'Fit Diagnostics'!$B$8))/(B23/'Fit Diagnostics'!$B$8))-EXP(-B23/'Fit Diagnostics'!$B$8))+'Fit Diagnostics'!$B$7*(((1-EXP(-B23/'Fit Diagnostics'!$B$9))/(B23/'Fit Diagnostics'!$B$9))-EXP(-B23/'Fit Diagnostics'!$B$9))</f>
        <v>4.1001368690657278E-2</v>
      </c>
      <c r="D23" s="29">
        <f t="shared" si="0"/>
        <v>0.96360931883583933</v>
      </c>
    </row>
    <row r="24" spans="1:4" ht="15" customHeight="1" x14ac:dyDescent="0.25">
      <c r="A24" s="26">
        <v>46614</v>
      </c>
      <c r="B24" s="27">
        <v>0.94520000000000004</v>
      </c>
      <c r="C24" s="28">
        <f>'Fit Diagnostics'!$B$4+'Fit Diagnostics'!$B$5*((1-EXP(-B24/'Fit Diagnostics'!$B$8))/(B24/'Fit Diagnostics'!$B$8))+'Fit Diagnostics'!$B$6*(((1-EXP(-B24/'Fit Diagnostics'!$B$8))/(B24/'Fit Diagnostics'!$B$8))-EXP(-B24/'Fit Diagnostics'!$B$8))+'Fit Diagnostics'!$B$7*(((1-EXP(-B24/'Fit Diagnostics'!$B$9))/(B24/'Fit Diagnostics'!$B$9))-EXP(-B24/'Fit Diagnostics'!$B$9))</f>
        <v>4.1119461613452465E-2</v>
      </c>
      <c r="D24" s="29">
        <f t="shared" si="0"/>
        <v>0.96187948164765535</v>
      </c>
    </row>
    <row r="25" spans="1:4" ht="15" customHeight="1" x14ac:dyDescent="0.25">
      <c r="A25" s="26">
        <v>46630</v>
      </c>
      <c r="B25" s="27">
        <v>0.98899999999999999</v>
      </c>
      <c r="C25" s="28">
        <f>'Fit Diagnostics'!$B$4+'Fit Diagnostics'!$B$5*((1-EXP(-B25/'Fit Diagnostics'!$B$8))/(B25/'Fit Diagnostics'!$B$8))+'Fit Diagnostics'!$B$6*(((1-EXP(-B25/'Fit Diagnostics'!$B$8))/(B25/'Fit Diagnostics'!$B$8))-EXP(-B25/'Fit Diagnostics'!$B$8))+'Fit Diagnostics'!$B$7*(((1-EXP(-B25/'Fit Diagnostics'!$B$9))/(B25/'Fit Diagnostics'!$B$9))-EXP(-B25/'Fit Diagnostics'!$B$9))</f>
        <v>4.1241839564785818E-2</v>
      </c>
      <c r="D25" s="29">
        <f t="shared" si="0"/>
        <v>0.96003246313192503</v>
      </c>
    </row>
    <row r="26" spans="1:4" ht="15" customHeight="1" x14ac:dyDescent="0.25">
      <c r="A26" s="26">
        <v>46645</v>
      </c>
      <c r="B26" s="27">
        <v>1.0301</v>
      </c>
      <c r="C26" s="28">
        <f>'Fit Diagnostics'!$B$4+'Fit Diagnostics'!$B$5*((1-EXP(-B26/'Fit Diagnostics'!$B$8))/(B26/'Fit Diagnostics'!$B$8))+'Fit Diagnostics'!$B$6*(((1-EXP(-B26/'Fit Diagnostics'!$B$8))/(B26/'Fit Diagnostics'!$B$8))-EXP(-B26/'Fit Diagnostics'!$B$8))+'Fit Diagnostics'!$B$7*(((1-EXP(-B26/'Fit Diagnostics'!$B$9))/(B26/'Fit Diagnostics'!$B$9))-EXP(-B26/'Fit Diagnostics'!$B$9))</f>
        <v>4.1353494425488684E-2</v>
      </c>
      <c r="D26" s="29">
        <f t="shared" si="0"/>
        <v>0.95829632303364787</v>
      </c>
    </row>
    <row r="27" spans="1:4" ht="15" customHeight="1" x14ac:dyDescent="0.25">
      <c r="A27" s="26">
        <v>46660</v>
      </c>
      <c r="B27" s="27">
        <v>1.0711999999999999</v>
      </c>
      <c r="C27" s="28">
        <f>'Fit Diagnostics'!$B$4+'Fit Diagnostics'!$B$5*((1-EXP(-B27/'Fit Diagnostics'!$B$8))/(B27/'Fit Diagnostics'!$B$8))+'Fit Diagnostics'!$B$6*(((1-EXP(-B27/'Fit Diagnostics'!$B$8))/(B27/'Fit Diagnostics'!$B$8))-EXP(-B27/'Fit Diagnostics'!$B$8))+'Fit Diagnostics'!$B$7*(((1-EXP(-B27/'Fit Diagnostics'!$B$9))/(B27/'Fit Diagnostics'!$B$9))-EXP(-B27/'Fit Diagnostics'!$B$9))</f>
        <v>4.1462146667413255E-2</v>
      </c>
      <c r="D27" s="29">
        <f t="shared" si="0"/>
        <v>0.95655761994841249</v>
      </c>
    </row>
    <row r="28" spans="1:4" ht="15" customHeight="1" x14ac:dyDescent="0.25">
      <c r="A28" s="26">
        <v>46675</v>
      </c>
      <c r="B28" s="27">
        <v>1.1123000000000001</v>
      </c>
      <c r="C28" s="28">
        <f>'Fit Diagnostics'!$B$4+'Fit Diagnostics'!$B$5*((1-EXP(-B28/'Fit Diagnostics'!$B$8))/(B28/'Fit Diagnostics'!$B$8))+'Fit Diagnostics'!$B$6*(((1-EXP(-B28/'Fit Diagnostics'!$B$8))/(B28/'Fit Diagnostics'!$B$8))-EXP(-B28/'Fit Diagnostics'!$B$8))+'Fit Diagnostics'!$B$7*(((1-EXP(-B28/'Fit Diagnostics'!$B$9))/(B28/'Fit Diagnostics'!$B$9))-EXP(-B28/'Fit Diagnostics'!$B$9))</f>
        <v>4.1567868726065632E-2</v>
      </c>
      <c r="D28" s="29">
        <f t="shared" si="0"/>
        <v>0.95481665580389952</v>
      </c>
    </row>
    <row r="29" spans="1:4" ht="15" customHeight="1" x14ac:dyDescent="0.25">
      <c r="A29" s="26">
        <v>46691</v>
      </c>
      <c r="B29" s="27">
        <v>1.1561999999999999</v>
      </c>
      <c r="C29" s="28">
        <f>'Fit Diagnostics'!$B$4+'Fit Diagnostics'!$B$5*((1-EXP(-B29/'Fit Diagnostics'!$B$8))/(B29/'Fit Diagnostics'!$B$8))+'Fit Diagnostics'!$B$6*(((1-EXP(-B29/'Fit Diagnostics'!$B$8))/(B29/'Fit Diagnostics'!$B$8))-EXP(-B29/'Fit Diagnostics'!$B$8))+'Fit Diagnostics'!$B$7*(((1-EXP(-B29/'Fit Diagnostics'!$B$9))/(B29/'Fit Diagnostics'!$B$9))-EXP(-B29/'Fit Diagnostics'!$B$9))</f>
        <v>4.167763703917967E-2</v>
      </c>
      <c r="D29" s="29">
        <f t="shared" si="0"/>
        <v>0.95295491595466364</v>
      </c>
    </row>
    <row r="30" spans="1:4" ht="15" customHeight="1" x14ac:dyDescent="0.25">
      <c r="A30" s="26">
        <v>46706</v>
      </c>
      <c r="B30" s="27">
        <v>1.1973</v>
      </c>
      <c r="C30" s="28">
        <f>'Fit Diagnostics'!$B$4+'Fit Diagnostics'!$B$5*((1-EXP(-B30/'Fit Diagnostics'!$B$8))/(B30/'Fit Diagnostics'!$B$8))+'Fit Diagnostics'!$B$6*(((1-EXP(-B30/'Fit Diagnostics'!$B$8))/(B30/'Fit Diagnostics'!$B$8))-EXP(-B30/'Fit Diagnostics'!$B$8))+'Fit Diagnostics'!$B$7*(((1-EXP(-B30/'Fit Diagnostics'!$B$9))/(B30/'Fit Diagnostics'!$B$9))-EXP(-B30/'Fit Diagnostics'!$B$9))</f>
        <v>4.1777522856346422E-2</v>
      </c>
      <c r="D30" s="29">
        <f t="shared" si="0"/>
        <v>0.95121018311627348</v>
      </c>
    </row>
    <row r="31" spans="1:4" ht="15" customHeight="1" x14ac:dyDescent="0.25">
      <c r="A31" s="26">
        <v>46721</v>
      </c>
      <c r="B31" s="27">
        <v>1.2383999999999999</v>
      </c>
      <c r="C31" s="28">
        <f>'Fit Diagnostics'!$B$4+'Fit Diagnostics'!$B$5*((1-EXP(-B31/'Fit Diagnostics'!$B$8))/(B31/'Fit Diagnostics'!$B$8))+'Fit Diagnostics'!$B$6*(((1-EXP(-B31/'Fit Diagnostics'!$B$8))/(B31/'Fit Diagnostics'!$B$8))-EXP(-B31/'Fit Diagnostics'!$B$8))+'Fit Diagnostics'!$B$7*(((1-EXP(-B31/'Fit Diagnostics'!$B$9))/(B31/'Fit Diagnostics'!$B$9))-EXP(-B31/'Fit Diagnostics'!$B$9))</f>
        <v>4.187469200083193E-2</v>
      </c>
      <c r="D31" s="29">
        <f t="shared" si="0"/>
        <v>0.94946404326393219</v>
      </c>
    </row>
    <row r="32" spans="1:4" ht="15" customHeight="1" x14ac:dyDescent="0.25">
      <c r="A32" s="26">
        <v>46736</v>
      </c>
      <c r="B32" s="27">
        <v>1.2795000000000001</v>
      </c>
      <c r="C32" s="28">
        <f>'Fit Diagnostics'!$B$4+'Fit Diagnostics'!$B$5*((1-EXP(-B32/'Fit Diagnostics'!$B$8))/(B32/'Fit Diagnostics'!$B$8))+'Fit Diagnostics'!$B$6*(((1-EXP(-B32/'Fit Diagnostics'!$B$8))/(B32/'Fit Diagnostics'!$B$8))-EXP(-B32/'Fit Diagnostics'!$B$8))+'Fit Diagnostics'!$B$7*(((1-EXP(-B32/'Fit Diagnostics'!$B$9))/(B32/'Fit Diagnostics'!$B$9))-EXP(-B32/'Fit Diagnostics'!$B$9))</f>
        <v>4.1969211300368785E-2</v>
      </c>
      <c r="D32" s="29">
        <f t="shared" si="0"/>
        <v>0.94771675230658103</v>
      </c>
    </row>
    <row r="33" spans="1:4" ht="15" customHeight="1" x14ac:dyDescent="0.25">
      <c r="A33" s="26">
        <v>46752</v>
      </c>
      <c r="B33" s="27">
        <v>1.3232999999999999</v>
      </c>
      <c r="C33" s="28">
        <f>'Fit Diagnostics'!$B$4+'Fit Diagnostics'!$B$5*((1-EXP(-B33/'Fit Diagnostics'!$B$8))/(B33/'Fit Diagnostics'!$B$8))+'Fit Diagnostics'!$B$6*(((1-EXP(-B33/'Fit Diagnostics'!$B$8))/(B33/'Fit Diagnostics'!$B$8))-EXP(-B33/'Fit Diagnostics'!$B$8))+'Fit Diagnostics'!$B$7*(((1-EXP(-B33/'Fit Diagnostics'!$B$9))/(B33/'Fit Diagnostics'!$B$9))-EXP(-B33/'Fit Diagnostics'!$B$9))</f>
        <v>4.2067096879491096E-2</v>
      </c>
      <c r="D33" s="29">
        <f t="shared" si="0"/>
        <v>0.94585368463190456</v>
      </c>
    </row>
    <row r="34" spans="1:4" ht="15" customHeight="1" x14ac:dyDescent="0.25">
      <c r="A34" s="26">
        <v>46767</v>
      </c>
      <c r="B34" s="27">
        <v>1.3644000000000001</v>
      </c>
      <c r="C34" s="28">
        <f>'Fit Diagnostics'!$B$4+'Fit Diagnostics'!$B$5*((1-EXP(-B34/'Fit Diagnostics'!$B$8))/(B34/'Fit Diagnostics'!$B$8))+'Fit Diagnostics'!$B$6*(((1-EXP(-B34/'Fit Diagnostics'!$B$8))/(B34/'Fit Diagnostics'!$B$8))-EXP(-B34/'Fit Diagnostics'!$B$8))+'Fit Diagnostics'!$B$7*(((1-EXP(-B34/'Fit Diagnostics'!$B$9))/(B34/'Fit Diagnostics'!$B$9))-EXP(-B34/'Fit Diagnostics'!$B$9))</f>
        <v>4.2156348385313389E-2</v>
      </c>
      <c r="D34" s="29">
        <f t="shared" si="0"/>
        <v>0.94410478141292531</v>
      </c>
    </row>
    <row r="35" spans="1:4" ht="15" customHeight="1" x14ac:dyDescent="0.25">
      <c r="A35" s="26">
        <v>46783</v>
      </c>
      <c r="B35" s="27">
        <v>1.4081999999999999</v>
      </c>
      <c r="C35" s="28">
        <f>'Fit Diagnostics'!$B$4+'Fit Diagnostics'!$B$5*((1-EXP(-B35/'Fit Diagnostics'!$B$8))/(B35/'Fit Diagnostics'!$B$8))+'Fit Diagnostics'!$B$6*(((1-EXP(-B35/'Fit Diagnostics'!$B$8))/(B35/'Fit Diagnostics'!$B$8))-EXP(-B35/'Fit Diagnostics'!$B$8))+'Fit Diagnostics'!$B$7*(((1-EXP(-B35/'Fit Diagnostics'!$B$9))/(B35/'Fit Diagnostics'!$B$9))-EXP(-B35/'Fit Diagnostics'!$B$9))</f>
        <v>4.224876451339378E-2</v>
      </c>
      <c r="D35" s="29">
        <f t="shared" si="0"/>
        <v>0.94224051785347052</v>
      </c>
    </row>
    <row r="36" spans="1:4" ht="15" customHeight="1" x14ac:dyDescent="0.25">
      <c r="A36" s="26">
        <v>46798</v>
      </c>
      <c r="B36" s="27">
        <v>1.4493</v>
      </c>
      <c r="C36" s="28">
        <f>'Fit Diagnostics'!$B$4+'Fit Diagnostics'!$B$5*((1-EXP(-B36/'Fit Diagnostics'!$B$8))/(B36/'Fit Diagnostics'!$B$8))+'Fit Diagnostics'!$B$6*(((1-EXP(-B36/'Fit Diagnostics'!$B$8))/(B36/'Fit Diagnostics'!$B$8))-EXP(-B36/'Fit Diagnostics'!$B$8))+'Fit Diagnostics'!$B$7*(((1-EXP(-B36/'Fit Diagnostics'!$B$9))/(B36/'Fit Diagnostics'!$B$9))-EXP(-B36/'Fit Diagnostics'!$B$9))</f>
        <v>4.2333016480635588E-2</v>
      </c>
      <c r="D36" s="29">
        <f t="shared" si="0"/>
        <v>0.94049096132648802</v>
      </c>
    </row>
    <row r="37" spans="1:4" ht="15" customHeight="1" x14ac:dyDescent="0.25">
      <c r="A37" s="26">
        <v>46812</v>
      </c>
      <c r="B37" s="27">
        <v>1.4877</v>
      </c>
      <c r="C37" s="28">
        <f>'Fit Diagnostics'!$B$4+'Fit Diagnostics'!$B$5*((1-EXP(-B37/'Fit Diagnostics'!$B$8))/(B37/'Fit Diagnostics'!$B$8))+'Fit Diagnostics'!$B$6*(((1-EXP(-B37/'Fit Diagnostics'!$B$8))/(B37/'Fit Diagnostics'!$B$8))-EXP(-B37/'Fit Diagnostics'!$B$8))+'Fit Diagnostics'!$B$7*(((1-EXP(-B37/'Fit Diagnostics'!$B$9))/(B37/'Fit Diagnostics'!$B$9))-EXP(-B37/'Fit Diagnostics'!$B$9))</f>
        <v>4.2409629603806051E-2</v>
      </c>
      <c r="D37" s="29">
        <f t="shared" si="0"/>
        <v>0.938856338180596</v>
      </c>
    </row>
    <row r="38" spans="1:4" ht="15" customHeight="1" x14ac:dyDescent="0.25">
      <c r="A38" s="26">
        <v>46827</v>
      </c>
      <c r="B38" s="27">
        <v>1.5287999999999999</v>
      </c>
      <c r="C38" s="28">
        <f>'Fit Diagnostics'!$B$4+'Fit Diagnostics'!$B$5*((1-EXP(-B38/'Fit Diagnostics'!$B$8))/(B38/'Fit Diagnostics'!$B$8))+'Fit Diagnostics'!$B$6*(((1-EXP(-B38/'Fit Diagnostics'!$B$8))/(B38/'Fit Diagnostics'!$B$8))-EXP(-B38/'Fit Diagnostics'!$B$8))+'Fit Diagnostics'!$B$7*(((1-EXP(-B38/'Fit Diagnostics'!$B$9))/(B38/'Fit Diagnostics'!$B$9))-EXP(-B38/'Fit Diagnostics'!$B$9))</f>
        <v>4.2489433549257487E-2</v>
      </c>
      <c r="D38" s="29">
        <f t="shared" si="0"/>
        <v>0.9371069653423626</v>
      </c>
    </row>
    <row r="39" spans="1:4" ht="15" customHeight="1" x14ac:dyDescent="0.25">
      <c r="A39" s="26">
        <v>46843</v>
      </c>
      <c r="B39" s="27">
        <v>1.5726</v>
      </c>
      <c r="C39" s="28">
        <f>'Fit Diagnostics'!$B$4+'Fit Diagnostics'!$B$5*((1-EXP(-B39/'Fit Diagnostics'!$B$8))/(B39/'Fit Diagnostics'!$B$8))+'Fit Diagnostics'!$B$6*(((1-EXP(-B39/'Fit Diagnostics'!$B$8))/(B39/'Fit Diagnostics'!$B$8))-EXP(-B39/'Fit Diagnostics'!$B$8))+'Fit Diagnostics'!$B$7*(((1-EXP(-B39/'Fit Diagnostics'!$B$9))/(B39/'Fit Diagnostics'!$B$9))-EXP(-B39/'Fit Diagnostics'!$B$9))</f>
        <v>4.2572044616957933E-2</v>
      </c>
      <c r="D39" s="29">
        <f t="shared" si="0"/>
        <v>0.93524308702159842</v>
      </c>
    </row>
    <row r="40" spans="1:4" ht="15" customHeight="1" x14ac:dyDescent="0.25">
      <c r="A40" s="26">
        <v>46858</v>
      </c>
      <c r="B40" s="27">
        <v>1.6136999999999999</v>
      </c>
      <c r="C40" s="28">
        <f>'Fit Diagnostics'!$B$4+'Fit Diagnostics'!$B$5*((1-EXP(-B40/'Fit Diagnostics'!$B$8))/(B40/'Fit Diagnostics'!$B$8))+'Fit Diagnostics'!$B$6*(((1-EXP(-B40/'Fit Diagnostics'!$B$8))/(B40/'Fit Diagnostics'!$B$8))-EXP(-B40/'Fit Diagnostics'!$B$8))+'Fit Diagnostics'!$B$7*(((1-EXP(-B40/'Fit Diagnostics'!$B$9))/(B40/'Fit Diagnostics'!$B$9))-EXP(-B40/'Fit Diagnostics'!$B$9))</f>
        <v>4.2647337827162304E-2</v>
      </c>
      <c r="D40" s="29">
        <f t="shared" si="0"/>
        <v>0.93349468555170922</v>
      </c>
    </row>
    <row r="41" spans="1:4" ht="15" customHeight="1" x14ac:dyDescent="0.25">
      <c r="A41" s="26">
        <v>46873</v>
      </c>
      <c r="B41" s="27">
        <v>1.6548</v>
      </c>
      <c r="C41" s="28">
        <f>'Fit Diagnostics'!$B$4+'Fit Diagnostics'!$B$5*((1-EXP(-B41/'Fit Diagnostics'!$B$8))/(B41/'Fit Diagnostics'!$B$8))+'Fit Diagnostics'!$B$6*(((1-EXP(-B41/'Fit Diagnostics'!$B$8))/(B41/'Fit Diagnostics'!$B$8))-EXP(-B41/'Fit Diagnostics'!$B$8))+'Fit Diagnostics'!$B$7*(((1-EXP(-B41/'Fit Diagnostics'!$B$9))/(B41/'Fit Diagnostics'!$B$9))-EXP(-B41/'Fit Diagnostics'!$B$9))</f>
        <v>4.2720533269609604E-2</v>
      </c>
      <c r="D41" s="29">
        <f t="shared" si="0"/>
        <v>0.93174702042500246</v>
      </c>
    </row>
    <row r="42" spans="1:4" ht="15" customHeight="1" x14ac:dyDescent="0.25">
      <c r="A42" s="26">
        <v>46888</v>
      </c>
      <c r="B42" s="27">
        <v>1.6959</v>
      </c>
      <c r="C42" s="28">
        <f>'Fit Diagnostics'!$B$4+'Fit Diagnostics'!$B$5*((1-EXP(-B42/'Fit Diagnostics'!$B$8))/(B42/'Fit Diagnostics'!$B$8))+'Fit Diagnostics'!$B$6*(((1-EXP(-B42/'Fit Diagnostics'!$B$8))/(B42/'Fit Diagnostics'!$B$8))-EXP(-B42/'Fit Diagnostics'!$B$8))+'Fit Diagnostics'!$B$7*(((1-EXP(-B42/'Fit Diagnostics'!$B$9))/(B42/'Fit Diagnostics'!$B$9))-EXP(-B42/'Fit Diagnostics'!$B$9))</f>
        <v>4.2791685440975689E-2</v>
      </c>
      <c r="D42" s="29">
        <f t="shared" si="0"/>
        <v>0.93000025435083566</v>
      </c>
    </row>
    <row r="43" spans="1:4" ht="15" customHeight="1" x14ac:dyDescent="0.25">
      <c r="A43" s="26">
        <v>46904</v>
      </c>
      <c r="B43" s="27">
        <v>1.7397</v>
      </c>
      <c r="C43" s="28">
        <f>'Fit Diagnostics'!$B$4+'Fit Diagnostics'!$B$5*((1-EXP(-B43/'Fit Diagnostics'!$B$8))/(B43/'Fit Diagnostics'!$B$8))+'Fit Diagnostics'!$B$6*(((1-EXP(-B43/'Fit Diagnostics'!$B$8))/(B43/'Fit Diagnostics'!$B$8))-EXP(-B43/'Fit Diagnostics'!$B$8))+'Fit Diagnostics'!$B$7*(((1-EXP(-B43/'Fit Diagnostics'!$B$9))/(B43/'Fit Diagnostics'!$B$9))-EXP(-B43/'Fit Diagnostics'!$B$9))</f>
        <v>4.2865322857822324E-2</v>
      </c>
      <c r="D43" s="29">
        <f t="shared" si="0"/>
        <v>0.92813990099508414</v>
      </c>
    </row>
    <row r="44" spans="1:4" ht="15" customHeight="1" x14ac:dyDescent="0.25">
      <c r="A44" s="26">
        <v>46919</v>
      </c>
      <c r="B44" s="27">
        <v>1.7807999999999999</v>
      </c>
      <c r="C44" s="28">
        <f>'Fit Diagnostics'!$B$4+'Fit Diagnostics'!$B$5*((1-EXP(-B44/'Fit Diagnostics'!$B$8))/(B44/'Fit Diagnostics'!$B$8))+'Fit Diagnostics'!$B$6*(((1-EXP(-B44/'Fit Diagnostics'!$B$8))/(B44/'Fit Diagnostics'!$B$8))-EXP(-B44/'Fit Diagnostics'!$B$8))+'Fit Diagnostics'!$B$7*(((1-EXP(-B44/'Fit Diagnostics'!$B$9))/(B44/'Fit Diagnostics'!$B$9))-EXP(-B44/'Fit Diagnostics'!$B$9))</f>
        <v>4.2932422113397588E-2</v>
      </c>
      <c r="D44" s="29">
        <f t="shared" si="0"/>
        <v>0.92639547442094117</v>
      </c>
    </row>
    <row r="45" spans="1:4" ht="15" customHeight="1" x14ac:dyDescent="0.25">
      <c r="A45" s="26">
        <v>46934</v>
      </c>
      <c r="B45" s="27">
        <v>1.8219000000000001</v>
      </c>
      <c r="C45" s="28">
        <f>'Fit Diagnostics'!$B$4+'Fit Diagnostics'!$B$5*((1-EXP(-B45/'Fit Diagnostics'!$B$8))/(B45/'Fit Diagnostics'!$B$8))+'Fit Diagnostics'!$B$6*(((1-EXP(-B45/'Fit Diagnostics'!$B$8))/(B45/'Fit Diagnostics'!$B$8))-EXP(-B45/'Fit Diagnostics'!$B$8))+'Fit Diagnostics'!$B$7*(((1-EXP(-B45/'Fit Diagnostics'!$B$9))/(B45/'Fit Diagnostics'!$B$9))-EXP(-B45/'Fit Diagnostics'!$B$9))</f>
        <v>4.2997638390298708E-2</v>
      </c>
      <c r="D45" s="29">
        <f t="shared" si="0"/>
        <v>0.92465239860805604</v>
      </c>
    </row>
    <row r="46" spans="1:4" ht="15" customHeight="1" x14ac:dyDescent="0.25">
      <c r="A46" s="26">
        <v>46949</v>
      </c>
      <c r="B46" s="27">
        <v>1.863</v>
      </c>
      <c r="C46" s="28">
        <f>'Fit Diagnostics'!$B$4+'Fit Diagnostics'!$B$5*((1-EXP(-B46/'Fit Diagnostics'!$B$8))/(B46/'Fit Diagnostics'!$B$8))+'Fit Diagnostics'!$B$6*(((1-EXP(-B46/'Fit Diagnostics'!$B$8))/(B46/'Fit Diagnostics'!$B$8))-EXP(-B46/'Fit Diagnostics'!$B$8))+'Fit Diagnostics'!$B$7*(((1-EXP(-B46/'Fit Diagnostics'!$B$9))/(B46/'Fit Diagnostics'!$B$9))-EXP(-B46/'Fit Diagnostics'!$B$9))</f>
        <v>4.3061021829343668E-2</v>
      </c>
      <c r="D46" s="29">
        <f t="shared" si="0"/>
        <v>0.92291080633862488</v>
      </c>
    </row>
    <row r="47" spans="1:4" ht="15" customHeight="1" x14ac:dyDescent="0.25">
      <c r="A47" s="26">
        <v>46965</v>
      </c>
      <c r="B47" s="27">
        <v>1.9068000000000001</v>
      </c>
      <c r="C47" s="28">
        <f>'Fit Diagnostics'!$B$4+'Fit Diagnostics'!$B$5*((1-EXP(-B47/'Fit Diagnostics'!$B$8))/(B47/'Fit Diagnostics'!$B$8))+'Fit Diagnostics'!$B$6*(((1-EXP(-B47/'Fit Diagnostics'!$B$8))/(B47/'Fit Diagnostics'!$B$8))-EXP(-B47/'Fit Diagnostics'!$B$8))+'Fit Diagnostics'!$B$7*(((1-EXP(-B47/'Fit Diagnostics'!$B$9))/(B47/'Fit Diagnostics'!$B$9))-EXP(-B47/'Fit Diagnostics'!$B$9))</f>
        <v>4.312660697146458E-2</v>
      </c>
      <c r="D47" s="29">
        <f t="shared" si="0"/>
        <v>0.92105657743562108</v>
      </c>
    </row>
    <row r="48" spans="1:4" ht="15" customHeight="1" x14ac:dyDescent="0.25">
      <c r="A48" s="26">
        <v>46980</v>
      </c>
      <c r="B48" s="27">
        <v>1.9479</v>
      </c>
      <c r="C48" s="28">
        <f>'Fit Diagnostics'!$B$4+'Fit Diagnostics'!$B$5*((1-EXP(-B48/'Fit Diagnostics'!$B$8))/(B48/'Fit Diagnostics'!$B$8))+'Fit Diagnostics'!$B$6*(((1-EXP(-B48/'Fit Diagnostics'!$B$8))/(B48/'Fit Diagnostics'!$B$8))-EXP(-B48/'Fit Diagnostics'!$B$8))+'Fit Diagnostics'!$B$7*(((1-EXP(-B48/'Fit Diagnostics'!$B$9))/(B48/'Fit Diagnostics'!$B$9))-EXP(-B48/'Fit Diagnostics'!$B$9))</f>
        <v>4.3186358723020978E-2</v>
      </c>
      <c r="D48" s="29">
        <f t="shared" si="0"/>
        <v>0.91931844130238327</v>
      </c>
    </row>
    <row r="49" spans="1:4" ht="15" customHeight="1" x14ac:dyDescent="0.25">
      <c r="A49" s="26">
        <v>46996</v>
      </c>
      <c r="B49" s="27">
        <v>1.9918</v>
      </c>
      <c r="C49" s="28">
        <f>'Fit Diagnostics'!$B$4+'Fit Diagnostics'!$B$5*((1-EXP(-B49/'Fit Diagnostics'!$B$8))/(B49/'Fit Diagnostics'!$B$8))+'Fit Diagnostics'!$B$6*(((1-EXP(-B49/'Fit Diagnostics'!$B$8))/(B49/'Fit Diagnostics'!$B$8))-EXP(-B49/'Fit Diagnostics'!$B$8))+'Fit Diagnostics'!$B$7*(((1-EXP(-B49/'Fit Diagnostics'!$B$9))/(B49/'Fit Diagnostics'!$B$9))-EXP(-B49/'Fit Diagnostics'!$B$9))</f>
        <v>4.3248320747855951E-2</v>
      </c>
      <c r="D49" s="29">
        <f t="shared" si="0"/>
        <v>0.91746393725908559</v>
      </c>
    </row>
    <row r="50" spans="1:4" ht="15" customHeight="1" x14ac:dyDescent="0.25">
      <c r="A50" s="26">
        <v>47011</v>
      </c>
      <c r="B50" s="27">
        <v>2.0329000000000002</v>
      </c>
      <c r="C50" s="28">
        <f>'Fit Diagnostics'!$B$4+'Fit Diagnostics'!$B$5*((1-EXP(-B50/'Fit Diagnostics'!$B$8))/(B50/'Fit Diagnostics'!$B$8))+'Fit Diagnostics'!$B$6*(((1-EXP(-B50/'Fit Diagnostics'!$B$8))/(B50/'Fit Diagnostics'!$B$8))-EXP(-B50/'Fit Diagnostics'!$B$8))+'Fit Diagnostics'!$B$7*(((1-EXP(-B50/'Fit Diagnostics'!$B$9))/(B50/'Fit Diagnostics'!$B$9))-EXP(-B50/'Fit Diagnostics'!$B$9))</f>
        <v>4.3304637715466443E-2</v>
      </c>
      <c r="D50" s="29">
        <f t="shared" si="0"/>
        <v>0.91572974320350053</v>
      </c>
    </row>
    <row r="51" spans="1:4" ht="15" customHeight="1" x14ac:dyDescent="0.25">
      <c r="A51" s="26">
        <v>47026</v>
      </c>
      <c r="B51" s="27">
        <v>2.0739999999999998</v>
      </c>
      <c r="C51" s="28">
        <f>'Fit Diagnostics'!$B$4+'Fit Diagnostics'!$B$5*((1-EXP(-B51/'Fit Diagnostics'!$B$8))/(B51/'Fit Diagnostics'!$B$8))+'Fit Diagnostics'!$B$6*(((1-EXP(-B51/'Fit Diagnostics'!$B$8))/(B51/'Fit Diagnostics'!$B$8))-EXP(-B51/'Fit Diagnostics'!$B$8))+'Fit Diagnostics'!$B$7*(((1-EXP(-B51/'Fit Diagnostics'!$B$9))/(B51/'Fit Diagnostics'!$B$9))-EXP(-B51/'Fit Diagnostics'!$B$9))</f>
        <v>4.3359363531961126E-2</v>
      </c>
      <c r="D51" s="29">
        <f t="shared" si="0"/>
        <v>0.91399761223542642</v>
      </c>
    </row>
    <row r="52" spans="1:4" ht="15" customHeight="1" x14ac:dyDescent="0.25">
      <c r="A52" s="26">
        <v>47041</v>
      </c>
      <c r="B52" s="27">
        <v>2.1151</v>
      </c>
      <c r="C52" s="28">
        <f>'Fit Diagnostics'!$B$4+'Fit Diagnostics'!$B$5*((1-EXP(-B52/'Fit Diagnostics'!$B$8))/(B52/'Fit Diagnostics'!$B$8))+'Fit Diagnostics'!$B$6*(((1-EXP(-B52/'Fit Diagnostics'!$B$8))/(B52/'Fit Diagnostics'!$B$8))-EXP(-B52/'Fit Diagnostics'!$B$8))+'Fit Diagnostics'!$B$7*(((1-EXP(-B52/'Fit Diagnostics'!$B$9))/(B52/'Fit Diagnostics'!$B$9))-EXP(-B52/'Fit Diagnostics'!$B$9))</f>
        <v>4.3412542339583207E-2</v>
      </c>
      <c r="D52" s="29">
        <f t="shared" si="0"/>
        <v>0.91226763885553941</v>
      </c>
    </row>
    <row r="53" spans="1:4" ht="15" customHeight="1" x14ac:dyDescent="0.25">
      <c r="A53" s="26">
        <v>47057</v>
      </c>
      <c r="B53" s="27">
        <v>2.1589</v>
      </c>
      <c r="C53" s="28">
        <f>'Fit Diagnostics'!$B$4+'Fit Diagnostics'!$B$5*((1-EXP(-B53/'Fit Diagnostics'!$B$8))/(B53/'Fit Diagnostics'!$B$8))+'Fit Diagnostics'!$B$6*(((1-EXP(-B53/'Fit Diagnostics'!$B$8))/(B53/'Fit Diagnostics'!$B$8))-EXP(-B53/'Fit Diagnostics'!$B$8))+'Fit Diagnostics'!$B$7*(((1-EXP(-B53/'Fit Diagnostics'!$B$9))/(B53/'Fit Diagnostics'!$B$9))-EXP(-B53/'Fit Diagnostics'!$B$9))</f>
        <v>4.3467560459561433E-2</v>
      </c>
      <c r="D53" s="29">
        <f t="shared" si="0"/>
        <v>0.91042649241905782</v>
      </c>
    </row>
    <row r="54" spans="1:4" ht="15" customHeight="1" x14ac:dyDescent="0.25">
      <c r="A54" s="26">
        <v>47072</v>
      </c>
      <c r="B54" s="27">
        <v>2.2000000000000002</v>
      </c>
      <c r="C54" s="28">
        <f>'Fit Diagnostics'!$B$4+'Fit Diagnostics'!$B$5*((1-EXP(-B54/'Fit Diagnostics'!$B$8))/(B54/'Fit Diagnostics'!$B$8))+'Fit Diagnostics'!$B$6*(((1-EXP(-B54/'Fit Diagnostics'!$B$8))/(B54/'Fit Diagnostics'!$B$8))-EXP(-B54/'Fit Diagnostics'!$B$8))+'Fit Diagnostics'!$B$7*(((1-EXP(-B54/'Fit Diagnostics'!$B$9))/(B54/'Fit Diagnostics'!$B$9))-EXP(-B54/'Fit Diagnostics'!$B$9))</f>
        <v>4.351767947820976E-2</v>
      </c>
      <c r="D54" s="29">
        <f t="shared" si="0"/>
        <v>0.90870125167038918</v>
      </c>
    </row>
    <row r="55" spans="1:4" ht="15" customHeight="1" x14ac:dyDescent="0.25">
      <c r="A55" s="26">
        <v>47087</v>
      </c>
      <c r="B55" s="27">
        <v>2.2410999999999999</v>
      </c>
      <c r="C55" s="28">
        <f>'Fit Diagnostics'!$B$4+'Fit Diagnostics'!$B$5*((1-EXP(-B55/'Fit Diagnostics'!$B$8))/(B55/'Fit Diagnostics'!$B$8))+'Fit Diagnostics'!$B$6*(((1-EXP(-B55/'Fit Diagnostics'!$B$8))/(B55/'Fit Diagnostics'!$B$8))-EXP(-B55/'Fit Diagnostics'!$B$8))+'Fit Diagnostics'!$B$7*(((1-EXP(-B55/'Fit Diagnostics'!$B$9))/(B55/'Fit Diagnostics'!$B$9))-EXP(-B55/'Fit Diagnostics'!$B$9))</f>
        <v>4.3566381172429218E-2</v>
      </c>
      <c r="D55" s="29">
        <f t="shared" si="0"/>
        <v>0.90697842456009181</v>
      </c>
    </row>
    <row r="56" spans="1:4" ht="15" customHeight="1" x14ac:dyDescent="0.25">
      <c r="A56" s="26">
        <v>47102</v>
      </c>
      <c r="B56" s="27">
        <v>2.2822</v>
      </c>
      <c r="C56" s="28">
        <f>'Fit Diagnostics'!$B$4+'Fit Diagnostics'!$B$5*((1-EXP(-B56/'Fit Diagnostics'!$B$8))/(B56/'Fit Diagnostics'!$B$8))+'Fit Diagnostics'!$B$6*(((1-EXP(-B56/'Fit Diagnostics'!$B$8))/(B56/'Fit Diagnostics'!$B$8))-EXP(-B56/'Fit Diagnostics'!$B$8))+'Fit Diagnostics'!$B$7*(((1-EXP(-B56/'Fit Diagnostics'!$B$9))/(B56/'Fit Diagnostics'!$B$9))-EXP(-B56/'Fit Diagnostics'!$B$9))</f>
        <v>4.361370605906166E-2</v>
      </c>
      <c r="D56" s="29">
        <f t="shared" si="0"/>
        <v>0.90525808425208809</v>
      </c>
    </row>
    <row r="57" spans="1:4" ht="15" customHeight="1" x14ac:dyDescent="0.25">
      <c r="A57" s="26">
        <v>47118</v>
      </c>
      <c r="B57" s="27">
        <v>2.3260000000000001</v>
      </c>
      <c r="C57" s="28">
        <f>'Fit Diagnostics'!$B$4+'Fit Diagnostics'!$B$5*((1-EXP(-B57/'Fit Diagnostics'!$B$8))/(B57/'Fit Diagnostics'!$B$8))+'Fit Diagnostics'!$B$6*(((1-EXP(-B57/'Fit Diagnostics'!$B$8))/(B57/'Fit Diagnostics'!$B$8))-EXP(-B57/'Fit Diagnostics'!$B$8))+'Fit Diagnostics'!$B$7*(((1-EXP(-B57/'Fit Diagnostics'!$B$9))/(B57/'Fit Diagnostics'!$B$9))-EXP(-B57/'Fit Diagnostics'!$B$9))</f>
        <v>4.3662669030664306E-2</v>
      </c>
      <c r="D57" s="29">
        <f t="shared" si="0"/>
        <v>0.90342754291436123</v>
      </c>
    </row>
    <row r="58" spans="1:4" ht="15" customHeight="1" x14ac:dyDescent="0.25">
      <c r="A58" s="26">
        <v>47133</v>
      </c>
      <c r="B58" s="27">
        <v>2.3671000000000002</v>
      </c>
      <c r="C58" s="28">
        <f>'Fit Diagnostics'!$B$4+'Fit Diagnostics'!$B$5*((1-EXP(-B58/'Fit Diagnostics'!$B$8))/(B58/'Fit Diagnostics'!$B$8))+'Fit Diagnostics'!$B$6*(((1-EXP(-B58/'Fit Diagnostics'!$B$8))/(B58/'Fit Diagnostics'!$B$8))-EXP(-B58/'Fit Diagnostics'!$B$8))+'Fit Diagnostics'!$B$7*(((1-EXP(-B58/'Fit Diagnostics'!$B$9))/(B58/'Fit Diagnostics'!$B$9))-EXP(-B58/'Fit Diagnostics'!$B$9))</f>
        <v>4.3707274510680211E-2</v>
      </c>
      <c r="D58" s="29">
        <f t="shared" si="0"/>
        <v>0.90171255083345714</v>
      </c>
    </row>
    <row r="59" spans="1:4" ht="15" customHeight="1" x14ac:dyDescent="0.25">
      <c r="A59" s="26">
        <v>47149</v>
      </c>
      <c r="B59" s="27">
        <v>2.411</v>
      </c>
      <c r="C59" s="28">
        <f>'Fit Diagnostics'!$B$4+'Fit Diagnostics'!$B$5*((1-EXP(-B59/'Fit Diagnostics'!$B$8))/(B59/'Fit Diagnostics'!$B$8))+'Fit Diagnostics'!$B$6*(((1-EXP(-B59/'Fit Diagnostics'!$B$8))/(B59/'Fit Diagnostics'!$B$8))-EXP(-B59/'Fit Diagnostics'!$B$8))+'Fit Diagnostics'!$B$7*(((1-EXP(-B59/'Fit Diagnostics'!$B$9))/(B59/'Fit Diagnostics'!$B$9))-EXP(-B59/'Fit Diagnostics'!$B$9))</f>
        <v>4.3753530449863937E-2</v>
      </c>
      <c r="D59" s="29">
        <f t="shared" si="0"/>
        <v>0.89988368588562773</v>
      </c>
    </row>
    <row r="60" spans="1:4" ht="15" customHeight="1" x14ac:dyDescent="0.25">
      <c r="A60" s="26">
        <v>47164</v>
      </c>
      <c r="B60" s="27">
        <v>2.4521000000000002</v>
      </c>
      <c r="C60" s="28">
        <f>'Fit Diagnostics'!$B$4+'Fit Diagnostics'!$B$5*((1-EXP(-B60/'Fit Diagnostics'!$B$8))/(B60/'Fit Diagnostics'!$B$8))+'Fit Diagnostics'!$B$6*(((1-EXP(-B60/'Fit Diagnostics'!$B$8))/(B60/'Fit Diagnostics'!$B$8))-EXP(-B60/'Fit Diagnostics'!$B$8))+'Fit Diagnostics'!$B$7*(((1-EXP(-B60/'Fit Diagnostics'!$B$9))/(B60/'Fit Diagnostics'!$B$9))-EXP(-B60/'Fit Diagnostics'!$B$9))</f>
        <v>4.3795575576955598E-2</v>
      </c>
      <c r="D60" s="29">
        <f t="shared" si="0"/>
        <v>0.89817430058086534</v>
      </c>
    </row>
    <row r="61" spans="1:4" ht="15" customHeight="1" x14ac:dyDescent="0.25">
      <c r="A61" s="26">
        <v>47177</v>
      </c>
      <c r="B61" s="27">
        <v>2.4876999999999998</v>
      </c>
      <c r="C61" s="28">
        <f>'Fit Diagnostics'!$B$4+'Fit Diagnostics'!$B$5*((1-EXP(-B61/'Fit Diagnostics'!$B$8))/(B61/'Fit Diagnostics'!$B$8))+'Fit Diagnostics'!$B$6*(((1-EXP(-B61/'Fit Diagnostics'!$B$8))/(B61/'Fit Diagnostics'!$B$8))-EXP(-B61/'Fit Diagnostics'!$B$8))+'Fit Diagnostics'!$B$7*(((1-EXP(-B61/'Fit Diagnostics'!$B$9))/(B61/'Fit Diagnostics'!$B$9))-EXP(-B61/'Fit Diagnostics'!$B$9))</f>
        <v>4.3831037714871783E-2</v>
      </c>
      <c r="D61" s="29">
        <f t="shared" si="0"/>
        <v>0.89669591867999909</v>
      </c>
    </row>
    <row r="62" spans="1:4" ht="15" customHeight="1" x14ac:dyDescent="0.25">
      <c r="A62" s="26">
        <v>47192</v>
      </c>
      <c r="B62" s="27">
        <v>2.5287999999999999</v>
      </c>
      <c r="C62" s="28">
        <f>'Fit Diagnostics'!$B$4+'Fit Diagnostics'!$B$5*((1-EXP(-B62/'Fit Diagnostics'!$B$8))/(B62/'Fit Diagnostics'!$B$8))+'Fit Diagnostics'!$B$6*(((1-EXP(-B62/'Fit Diagnostics'!$B$8))/(B62/'Fit Diagnostics'!$B$8))-EXP(-B62/'Fit Diagnostics'!$B$8))+'Fit Diagnostics'!$B$7*(((1-EXP(-B62/'Fit Diagnostics'!$B$9))/(B62/'Fit Diagnostics'!$B$9))-EXP(-B62/'Fit Diagnostics'!$B$9))</f>
        <v>4.3870905985263151E-2</v>
      </c>
      <c r="D62" s="29">
        <f t="shared" si="0"/>
        <v>0.89499177825607856</v>
      </c>
    </row>
    <row r="63" spans="1:4" ht="15" customHeight="1" x14ac:dyDescent="0.25">
      <c r="A63" s="26">
        <v>47208</v>
      </c>
      <c r="B63" s="27">
        <v>2.5726</v>
      </c>
      <c r="C63" s="28">
        <f>'Fit Diagnostics'!$B$4+'Fit Diagnostics'!$B$5*((1-EXP(-B63/'Fit Diagnostics'!$B$8))/(B63/'Fit Diagnostics'!$B$8))+'Fit Diagnostics'!$B$6*(((1-EXP(-B63/'Fit Diagnostics'!$B$8))/(B63/'Fit Diagnostics'!$B$8))-EXP(-B63/'Fit Diagnostics'!$B$8))+'Fit Diagnostics'!$B$7*(((1-EXP(-B63/'Fit Diagnostics'!$B$9))/(B63/'Fit Diagnostics'!$B$9))-EXP(-B63/'Fit Diagnostics'!$B$9))</f>
        <v>4.3912165577204454E-2</v>
      </c>
      <c r="D63" s="29">
        <f t="shared" si="0"/>
        <v>0.89317885092878757</v>
      </c>
    </row>
    <row r="64" spans="1:4" ht="15" customHeight="1" x14ac:dyDescent="0.25">
      <c r="A64" s="26">
        <v>47223</v>
      </c>
      <c r="B64" s="27">
        <v>2.6137000000000001</v>
      </c>
      <c r="C64" s="28">
        <f>'Fit Diagnostics'!$B$4+'Fit Diagnostics'!$B$5*((1-EXP(-B64/'Fit Diagnostics'!$B$8))/(B64/'Fit Diagnostics'!$B$8))+'Fit Diagnostics'!$B$6*(((1-EXP(-B64/'Fit Diagnostics'!$B$8))/(B64/'Fit Diagnostics'!$B$8))-EXP(-B64/'Fit Diagnostics'!$B$8))+'Fit Diagnostics'!$B$7*(((1-EXP(-B64/'Fit Diagnostics'!$B$9))/(B64/'Fit Diagnostics'!$B$9))-EXP(-B64/'Fit Diagnostics'!$B$9))</f>
        <v>4.3949765678754152E-2</v>
      </c>
      <c r="D64" s="29">
        <f t="shared" si="0"/>
        <v>0.89148068953852821</v>
      </c>
    </row>
    <row r="65" spans="1:4" ht="15" customHeight="1" x14ac:dyDescent="0.25">
      <c r="A65" s="26">
        <v>47238</v>
      </c>
      <c r="B65" s="27">
        <v>2.6547999999999998</v>
      </c>
      <c r="C65" s="28">
        <f>'Fit Diagnostics'!$B$4+'Fit Diagnostics'!$B$5*((1-EXP(-B65/'Fit Diagnostics'!$B$8))/(B65/'Fit Diagnostics'!$B$8))+'Fit Diagnostics'!$B$6*(((1-EXP(-B65/'Fit Diagnostics'!$B$8))/(B65/'Fit Diagnostics'!$B$8))-EXP(-B65/'Fit Diagnostics'!$B$8))+'Fit Diagnostics'!$B$7*(((1-EXP(-B65/'Fit Diagnostics'!$B$9))/(B65/'Fit Diagnostics'!$B$9))-EXP(-B65/'Fit Diagnostics'!$B$9))</f>
        <v>4.3986319262416765E-2</v>
      </c>
      <c r="D65" s="29">
        <f t="shared" si="0"/>
        <v>0.88978547878922043</v>
      </c>
    </row>
    <row r="66" spans="1:4" ht="15" customHeight="1" x14ac:dyDescent="0.25">
      <c r="A66" s="26">
        <v>47253</v>
      </c>
      <c r="B66" s="27">
        <v>2.6959</v>
      </c>
      <c r="C66" s="28">
        <f>'Fit Diagnostics'!$B$4+'Fit Diagnostics'!$B$5*((1-EXP(-B66/'Fit Diagnostics'!$B$8))/(B66/'Fit Diagnostics'!$B$8))+'Fit Diagnostics'!$B$6*(((1-EXP(-B66/'Fit Diagnostics'!$B$8))/(B66/'Fit Diagnostics'!$B$8))-EXP(-B66/'Fit Diagnostics'!$B$8))+'Fit Diagnostics'!$B$7*(((1-EXP(-B66/'Fit Diagnostics'!$B$9))/(B66/'Fit Diagnostics'!$B$9))-EXP(-B66/'Fit Diagnostics'!$B$9))</f>
        <v>4.402185894336727E-2</v>
      </c>
      <c r="D66" s="29">
        <f t="shared" ref="D66:D129" si="1">EXP(-C66*B66)</f>
        <v>0.88809325063638844</v>
      </c>
    </row>
    <row r="67" spans="1:4" ht="15" customHeight="1" x14ac:dyDescent="0.25">
      <c r="A67" s="26">
        <v>47269</v>
      </c>
      <c r="B67" s="27">
        <v>2.7397</v>
      </c>
      <c r="C67" s="28">
        <f>'Fit Diagnostics'!$B$4+'Fit Diagnostics'!$B$5*((1-EXP(-B67/'Fit Diagnostics'!$B$8))/(B67/'Fit Diagnostics'!$B$8))+'Fit Diagnostics'!$B$6*(((1-EXP(-B67/'Fit Diagnostics'!$B$8))/(B67/'Fit Diagnostics'!$B$8))-EXP(-B67/'Fit Diagnostics'!$B$8))+'Fit Diagnostics'!$B$7*(((1-EXP(-B67/'Fit Diagnostics'!$B$9))/(B67/'Fit Diagnostics'!$B$9))-EXP(-B67/'Fit Diagnostics'!$B$9))</f>
        <v>4.4058653223203049E-2</v>
      </c>
      <c r="D67" s="29">
        <f t="shared" si="1"/>
        <v>0.88629316931415014</v>
      </c>
    </row>
    <row r="68" spans="1:4" ht="15" customHeight="1" x14ac:dyDescent="0.25">
      <c r="A68" s="26">
        <v>47284</v>
      </c>
      <c r="B68" s="27">
        <v>2.7808000000000002</v>
      </c>
      <c r="C68" s="28">
        <f>'Fit Diagnostics'!$B$4+'Fit Diagnostics'!$B$5*((1-EXP(-B68/'Fit Diagnostics'!$B$8))/(B68/'Fit Diagnostics'!$B$8))+'Fit Diagnostics'!$B$6*(((1-EXP(-B68/'Fit Diagnostics'!$B$8))/(B68/'Fit Diagnostics'!$B$8))-EXP(-B68/'Fit Diagnostics'!$B$8))+'Fit Diagnostics'!$B$7*(((1-EXP(-B68/'Fit Diagnostics'!$B$9))/(B68/'Fit Diagnostics'!$B$9))-EXP(-B68/'Fit Diagnostics'!$B$9))</f>
        <v>4.4092198739630828E-2</v>
      </c>
      <c r="D68" s="29">
        <f t="shared" si="1"/>
        <v>0.88460718943237771</v>
      </c>
    </row>
    <row r="69" spans="1:4" ht="15" customHeight="1" x14ac:dyDescent="0.25">
      <c r="A69" s="26">
        <v>47299</v>
      </c>
      <c r="B69" s="27">
        <v>2.8218999999999999</v>
      </c>
      <c r="C69" s="28">
        <f>'Fit Diagnostics'!$B$4+'Fit Diagnostics'!$B$5*((1-EXP(-B69/'Fit Diagnostics'!$B$8))/(B69/'Fit Diagnostics'!$B$8))+'Fit Diagnostics'!$B$6*(((1-EXP(-B69/'Fit Diagnostics'!$B$8))/(B69/'Fit Diagnostics'!$B$8))-EXP(-B69/'Fit Diagnostics'!$B$8))+'Fit Diagnostics'!$B$7*(((1-EXP(-B69/'Fit Diagnostics'!$B$9))/(B69/'Fit Diagnostics'!$B$9))-EXP(-B69/'Fit Diagnostics'!$B$9))</f>
        <v>4.412482598240814E-2</v>
      </c>
      <c r="D69" s="29">
        <f t="shared" si="1"/>
        <v>0.88292427004927643</v>
      </c>
    </row>
    <row r="70" spans="1:4" ht="15" customHeight="1" x14ac:dyDescent="0.25">
      <c r="A70" s="26">
        <v>47314</v>
      </c>
      <c r="B70" s="27">
        <v>2.863</v>
      </c>
      <c r="C70" s="28">
        <f>'Fit Diagnostics'!$B$4+'Fit Diagnostics'!$B$5*((1-EXP(-B70/'Fit Diagnostics'!$B$8))/(B70/'Fit Diagnostics'!$B$8))+'Fit Diagnostics'!$B$6*(((1-EXP(-B70/'Fit Diagnostics'!$B$8))/(B70/'Fit Diagnostics'!$B$8))-EXP(-B70/'Fit Diagnostics'!$B$8))+'Fit Diagnostics'!$B$7*(((1-EXP(-B70/'Fit Diagnostics'!$B$9))/(B70/'Fit Diagnostics'!$B$9))-EXP(-B70/'Fit Diagnostics'!$B$9))</f>
        <v>4.4156564766568929E-2</v>
      </c>
      <c r="D70" s="29">
        <f t="shared" si="1"/>
        <v>0.88124443045500633</v>
      </c>
    </row>
    <row r="71" spans="1:4" ht="15" customHeight="1" x14ac:dyDescent="0.25">
      <c r="A71" s="26">
        <v>47330</v>
      </c>
      <c r="B71" s="27">
        <v>2.9068000000000001</v>
      </c>
      <c r="C71" s="28">
        <f>'Fit Diagnostics'!$B$4+'Fit Diagnostics'!$B$5*((1-EXP(-B71/'Fit Diagnostics'!$B$8))/(B71/'Fit Diagnostics'!$B$8))+'Fit Diagnostics'!$B$6*(((1-EXP(-B71/'Fit Diagnostics'!$B$8))/(B71/'Fit Diagnostics'!$B$8))-EXP(-B71/'Fit Diagnostics'!$B$8))+'Fit Diagnostics'!$B$7*(((1-EXP(-B71/'Fit Diagnostics'!$B$9))/(B71/'Fit Diagnostics'!$B$9))-EXP(-B71/'Fit Diagnostics'!$B$9))</f>
        <v>4.4189443440697154E-2</v>
      </c>
      <c r="D71" s="29">
        <f t="shared" si="1"/>
        <v>0.87945764483737499</v>
      </c>
    </row>
    <row r="72" spans="1:4" ht="15" customHeight="1" x14ac:dyDescent="0.25">
      <c r="A72" s="26">
        <v>47345</v>
      </c>
      <c r="B72" s="27">
        <v>2.9479000000000002</v>
      </c>
      <c r="C72" s="28">
        <f>'Fit Diagnostics'!$B$4+'Fit Diagnostics'!$B$5*((1-EXP(-B72/'Fit Diagnostics'!$B$8))/(B72/'Fit Diagnostics'!$B$8))+'Fit Diagnostics'!$B$6*(((1-EXP(-B72/'Fit Diagnostics'!$B$8))/(B72/'Fit Diagnostics'!$B$8))-EXP(-B72/'Fit Diagnostics'!$B$8))+'Fit Diagnostics'!$B$7*(((1-EXP(-B72/'Fit Diagnostics'!$B$9))/(B72/'Fit Diagnostics'!$B$9))-EXP(-B72/'Fit Diagnostics'!$B$9))</f>
        <v>4.4219438541948528E-2</v>
      </c>
      <c r="D72" s="29">
        <f t="shared" si="1"/>
        <v>0.87778421628860481</v>
      </c>
    </row>
    <row r="73" spans="1:4" ht="15" customHeight="1" x14ac:dyDescent="0.25">
      <c r="A73" s="26">
        <v>47361</v>
      </c>
      <c r="B73" s="27">
        <v>2.9918</v>
      </c>
      <c r="C73" s="28">
        <f>'Fit Diagnostics'!$B$4+'Fit Diagnostics'!$B$5*((1-EXP(-B73/'Fit Diagnostics'!$B$8))/(B73/'Fit Diagnostics'!$B$8))+'Fit Diagnostics'!$B$6*(((1-EXP(-B73/'Fit Diagnostics'!$B$8))/(B73/'Fit Diagnostics'!$B$8))-EXP(-B73/'Fit Diagnostics'!$B$8))+'Fit Diagnostics'!$B$7*(((1-EXP(-B73/'Fit Diagnostics'!$B$9))/(B73/'Fit Diagnostics'!$B$9))-EXP(-B73/'Fit Diagnostics'!$B$9))</f>
        <v>4.4250592969998344E-2</v>
      </c>
      <c r="D73" s="29">
        <f t="shared" si="1"/>
        <v>0.87600023126237014</v>
      </c>
    </row>
    <row r="74" spans="1:4" ht="15" customHeight="1" x14ac:dyDescent="0.25">
      <c r="A74" s="26">
        <v>47391</v>
      </c>
      <c r="B74" s="27">
        <v>3.0739999999999998</v>
      </c>
      <c r="C74" s="28">
        <f>'Fit Diagnostics'!$B$4+'Fit Diagnostics'!$B$5*((1-EXP(-B74/'Fit Diagnostics'!$B$8))/(B74/'Fit Diagnostics'!$B$8))+'Fit Diagnostics'!$B$6*(((1-EXP(-B74/'Fit Diagnostics'!$B$8))/(B74/'Fit Diagnostics'!$B$8))-EXP(-B74/'Fit Diagnostics'!$B$8))+'Fit Diagnostics'!$B$7*(((1-EXP(-B74/'Fit Diagnostics'!$B$9))/(B74/'Fit Diagnostics'!$B$9))-EXP(-B74/'Fit Diagnostics'!$B$9))</f>
        <v>4.4306584240769151E-2</v>
      </c>
      <c r="D74" s="29">
        <f t="shared" si="1"/>
        <v>0.87266944281946834</v>
      </c>
    </row>
    <row r="75" spans="1:4" ht="15" customHeight="1" x14ac:dyDescent="0.25">
      <c r="A75" s="26">
        <v>47422</v>
      </c>
      <c r="B75" s="27">
        <v>3.1589</v>
      </c>
      <c r="C75" s="28">
        <f>'Fit Diagnostics'!$B$4+'Fit Diagnostics'!$B$5*((1-EXP(-B75/'Fit Diagnostics'!$B$8))/(B75/'Fit Diagnostics'!$B$8))+'Fit Diagnostics'!$B$6*(((1-EXP(-B75/'Fit Diagnostics'!$B$8))/(B75/'Fit Diagnostics'!$B$8))-EXP(-B75/'Fit Diagnostics'!$B$8))+'Fit Diagnostics'!$B$7*(((1-EXP(-B75/'Fit Diagnostics'!$B$9))/(B75/'Fit Diagnostics'!$B$9))-EXP(-B75/'Fit Diagnostics'!$B$9))</f>
        <v>4.4361394962923413E-2</v>
      </c>
      <c r="D75" s="29">
        <f t="shared" si="1"/>
        <v>0.86924243542459101</v>
      </c>
    </row>
    <row r="76" spans="1:4" ht="15" customHeight="1" x14ac:dyDescent="0.25">
      <c r="A76" s="26">
        <v>47437</v>
      </c>
      <c r="B76" s="27">
        <v>3.2</v>
      </c>
      <c r="C76" s="28">
        <f>'Fit Diagnostics'!$B$4+'Fit Diagnostics'!$B$5*((1-EXP(-B76/'Fit Diagnostics'!$B$8))/(B76/'Fit Diagnostics'!$B$8))+'Fit Diagnostics'!$B$6*(((1-EXP(-B76/'Fit Diagnostics'!$B$8))/(B76/'Fit Diagnostics'!$B$8))-EXP(-B76/'Fit Diagnostics'!$B$8))+'Fit Diagnostics'!$B$7*(((1-EXP(-B76/'Fit Diagnostics'!$B$9))/(B76/'Fit Diagnostics'!$B$9))-EXP(-B76/'Fit Diagnostics'!$B$9))</f>
        <v>4.4386891788356489E-2</v>
      </c>
      <c r="D76" s="29">
        <f t="shared" si="1"/>
        <v>0.86758824089536279</v>
      </c>
    </row>
    <row r="77" spans="1:4" ht="15" customHeight="1" x14ac:dyDescent="0.25">
      <c r="A77" s="26">
        <v>47452</v>
      </c>
      <c r="B77" s="27">
        <v>3.2410999999999999</v>
      </c>
      <c r="C77" s="28">
        <f>'Fit Diagnostics'!$B$4+'Fit Diagnostics'!$B$5*((1-EXP(-B77/'Fit Diagnostics'!$B$8))/(B77/'Fit Diagnostics'!$B$8))+'Fit Diagnostics'!$B$6*(((1-EXP(-B77/'Fit Diagnostics'!$B$8))/(B77/'Fit Diagnostics'!$B$8))-EXP(-B77/'Fit Diagnostics'!$B$8))+'Fit Diagnostics'!$B$7*(((1-EXP(-B77/'Fit Diagnostics'!$B$9))/(B77/'Fit Diagnostics'!$B$9))-EXP(-B77/'Fit Diagnostics'!$B$9))</f>
        <v>4.4411745113551893E-2</v>
      </c>
      <c r="D77" s="29">
        <f t="shared" si="1"/>
        <v>0.86593718552386212</v>
      </c>
    </row>
    <row r="78" spans="1:4" ht="15" customHeight="1" x14ac:dyDescent="0.25">
      <c r="A78" s="26">
        <v>47483</v>
      </c>
      <c r="B78" s="27">
        <v>3.3260000000000001</v>
      </c>
      <c r="C78" s="28">
        <f>'Fit Diagnostics'!$B$4+'Fit Diagnostics'!$B$5*((1-EXP(-B78/'Fit Diagnostics'!$B$8))/(B78/'Fit Diagnostics'!$B$8))+'Fit Diagnostics'!$B$6*(((1-EXP(-B78/'Fit Diagnostics'!$B$8))/(B78/'Fit Diagnostics'!$B$8))-EXP(-B78/'Fit Diagnostics'!$B$8))+'Fit Diagnostics'!$B$7*(((1-EXP(-B78/'Fit Diagnostics'!$B$9))/(B78/'Fit Diagnostics'!$B$9))-EXP(-B78/'Fit Diagnostics'!$B$9))</f>
        <v>4.4461147773644891E-2</v>
      </c>
      <c r="D78" s="29">
        <f t="shared" si="1"/>
        <v>0.86253652987508767</v>
      </c>
    </row>
    <row r="79" spans="1:4" ht="15" customHeight="1" x14ac:dyDescent="0.25">
      <c r="A79" s="26">
        <v>47514</v>
      </c>
      <c r="B79" s="27">
        <v>3.411</v>
      </c>
      <c r="C79" s="28">
        <f>'Fit Diagnostics'!$B$4+'Fit Diagnostics'!$B$5*((1-EXP(-B79/'Fit Diagnostics'!$B$8))/(B79/'Fit Diagnostics'!$B$8))+'Fit Diagnostics'!$B$6*(((1-EXP(-B79/'Fit Diagnostics'!$B$8))/(B79/'Fit Diagnostics'!$B$8))-EXP(-B79/'Fit Diagnostics'!$B$8))+'Fit Diagnostics'!$B$7*(((1-EXP(-B79/'Fit Diagnostics'!$B$9))/(B79/'Fit Diagnostics'!$B$9))-EXP(-B79/'Fit Diagnostics'!$B$9))</f>
        <v>4.4508160041374145E-2</v>
      </c>
      <c r="D79" s="29">
        <f t="shared" si="1"/>
        <v>0.8591452031111062</v>
      </c>
    </row>
    <row r="80" spans="1:4" ht="15" customHeight="1" x14ac:dyDescent="0.25">
      <c r="A80" s="26">
        <v>47529</v>
      </c>
      <c r="B80" s="27">
        <v>3.4521000000000002</v>
      </c>
      <c r="C80" s="28">
        <f>'Fit Diagnostics'!$B$4+'Fit Diagnostics'!$B$5*((1-EXP(-B80/'Fit Diagnostics'!$B$8))/(B80/'Fit Diagnostics'!$B$8))+'Fit Diagnostics'!$B$6*(((1-EXP(-B80/'Fit Diagnostics'!$B$8))/(B80/'Fit Diagnostics'!$B$8))-EXP(-B80/'Fit Diagnostics'!$B$8))+'Fit Diagnostics'!$B$7*(((1-EXP(-B80/'Fit Diagnostics'!$B$9))/(B80/'Fit Diagnostics'!$B$9))-EXP(-B80/'Fit Diagnostics'!$B$9))</f>
        <v>4.4530070571263555E-2</v>
      </c>
      <c r="D80" s="29">
        <f t="shared" si="1"/>
        <v>0.85751015570959666</v>
      </c>
    </row>
    <row r="81" spans="1:4" ht="15" customHeight="1" x14ac:dyDescent="0.25">
      <c r="A81" s="26">
        <v>47542</v>
      </c>
      <c r="B81" s="27">
        <v>3.4876999999999998</v>
      </c>
      <c r="C81" s="28">
        <f>'Fit Diagnostics'!$B$4+'Fit Diagnostics'!$B$5*((1-EXP(-B81/'Fit Diagnostics'!$B$8))/(B81/'Fit Diagnostics'!$B$8))+'Fit Diagnostics'!$B$6*(((1-EXP(-B81/'Fit Diagnostics'!$B$8))/(B81/'Fit Diagnostics'!$B$8))-EXP(-B81/'Fit Diagnostics'!$B$8))+'Fit Diagnostics'!$B$7*(((1-EXP(-B81/'Fit Diagnostics'!$B$9))/(B81/'Fit Diagnostics'!$B$9))-EXP(-B81/'Fit Diagnostics'!$B$9))</f>
        <v>4.4548638728097778E-2</v>
      </c>
      <c r="D81" s="29">
        <f t="shared" si="1"/>
        <v>0.85609640433764933</v>
      </c>
    </row>
    <row r="82" spans="1:4" ht="15" customHeight="1" x14ac:dyDescent="0.25">
      <c r="A82" s="26">
        <v>47573</v>
      </c>
      <c r="B82" s="27">
        <v>3.5726</v>
      </c>
      <c r="C82" s="28">
        <f>'Fit Diagnostics'!$B$4+'Fit Diagnostics'!$B$5*((1-EXP(-B82/'Fit Diagnostics'!$B$8))/(B82/'Fit Diagnostics'!$B$8))+'Fit Diagnostics'!$B$6*(((1-EXP(-B82/'Fit Diagnostics'!$B$8))/(B82/'Fit Diagnostics'!$B$8))-EXP(-B82/'Fit Diagnostics'!$B$8))+'Fit Diagnostics'!$B$7*(((1-EXP(-B82/'Fit Diagnostics'!$B$9))/(B82/'Fit Diagnostics'!$B$9))-EXP(-B82/'Fit Diagnostics'!$B$9))</f>
        <v>4.4591464245942035E-2</v>
      </c>
      <c r="D82" s="29">
        <f t="shared" si="1"/>
        <v>0.85273413261763187</v>
      </c>
    </row>
    <row r="83" spans="1:4" ht="15" customHeight="1" x14ac:dyDescent="0.25">
      <c r="A83" s="26">
        <v>47603</v>
      </c>
      <c r="B83" s="27">
        <v>3.6547999999999998</v>
      </c>
      <c r="C83" s="28">
        <f>'Fit Diagnostics'!$B$4+'Fit Diagnostics'!$B$5*((1-EXP(-B83/'Fit Diagnostics'!$B$8))/(B83/'Fit Diagnostics'!$B$8))+'Fit Diagnostics'!$B$6*(((1-EXP(-B83/'Fit Diagnostics'!$B$8))/(B83/'Fit Diagnostics'!$B$8))-EXP(-B83/'Fit Diagnostics'!$B$8))+'Fit Diagnostics'!$B$7*(((1-EXP(-B83/'Fit Diagnostics'!$B$9))/(B83/'Fit Diagnostics'!$B$9))-EXP(-B83/'Fit Diagnostics'!$B$9))</f>
        <v>4.4631103904397888E-2</v>
      </c>
      <c r="D83" s="29">
        <f t="shared" si="1"/>
        <v>0.84949114767876688</v>
      </c>
    </row>
    <row r="84" spans="1:4" ht="15" customHeight="1" x14ac:dyDescent="0.25">
      <c r="A84" s="26">
        <v>47618</v>
      </c>
      <c r="B84" s="27">
        <v>3.6959</v>
      </c>
      <c r="C84" s="28">
        <f>'Fit Diagnostics'!$B$4+'Fit Diagnostics'!$B$5*((1-EXP(-B84/'Fit Diagnostics'!$B$8))/(B84/'Fit Diagnostics'!$B$8))+'Fit Diagnostics'!$B$6*(((1-EXP(-B84/'Fit Diagnostics'!$B$8))/(B84/'Fit Diagnostics'!$B$8))-EXP(-B84/'Fit Diagnostics'!$B$8))+'Fit Diagnostics'!$B$7*(((1-EXP(-B84/'Fit Diagnostics'!$B$9))/(B84/'Fit Diagnostics'!$B$9))-EXP(-B84/'Fit Diagnostics'!$B$9))</f>
        <v>4.4650298891935364E-2</v>
      </c>
      <c r="D84" s="29">
        <f t="shared" si="1"/>
        <v>0.84787416911783064</v>
      </c>
    </row>
    <row r="85" spans="1:4" ht="15" customHeight="1" x14ac:dyDescent="0.25">
      <c r="A85" s="26">
        <v>47634</v>
      </c>
      <c r="B85" s="27">
        <v>3.7397</v>
      </c>
      <c r="C85" s="28">
        <f>'Fit Diagnostics'!$B$4+'Fit Diagnostics'!$B$5*((1-EXP(-B85/'Fit Diagnostics'!$B$8))/(B85/'Fit Diagnostics'!$B$8))+'Fit Diagnostics'!$B$6*(((1-EXP(-B85/'Fit Diagnostics'!$B$8))/(B85/'Fit Diagnostics'!$B$8))-EXP(-B85/'Fit Diagnostics'!$B$8))+'Fit Diagnostics'!$B$7*(((1-EXP(-B85/'Fit Diagnostics'!$B$9))/(B85/'Fit Diagnostics'!$B$9))-EXP(-B85/'Fit Diagnostics'!$B$9))</f>
        <v>4.4670323632093153E-2</v>
      </c>
      <c r="D85" s="29">
        <f t="shared" si="1"/>
        <v>0.84615424839536502</v>
      </c>
    </row>
    <row r="86" spans="1:4" ht="15" customHeight="1" x14ac:dyDescent="0.25">
      <c r="A86" s="26">
        <v>47664</v>
      </c>
      <c r="B86" s="27">
        <v>3.8218999999999999</v>
      </c>
      <c r="C86" s="28">
        <f>'Fit Diagnostics'!$B$4+'Fit Diagnostics'!$B$5*((1-EXP(-B86/'Fit Diagnostics'!$B$8))/(B86/'Fit Diagnostics'!$B$8))+'Fit Diagnostics'!$B$6*(((1-EXP(-B86/'Fit Diagnostics'!$B$8))/(B86/'Fit Diagnostics'!$B$8))-EXP(-B86/'Fit Diagnostics'!$B$8))+'Fit Diagnostics'!$B$7*(((1-EXP(-B86/'Fit Diagnostics'!$B$9))/(B86/'Fit Diagnostics'!$B$9))-EXP(-B86/'Fit Diagnostics'!$B$9))</f>
        <v>4.4706776428280172E-2</v>
      </c>
      <c r="D86" s="29">
        <f t="shared" si="1"/>
        <v>0.84293550634880554</v>
      </c>
    </row>
    <row r="87" spans="1:4" ht="15" customHeight="1" x14ac:dyDescent="0.25">
      <c r="A87" s="26">
        <v>47695</v>
      </c>
      <c r="B87" s="27">
        <v>3.9068000000000001</v>
      </c>
      <c r="C87" s="28">
        <f>'Fit Diagnostics'!$B$4+'Fit Diagnostics'!$B$5*((1-EXP(-B87/'Fit Diagnostics'!$B$8))/(B87/'Fit Diagnostics'!$B$8))+'Fit Diagnostics'!$B$6*(((1-EXP(-B87/'Fit Diagnostics'!$B$8))/(B87/'Fit Diagnostics'!$B$8))-EXP(-B87/'Fit Diagnostics'!$B$8))+'Fit Diagnostics'!$B$7*(((1-EXP(-B87/'Fit Diagnostics'!$B$9))/(B87/'Fit Diagnostics'!$B$9))-EXP(-B87/'Fit Diagnostics'!$B$9))</f>
        <v>4.4743003512893675E-2</v>
      </c>
      <c r="D87" s="29">
        <f t="shared" si="1"/>
        <v>0.83962327815837468</v>
      </c>
    </row>
    <row r="88" spans="1:4" ht="15" customHeight="1" x14ac:dyDescent="0.25">
      <c r="A88" s="26">
        <v>47710</v>
      </c>
      <c r="B88" s="27">
        <v>3.9479000000000002</v>
      </c>
      <c r="C88" s="28">
        <f>'Fit Diagnostics'!$B$4+'Fit Diagnostics'!$B$5*((1-EXP(-B88/'Fit Diagnostics'!$B$8))/(B88/'Fit Diagnostics'!$B$8))+'Fit Diagnostics'!$B$6*(((1-EXP(-B88/'Fit Diagnostics'!$B$8))/(B88/'Fit Diagnostics'!$B$8))-EXP(-B88/'Fit Diagnostics'!$B$8))+'Fit Diagnostics'!$B$7*(((1-EXP(-B88/'Fit Diagnostics'!$B$9))/(B88/'Fit Diagnostics'!$B$9))-EXP(-B88/'Fit Diagnostics'!$B$9))</f>
        <v>4.4760063808261689E-2</v>
      </c>
      <c r="D88" s="29">
        <f t="shared" si="1"/>
        <v>0.83802423748211174</v>
      </c>
    </row>
    <row r="89" spans="1:4" ht="15" customHeight="1" x14ac:dyDescent="0.25">
      <c r="A89" s="26">
        <v>47726</v>
      </c>
      <c r="B89" s="27">
        <v>3.9918</v>
      </c>
      <c r="C89" s="28">
        <f>'Fit Diagnostics'!$B$4+'Fit Diagnostics'!$B$5*((1-EXP(-B89/'Fit Diagnostics'!$B$8))/(B89/'Fit Diagnostics'!$B$8))+'Fit Diagnostics'!$B$6*(((1-EXP(-B89/'Fit Diagnostics'!$B$8))/(B89/'Fit Diagnostics'!$B$8))-EXP(-B89/'Fit Diagnostics'!$B$8))+'Fit Diagnostics'!$B$7*(((1-EXP(-B89/'Fit Diagnostics'!$B$9))/(B89/'Fit Diagnostics'!$B$9))-EXP(-B89/'Fit Diagnostics'!$B$9))</f>
        <v>4.4777966421546474E-2</v>
      </c>
      <c r="D89" s="29">
        <f t="shared" si="1"/>
        <v>0.8363193958894809</v>
      </c>
    </row>
    <row r="90" spans="1:4" ht="15" customHeight="1" x14ac:dyDescent="0.25">
      <c r="A90" s="26">
        <v>47756</v>
      </c>
      <c r="B90" s="27">
        <v>4.0739999999999998</v>
      </c>
      <c r="C90" s="28">
        <f>'Fit Diagnostics'!$B$4+'Fit Diagnostics'!$B$5*((1-EXP(-B90/'Fit Diagnostics'!$B$8))/(B90/'Fit Diagnostics'!$B$8))+'Fit Diagnostics'!$B$6*(((1-EXP(-B90/'Fit Diagnostics'!$B$8))/(B90/'Fit Diagnostics'!$B$8))-EXP(-B90/'Fit Diagnostics'!$B$8))+'Fit Diagnostics'!$B$7*(((1-EXP(-B90/'Fit Diagnostics'!$B$9))/(B90/'Fit Diagnostics'!$B$9))-EXP(-B90/'Fit Diagnostics'!$B$9))</f>
        <v>4.4810662074887889E-2</v>
      </c>
      <c r="D90" s="29">
        <f t="shared" si="1"/>
        <v>0.83313578966851842</v>
      </c>
    </row>
    <row r="91" spans="1:4" ht="15" customHeight="1" x14ac:dyDescent="0.25">
      <c r="A91" s="26">
        <v>47787</v>
      </c>
      <c r="B91" s="27">
        <v>4.1589</v>
      </c>
      <c r="C91" s="28">
        <f>'Fit Diagnostics'!$B$4+'Fit Diagnostics'!$B$5*((1-EXP(-B91/'Fit Diagnostics'!$B$8))/(B91/'Fit Diagnostics'!$B$8))+'Fit Diagnostics'!$B$6*(((1-EXP(-B91/'Fit Diagnostics'!$B$8))/(B91/'Fit Diagnostics'!$B$8))-EXP(-B91/'Fit Diagnostics'!$B$8))+'Fit Diagnostics'!$B$7*(((1-EXP(-B91/'Fit Diagnostics'!$B$9))/(B91/'Fit Diagnostics'!$B$9))-EXP(-B91/'Fit Diagnostics'!$B$9))</f>
        <v>4.4843405748378251E-2</v>
      </c>
      <c r="D91" s="29">
        <f t="shared" si="1"/>
        <v>0.82985919250556395</v>
      </c>
    </row>
    <row r="92" spans="1:4" ht="15" customHeight="1" x14ac:dyDescent="0.25">
      <c r="A92" s="26">
        <v>47802</v>
      </c>
      <c r="B92" s="27">
        <v>4.2</v>
      </c>
      <c r="C92" s="28">
        <f>'Fit Diagnostics'!$B$4+'Fit Diagnostics'!$B$5*((1-EXP(-B92/'Fit Diagnostics'!$B$8))/(B92/'Fit Diagnostics'!$B$8))+'Fit Diagnostics'!$B$6*(((1-EXP(-B92/'Fit Diagnostics'!$B$8))/(B92/'Fit Diagnostics'!$B$8))-EXP(-B92/'Fit Diagnostics'!$B$8))+'Fit Diagnostics'!$B$7*(((1-EXP(-B92/'Fit Diagnostics'!$B$9))/(B92/'Fit Diagnostics'!$B$9))-EXP(-B92/'Fit Diagnostics'!$B$9))</f>
        <v>4.4858918579516779E-2</v>
      </c>
      <c r="D92" s="29">
        <f t="shared" si="1"/>
        <v>0.82827715028796722</v>
      </c>
    </row>
    <row r="93" spans="1:4" ht="15" customHeight="1" x14ac:dyDescent="0.25">
      <c r="A93" s="26">
        <v>47817</v>
      </c>
      <c r="B93" s="27">
        <v>4.2411000000000003</v>
      </c>
      <c r="C93" s="28">
        <f>'Fit Diagnostics'!$B$4+'Fit Diagnostics'!$B$5*((1-EXP(-B93/'Fit Diagnostics'!$B$8))/(B93/'Fit Diagnostics'!$B$8))+'Fit Diagnostics'!$B$6*(((1-EXP(-B93/'Fit Diagnostics'!$B$8))/(B93/'Fit Diagnostics'!$B$8))-EXP(-B93/'Fit Diagnostics'!$B$8))+'Fit Diagnostics'!$B$7*(((1-EXP(-B93/'Fit Diagnostics'!$B$9))/(B93/'Fit Diagnostics'!$B$9))-EXP(-B93/'Fit Diagnostics'!$B$9))</f>
        <v>4.4874228870148095E-2</v>
      </c>
      <c r="D93" s="29">
        <f t="shared" si="1"/>
        <v>0.82669778003432226</v>
      </c>
    </row>
    <row r="94" spans="1:4" ht="15" customHeight="1" x14ac:dyDescent="0.25">
      <c r="A94" s="26">
        <v>47848</v>
      </c>
      <c r="B94" s="27">
        <v>4.3259999999999996</v>
      </c>
      <c r="C94" s="28">
        <f>'Fit Diagnostics'!$B$4+'Fit Diagnostics'!$B$5*((1-EXP(-B94/'Fit Diagnostics'!$B$8))/(B94/'Fit Diagnostics'!$B$8))+'Fit Diagnostics'!$B$6*(((1-EXP(-B94/'Fit Diagnostics'!$B$8))/(B94/'Fit Diagnostics'!$B$8))-EXP(-B94/'Fit Diagnostics'!$B$8))+'Fit Diagnostics'!$B$7*(((1-EXP(-B94/'Fit Diagnostics'!$B$9))/(B94/'Fit Diagnostics'!$B$9))-EXP(-B94/'Fit Diagnostics'!$B$9))</f>
        <v>4.4905269230705605E-2</v>
      </c>
      <c r="D94" s="29">
        <f t="shared" si="1"/>
        <v>0.82344362073276389</v>
      </c>
    </row>
    <row r="95" spans="1:4" ht="15" customHeight="1" x14ac:dyDescent="0.25">
      <c r="A95" s="26">
        <v>47879</v>
      </c>
      <c r="B95" s="27">
        <v>4.4109999999999996</v>
      </c>
      <c r="C95" s="28">
        <f>'Fit Diagnostics'!$B$4+'Fit Diagnostics'!$B$5*((1-EXP(-B95/'Fit Diagnostics'!$B$8))/(B95/'Fit Diagnostics'!$B$8))+'Fit Diagnostics'!$B$6*(((1-EXP(-B95/'Fit Diagnostics'!$B$8))/(B95/'Fit Diagnostics'!$B$8))-EXP(-B95/'Fit Diagnostics'!$B$8))+'Fit Diagnostics'!$B$7*(((1-EXP(-B95/'Fit Diagnostics'!$B$9))/(B95/'Fit Diagnostics'!$B$9))-EXP(-B95/'Fit Diagnostics'!$B$9))</f>
        <v>4.493564557263275E-2</v>
      </c>
      <c r="D95" s="29">
        <f t="shared" si="1"/>
        <v>0.82019666458416451</v>
      </c>
    </row>
    <row r="96" spans="1:4" ht="15" customHeight="1" x14ac:dyDescent="0.25">
      <c r="A96" s="26">
        <v>47894</v>
      </c>
      <c r="B96" s="27">
        <v>4.4520999999999997</v>
      </c>
      <c r="C96" s="28">
        <f>'Fit Diagnostics'!$B$4+'Fit Diagnostics'!$B$5*((1-EXP(-B96/'Fit Diagnostics'!$B$8))/(B96/'Fit Diagnostics'!$B$8))+'Fit Diagnostics'!$B$6*(((1-EXP(-B96/'Fit Diagnostics'!$B$8))/(B96/'Fit Diagnostics'!$B$8))-EXP(-B96/'Fit Diagnostics'!$B$8))+'Fit Diagnostics'!$B$7*(((1-EXP(-B96/'Fit Diagnostics'!$B$9))/(B96/'Fit Diagnostics'!$B$9))-EXP(-B96/'Fit Diagnostics'!$B$9))</f>
        <v>4.4950113180593644E-2</v>
      </c>
      <c r="D96" s="29">
        <f t="shared" si="1"/>
        <v>0.8186305474741673</v>
      </c>
    </row>
    <row r="97" spans="1:4" ht="15" customHeight="1" x14ac:dyDescent="0.25">
      <c r="A97" s="26">
        <v>47907</v>
      </c>
      <c r="B97" s="27">
        <v>4.4877000000000002</v>
      </c>
      <c r="C97" s="28">
        <f>'Fit Diagnostics'!$B$4+'Fit Diagnostics'!$B$5*((1-EXP(-B97/'Fit Diagnostics'!$B$8))/(B97/'Fit Diagnostics'!$B$8))+'Fit Diagnostics'!$B$6*(((1-EXP(-B97/'Fit Diagnostics'!$B$8))/(B97/'Fit Diagnostics'!$B$8))-EXP(-B97/'Fit Diagnostics'!$B$8))+'Fit Diagnostics'!$B$7*(((1-EXP(-B97/'Fit Diagnostics'!$B$9))/(B97/'Fit Diagnostics'!$B$9))-EXP(-B97/'Fit Diagnostics'!$B$9))</f>
        <v>4.4962540778574173E-2</v>
      </c>
      <c r="D97" s="29">
        <f t="shared" si="1"/>
        <v>0.81727602093980778</v>
      </c>
    </row>
    <row r="98" spans="1:4" ht="15" customHeight="1" x14ac:dyDescent="0.25">
      <c r="A98" s="26">
        <v>47938</v>
      </c>
      <c r="B98" s="27">
        <v>4.5726000000000004</v>
      </c>
      <c r="C98" s="28">
        <f>'Fit Diagnostics'!$B$4+'Fit Diagnostics'!$B$5*((1-EXP(-B98/'Fit Diagnostics'!$B$8))/(B98/'Fit Diagnostics'!$B$8))+'Fit Diagnostics'!$B$6*(((1-EXP(-B98/'Fit Diagnostics'!$B$8))/(B98/'Fit Diagnostics'!$B$8))-EXP(-B98/'Fit Diagnostics'!$B$8))+'Fit Diagnostics'!$B$7*(((1-EXP(-B98/'Fit Diagnostics'!$B$9))/(B98/'Fit Diagnostics'!$B$9))-EXP(-B98/'Fit Diagnostics'!$B$9))</f>
        <v>4.499183242449345E-2</v>
      </c>
      <c r="D98" s="29">
        <f t="shared" si="1"/>
        <v>0.81405312340218006</v>
      </c>
    </row>
    <row r="99" spans="1:4" ht="15" customHeight="1" x14ac:dyDescent="0.25">
      <c r="A99" s="26">
        <v>47968</v>
      </c>
      <c r="B99" s="27">
        <v>4.6547999999999998</v>
      </c>
      <c r="C99" s="28">
        <f>'Fit Diagnostics'!$B$4+'Fit Diagnostics'!$B$5*((1-EXP(-B99/'Fit Diagnostics'!$B$8))/(B99/'Fit Diagnostics'!$B$8))+'Fit Diagnostics'!$B$6*(((1-EXP(-B99/'Fit Diagnostics'!$B$8))/(B99/'Fit Diagnostics'!$B$8))-EXP(-B99/'Fit Diagnostics'!$B$8))+'Fit Diagnostics'!$B$7*(((1-EXP(-B99/'Fit Diagnostics'!$B$9))/(B99/'Fit Diagnostics'!$B$9))-EXP(-B99/'Fit Diagnostics'!$B$9))</f>
        <v>4.501979803217547E-2</v>
      </c>
      <c r="D99" s="29">
        <f t="shared" si="1"/>
        <v>0.81094247698820199</v>
      </c>
    </row>
    <row r="100" spans="1:4" ht="15" customHeight="1" x14ac:dyDescent="0.25">
      <c r="A100" s="26">
        <v>47983</v>
      </c>
      <c r="B100" s="27">
        <v>4.6959</v>
      </c>
      <c r="C100" s="28">
        <f>'Fit Diagnostics'!$B$4+'Fit Diagnostics'!$B$5*((1-EXP(-B100/'Fit Diagnostics'!$B$8))/(B100/'Fit Diagnostics'!$B$8))+'Fit Diagnostics'!$B$6*(((1-EXP(-B100/'Fit Diagnostics'!$B$8))/(B100/'Fit Diagnostics'!$B$8))-EXP(-B100/'Fit Diagnostics'!$B$8))+'Fit Diagnostics'!$B$7*(((1-EXP(-B100/'Fit Diagnostics'!$B$9))/(B100/'Fit Diagnostics'!$B$9))-EXP(-B100/'Fit Diagnostics'!$B$9))</f>
        <v>4.5033660785089406E-2</v>
      </c>
      <c r="D100" s="29">
        <f t="shared" si="1"/>
        <v>0.80939067484273564</v>
      </c>
    </row>
    <row r="101" spans="1:4" ht="15" customHeight="1" x14ac:dyDescent="0.25">
      <c r="A101" s="26">
        <v>47999</v>
      </c>
      <c r="B101" s="27">
        <v>4.7397</v>
      </c>
      <c r="C101" s="28">
        <f>'Fit Diagnostics'!$B$4+'Fit Diagnostics'!$B$5*((1-EXP(-B101/'Fit Diagnostics'!$B$8))/(B101/'Fit Diagnostics'!$B$8))+'Fit Diagnostics'!$B$6*(((1-EXP(-B101/'Fit Diagnostics'!$B$8))/(B101/'Fit Diagnostics'!$B$8))-EXP(-B101/'Fit Diagnostics'!$B$8))+'Fit Diagnostics'!$B$7*(((1-EXP(-B101/'Fit Diagnostics'!$B$9))/(B101/'Fit Diagnostics'!$B$9))-EXP(-B101/'Fit Diagnostics'!$B$9))</f>
        <v>4.5048360508887178E-2</v>
      </c>
      <c r="D101" s="29">
        <f t="shared" si="1"/>
        <v>0.80773946698731602</v>
      </c>
    </row>
    <row r="102" spans="1:4" ht="15" customHeight="1" x14ac:dyDescent="0.25">
      <c r="A102" s="26">
        <v>48029</v>
      </c>
      <c r="B102" s="27">
        <v>4.8219000000000003</v>
      </c>
      <c r="C102" s="28">
        <f>'Fit Diagnostics'!$B$4+'Fit Diagnostics'!$B$5*((1-EXP(-B102/'Fit Diagnostics'!$B$8))/(B102/'Fit Diagnostics'!$B$8))+'Fit Diagnostics'!$B$6*(((1-EXP(-B102/'Fit Diagnostics'!$B$8))/(B102/'Fit Diagnostics'!$B$8))-EXP(-B102/'Fit Diagnostics'!$B$8))+'Fit Diagnostics'!$B$7*(((1-EXP(-B102/'Fit Diagnostics'!$B$9))/(B102/'Fit Diagnostics'!$B$9))-EXP(-B102/'Fit Diagnostics'!$B$9))</f>
        <v>4.5075780645614461E-2</v>
      </c>
      <c r="D102" s="29">
        <f t="shared" si="1"/>
        <v>0.80464756354162947</v>
      </c>
    </row>
    <row r="103" spans="1:4" ht="15" customHeight="1" x14ac:dyDescent="0.25">
      <c r="A103" s="26">
        <v>48060</v>
      </c>
      <c r="B103" s="27">
        <v>4.9067999999999996</v>
      </c>
      <c r="C103" s="28">
        <f>'Fit Diagnostics'!$B$4+'Fit Diagnostics'!$B$5*((1-EXP(-B103/'Fit Diagnostics'!$B$8))/(B103/'Fit Diagnostics'!$B$8))+'Fit Diagnostics'!$B$6*(((1-EXP(-B103/'Fit Diagnostics'!$B$8))/(B103/'Fit Diagnostics'!$B$8))-EXP(-B103/'Fit Diagnostics'!$B$8))+'Fit Diagnostics'!$B$7*(((1-EXP(-B103/'Fit Diagnostics'!$B$9))/(B103/'Fit Diagnostics'!$B$9))-EXP(-B103/'Fit Diagnostics'!$B$9))</f>
        <v>4.5103936005908146E-2</v>
      </c>
      <c r="D103" s="29">
        <f t="shared" si="1"/>
        <v>0.80146338329804601</v>
      </c>
    </row>
    <row r="104" spans="1:4" ht="15" customHeight="1" x14ac:dyDescent="0.25">
      <c r="A104" s="26">
        <v>48075</v>
      </c>
      <c r="B104" s="27">
        <v>4.9478999999999997</v>
      </c>
      <c r="C104" s="28">
        <f>'Fit Diagnostics'!$B$4+'Fit Diagnostics'!$B$5*((1-EXP(-B104/'Fit Diagnostics'!$B$8))/(B104/'Fit Diagnostics'!$B$8))+'Fit Diagnostics'!$B$6*(((1-EXP(-B104/'Fit Diagnostics'!$B$8))/(B104/'Fit Diagnostics'!$B$8))-EXP(-B104/'Fit Diagnostics'!$B$8))+'Fit Diagnostics'!$B$7*(((1-EXP(-B104/'Fit Diagnostics'!$B$9))/(B104/'Fit Diagnostics'!$B$9))-EXP(-B104/'Fit Diagnostics'!$B$9))</f>
        <v>4.5117527402474635E-2</v>
      </c>
      <c r="D104" s="29">
        <f t="shared" si="1"/>
        <v>0.7999252334775927</v>
      </c>
    </row>
    <row r="105" spans="1:4" ht="15" customHeight="1" x14ac:dyDescent="0.25">
      <c r="A105" s="26">
        <v>48091</v>
      </c>
      <c r="B105" s="27">
        <v>4.9917999999999996</v>
      </c>
      <c r="C105" s="28">
        <f>'Fit Diagnostics'!$B$4+'Fit Diagnostics'!$B$5*((1-EXP(-B105/'Fit Diagnostics'!$B$8))/(B105/'Fit Diagnostics'!$B$8))+'Fit Diagnostics'!$B$6*(((1-EXP(-B105/'Fit Diagnostics'!$B$8))/(B105/'Fit Diagnostics'!$B$8))-EXP(-B105/'Fit Diagnostics'!$B$8))+'Fit Diagnostics'!$B$7*(((1-EXP(-B105/'Fit Diagnostics'!$B$9))/(B105/'Fit Diagnostics'!$B$9))-EXP(-B105/'Fit Diagnostics'!$B$9))</f>
        <v>4.5132029173666342E-2</v>
      </c>
      <c r="D105" s="29">
        <f t="shared" si="1"/>
        <v>0.79828463215547174</v>
      </c>
    </row>
    <row r="106" spans="1:4" ht="15" customHeight="1" x14ac:dyDescent="0.25">
      <c r="A106" s="26">
        <v>48121</v>
      </c>
      <c r="B106" s="27">
        <v>5.0739999999999998</v>
      </c>
      <c r="C106" s="28">
        <f>'Fit Diagnostics'!$B$4+'Fit Diagnostics'!$B$5*((1-EXP(-B106/'Fit Diagnostics'!$B$8))/(B106/'Fit Diagnostics'!$B$8))+'Fit Diagnostics'!$B$6*(((1-EXP(-B106/'Fit Diagnostics'!$B$8))/(B106/'Fit Diagnostics'!$B$8))-EXP(-B106/'Fit Diagnostics'!$B$8))+'Fit Diagnostics'!$B$7*(((1-EXP(-B106/'Fit Diagnostics'!$B$9))/(B106/'Fit Diagnostics'!$B$9))-EXP(-B106/'Fit Diagnostics'!$B$9))</f>
        <v>4.5159171539873096E-2</v>
      </c>
      <c r="D106" s="29">
        <f t="shared" si="1"/>
        <v>0.79521907488715848</v>
      </c>
    </row>
    <row r="107" spans="1:4" ht="15" customHeight="1" x14ac:dyDescent="0.25">
      <c r="A107" s="26">
        <v>48152</v>
      </c>
      <c r="B107" s="27">
        <v>5.1589</v>
      </c>
      <c r="C107" s="28">
        <f>'Fit Diagnostics'!$B$4+'Fit Diagnostics'!$B$5*((1-EXP(-B107/'Fit Diagnostics'!$B$8))/(B107/'Fit Diagnostics'!$B$8))+'Fit Diagnostics'!$B$6*(((1-EXP(-B107/'Fit Diagnostics'!$B$8))/(B107/'Fit Diagnostics'!$B$8))-EXP(-B107/'Fit Diagnostics'!$B$8))+'Fit Diagnostics'!$B$7*(((1-EXP(-B107/'Fit Diagnostics'!$B$9))/(B107/'Fit Diagnostics'!$B$9))-EXP(-B107/'Fit Diagnostics'!$B$9))</f>
        <v>4.5187242577236289E-2</v>
      </c>
      <c r="D107" s="29">
        <f t="shared" si="1"/>
        <v>0.79206132015103392</v>
      </c>
    </row>
    <row r="108" spans="1:4" ht="15" customHeight="1" x14ac:dyDescent="0.25">
      <c r="A108" s="26">
        <v>48167</v>
      </c>
      <c r="B108" s="27">
        <v>5.2</v>
      </c>
      <c r="C108" s="28">
        <f>'Fit Diagnostics'!$B$4+'Fit Diagnostics'!$B$5*((1-EXP(-B108/'Fit Diagnostics'!$B$8))/(B108/'Fit Diagnostics'!$B$8))+'Fit Diagnostics'!$B$6*(((1-EXP(-B108/'Fit Diagnostics'!$B$8))/(B108/'Fit Diagnostics'!$B$8))-EXP(-B108/'Fit Diagnostics'!$B$8))+'Fit Diagnostics'!$B$7*(((1-EXP(-B108/'Fit Diagnostics'!$B$9))/(B108/'Fit Diagnostics'!$B$9))-EXP(-B108/'Fit Diagnostics'!$B$9))</f>
        <v>4.5200863337040723E-2</v>
      </c>
      <c r="D108" s="29">
        <f t="shared" si="1"/>
        <v>0.79053567842581962</v>
      </c>
    </row>
    <row r="109" spans="1:4" ht="15" customHeight="1" x14ac:dyDescent="0.25">
      <c r="A109" s="26">
        <v>48182</v>
      </c>
      <c r="B109" s="27">
        <v>5.2411000000000003</v>
      </c>
      <c r="C109" s="28">
        <f>'Fit Diagnostics'!$B$4+'Fit Diagnostics'!$B$5*((1-EXP(-B109/'Fit Diagnostics'!$B$8))/(B109/'Fit Diagnostics'!$B$8))+'Fit Diagnostics'!$B$6*(((1-EXP(-B109/'Fit Diagnostics'!$B$8))/(B109/'Fit Diagnostics'!$B$8))-EXP(-B109/'Fit Diagnostics'!$B$8))+'Fit Diagnostics'!$B$7*(((1-EXP(-B109/'Fit Diagnostics'!$B$9))/(B109/'Fit Diagnostics'!$B$9))-EXP(-B109/'Fit Diagnostics'!$B$9))</f>
        <v>4.5214513710483864E-2</v>
      </c>
      <c r="D109" s="29">
        <f t="shared" si="1"/>
        <v>0.78901196947977614</v>
      </c>
    </row>
    <row r="110" spans="1:4" ht="15" customHeight="1" x14ac:dyDescent="0.25">
      <c r="A110" s="26">
        <v>48213</v>
      </c>
      <c r="B110" s="27">
        <v>5.3259999999999996</v>
      </c>
      <c r="C110" s="28">
        <f>'Fit Diagnostics'!$B$4+'Fit Diagnostics'!$B$5*((1-EXP(-B110/'Fit Diagnostics'!$B$8))/(B110/'Fit Diagnostics'!$B$8))+'Fit Diagnostics'!$B$6*(((1-EXP(-B110/'Fit Diagnostics'!$B$8))/(B110/'Fit Diagnostics'!$B$8))-EXP(-B110/'Fit Diagnostics'!$B$8))+'Fit Diagnostics'!$B$7*(((1-EXP(-B110/'Fit Diagnostics'!$B$9))/(B110/'Fit Diagnostics'!$B$9))-EXP(-B110/'Fit Diagnostics'!$B$9))</f>
        <v>4.5242832063782823E-2</v>
      </c>
      <c r="D110" s="29">
        <f t="shared" si="1"/>
        <v>0.78587044878095313</v>
      </c>
    </row>
    <row r="111" spans="1:4" ht="15" customHeight="1" x14ac:dyDescent="0.25">
      <c r="A111" s="26">
        <v>48244</v>
      </c>
      <c r="B111" s="27">
        <v>5.4109999999999996</v>
      </c>
      <c r="C111" s="28">
        <f>'Fit Diagnostics'!$B$4+'Fit Diagnostics'!$B$5*((1-EXP(-B111/'Fit Diagnostics'!$B$8))/(B111/'Fit Diagnostics'!$B$8))+'Fit Diagnostics'!$B$6*(((1-EXP(-B111/'Fit Diagnostics'!$B$8))/(B111/'Fit Diagnostics'!$B$8))-EXP(-B111/'Fit Diagnostics'!$B$8))+'Fit Diagnostics'!$B$7*(((1-EXP(-B111/'Fit Diagnostics'!$B$9))/(B111/'Fit Diagnostics'!$B$9))-EXP(-B111/'Fit Diagnostics'!$B$9))</f>
        <v>4.5271390839307118E-2</v>
      </c>
      <c r="D111" s="29">
        <f t="shared" si="1"/>
        <v>0.78273311074172958</v>
      </c>
    </row>
    <row r="112" spans="1:4" ht="15" customHeight="1" x14ac:dyDescent="0.25">
      <c r="A112" s="26">
        <v>48259</v>
      </c>
      <c r="B112" s="27">
        <v>5.4520999999999997</v>
      </c>
      <c r="C112" s="28">
        <f>'Fit Diagnostics'!$B$4+'Fit Diagnostics'!$B$5*((1-EXP(-B112/'Fit Diagnostics'!$B$8))/(B112/'Fit Diagnostics'!$B$8))+'Fit Diagnostics'!$B$6*(((1-EXP(-B112/'Fit Diagnostics'!$B$8))/(B112/'Fit Diagnostics'!$B$8))-EXP(-B112/'Fit Diagnostics'!$B$8))+'Fit Diagnostics'!$B$7*(((1-EXP(-B112/'Fit Diagnostics'!$B$9))/(B112/'Fit Diagnostics'!$B$9))-EXP(-B112/'Fit Diagnostics'!$B$9))</f>
        <v>4.5285289112811461E-2</v>
      </c>
      <c r="D112" s="29">
        <f t="shared" si="1"/>
        <v>0.78121887027612602</v>
      </c>
    </row>
    <row r="113" spans="1:4" ht="15" customHeight="1" x14ac:dyDescent="0.25">
      <c r="A113" s="26">
        <v>48273</v>
      </c>
      <c r="B113" s="27">
        <v>5.4904000000000002</v>
      </c>
      <c r="C113" s="28">
        <f>'Fit Diagnostics'!$B$4+'Fit Diagnostics'!$B$5*((1-EXP(-B113/'Fit Diagnostics'!$B$8))/(B113/'Fit Diagnostics'!$B$8))+'Fit Diagnostics'!$B$6*(((1-EXP(-B113/'Fit Diagnostics'!$B$8))/(B113/'Fit Diagnostics'!$B$8))-EXP(-B113/'Fit Diagnostics'!$B$8))+'Fit Diagnostics'!$B$7*(((1-EXP(-B113/'Fit Diagnostics'!$B$9))/(B113/'Fit Diagnostics'!$B$9))-EXP(-B113/'Fit Diagnostics'!$B$9))</f>
        <v>4.5298299408752608E-2</v>
      </c>
      <c r="D113" s="29">
        <f t="shared" si="1"/>
        <v>0.77980937275311846</v>
      </c>
    </row>
    <row r="114" spans="1:4" ht="15" customHeight="1" x14ac:dyDescent="0.25">
      <c r="A114" s="26">
        <v>48304</v>
      </c>
      <c r="B114" s="27">
        <v>5.5753000000000004</v>
      </c>
      <c r="C114" s="28">
        <f>'Fit Diagnostics'!$B$4+'Fit Diagnostics'!$B$5*((1-EXP(-B114/'Fit Diagnostics'!$B$8))/(B114/'Fit Diagnostics'!$B$8))+'Fit Diagnostics'!$B$6*(((1-EXP(-B114/'Fit Diagnostics'!$B$8))/(B114/'Fit Diagnostics'!$B$8))-EXP(-B114/'Fit Diagnostics'!$B$8))+'Fit Diagnostics'!$B$7*(((1-EXP(-B114/'Fit Diagnostics'!$B$9))/(B114/'Fit Diagnostics'!$B$9))-EXP(-B114/'Fit Diagnostics'!$B$9))</f>
        <v>4.5327363056257522E-2</v>
      </c>
      <c r="D114" s="29">
        <f t="shared" si="1"/>
        <v>0.77669025737629127</v>
      </c>
    </row>
    <row r="115" spans="1:4" ht="15" customHeight="1" x14ac:dyDescent="0.25">
      <c r="A115" s="26">
        <v>48334</v>
      </c>
      <c r="B115" s="27">
        <v>5.6574999999999998</v>
      </c>
      <c r="C115" s="28">
        <f>'Fit Diagnostics'!$B$4+'Fit Diagnostics'!$B$5*((1-EXP(-B115/'Fit Diagnostics'!$B$8))/(B115/'Fit Diagnostics'!$B$8))+'Fit Diagnostics'!$B$6*(((1-EXP(-B115/'Fit Diagnostics'!$B$8))/(B115/'Fit Diagnostics'!$B$8))-EXP(-B115/'Fit Diagnostics'!$B$8))+'Fit Diagnostics'!$B$7*(((1-EXP(-B115/'Fit Diagnostics'!$B$9))/(B115/'Fit Diagnostics'!$B$9))-EXP(-B115/'Fit Diagnostics'!$B$9))</f>
        <v>4.5355828899467314E-2</v>
      </c>
      <c r="D115" s="29">
        <f t="shared" si="1"/>
        <v>0.77367715717585139</v>
      </c>
    </row>
    <row r="116" spans="1:4" ht="15" customHeight="1" x14ac:dyDescent="0.25">
      <c r="A116" s="26">
        <v>48349</v>
      </c>
      <c r="B116" s="27">
        <v>5.6985999999999999</v>
      </c>
      <c r="C116" s="28">
        <f>'Fit Diagnostics'!$B$4+'Fit Diagnostics'!$B$5*((1-EXP(-B116/'Fit Diagnostics'!$B$8))/(B116/'Fit Diagnostics'!$B$8))+'Fit Diagnostics'!$B$6*(((1-EXP(-B116/'Fit Diagnostics'!$B$8))/(B116/'Fit Diagnostics'!$B$8))-EXP(-B116/'Fit Diagnostics'!$B$8))+'Fit Diagnostics'!$B$7*(((1-EXP(-B116/'Fit Diagnostics'!$B$9))/(B116/'Fit Diagnostics'!$B$9))-EXP(-B116/'Fit Diagnostics'!$B$9))</f>
        <v>4.5370193899309866E-2</v>
      </c>
      <c r="D116" s="29">
        <f t="shared" si="1"/>
        <v>0.77217305702007488</v>
      </c>
    </row>
    <row r="117" spans="1:4" ht="15" customHeight="1" x14ac:dyDescent="0.25">
      <c r="A117" s="26">
        <v>48365</v>
      </c>
      <c r="B117" s="27">
        <v>5.7424999999999997</v>
      </c>
      <c r="C117" s="28">
        <f>'Fit Diagnostics'!$B$4+'Fit Diagnostics'!$B$5*((1-EXP(-B117/'Fit Diagnostics'!$B$8))/(B117/'Fit Diagnostics'!$B$8))+'Fit Diagnostics'!$B$6*(((1-EXP(-B117/'Fit Diagnostics'!$B$8))/(B117/'Fit Diagnostics'!$B$8))-EXP(-B117/'Fit Diagnostics'!$B$8))+'Fit Diagnostics'!$B$7*(((1-EXP(-B117/'Fit Diagnostics'!$B$9))/(B117/'Fit Diagnostics'!$B$9))-EXP(-B117/'Fit Diagnostics'!$B$9))</f>
        <v>4.5385641277050234E-2</v>
      </c>
      <c r="D117" s="29">
        <f t="shared" si="1"/>
        <v>0.77056825328760936</v>
      </c>
    </row>
    <row r="118" spans="1:4" ht="15" customHeight="1" x14ac:dyDescent="0.25">
      <c r="A118" s="26">
        <v>48395</v>
      </c>
      <c r="B118" s="27">
        <v>5.8247</v>
      </c>
      <c r="C118" s="28">
        <f>'Fit Diagnostics'!$B$4+'Fit Diagnostics'!$B$5*((1-EXP(-B118/'Fit Diagnostics'!$B$8))/(B118/'Fit Diagnostics'!$B$8))+'Fit Diagnostics'!$B$6*(((1-EXP(-B118/'Fit Diagnostics'!$B$8))/(B118/'Fit Diagnostics'!$B$8))-EXP(-B118/'Fit Diagnostics'!$B$8))+'Fit Diagnostics'!$B$7*(((1-EXP(-B118/'Fit Diagnostics'!$B$9))/(B118/'Fit Diagnostics'!$B$9))-EXP(-B118/'Fit Diagnostics'!$B$9))</f>
        <v>4.541487068098643E-2</v>
      </c>
      <c r="D118" s="29">
        <f t="shared" si="1"/>
        <v>0.76756815876485573</v>
      </c>
    </row>
    <row r="119" spans="1:4" ht="15" customHeight="1" x14ac:dyDescent="0.25">
      <c r="A119" s="26">
        <v>48426</v>
      </c>
      <c r="B119" s="27">
        <v>5.9096000000000002</v>
      </c>
      <c r="C119" s="28">
        <f>'Fit Diagnostics'!$B$4+'Fit Diagnostics'!$B$5*((1-EXP(-B119/'Fit Diagnostics'!$B$8))/(B119/'Fit Diagnostics'!$B$8))+'Fit Diagnostics'!$B$6*(((1-EXP(-B119/'Fit Diagnostics'!$B$8))/(B119/'Fit Diagnostics'!$B$8))-EXP(-B119/'Fit Diagnostics'!$B$8))+'Fit Diagnostics'!$B$7*(((1-EXP(-B119/'Fit Diagnostics'!$B$9))/(B119/'Fit Diagnostics'!$B$9))-EXP(-B119/'Fit Diagnostics'!$B$9))</f>
        <v>4.5445505430195682E-2</v>
      </c>
      <c r="D119" s="29">
        <f t="shared" si="1"/>
        <v>0.76447591459494202</v>
      </c>
    </row>
    <row r="120" spans="1:4" ht="15" customHeight="1" x14ac:dyDescent="0.25">
      <c r="A120" s="26">
        <v>48441</v>
      </c>
      <c r="B120" s="27">
        <v>5.9507000000000003</v>
      </c>
      <c r="C120" s="28">
        <f>'Fit Diagnostics'!$B$4+'Fit Diagnostics'!$B$5*((1-EXP(-B120/'Fit Diagnostics'!$B$8))/(B120/'Fit Diagnostics'!$B$8))+'Fit Diagnostics'!$B$6*(((1-EXP(-B120/'Fit Diagnostics'!$B$8))/(B120/'Fit Diagnostics'!$B$8))-EXP(-B120/'Fit Diagnostics'!$B$8))+'Fit Diagnostics'!$B$7*(((1-EXP(-B120/'Fit Diagnostics'!$B$9))/(B120/'Fit Diagnostics'!$B$9))-EXP(-B120/'Fit Diagnostics'!$B$9))</f>
        <v>4.5460507544706527E-2</v>
      </c>
      <c r="D120" s="29">
        <f t="shared" si="1"/>
        <v>0.76298123459017864</v>
      </c>
    </row>
    <row r="121" spans="1:4" ht="15" customHeight="1" x14ac:dyDescent="0.25">
      <c r="A121" s="26">
        <v>48457</v>
      </c>
      <c r="B121" s="27">
        <v>5.9945000000000004</v>
      </c>
      <c r="C121" s="28">
        <f>'Fit Diagnostics'!$B$4+'Fit Diagnostics'!$B$5*((1-EXP(-B121/'Fit Diagnostics'!$B$8))/(B121/'Fit Diagnostics'!$B$8))+'Fit Diagnostics'!$B$6*(((1-EXP(-B121/'Fit Diagnostics'!$B$8))/(B121/'Fit Diagnostics'!$B$8))-EXP(-B121/'Fit Diagnostics'!$B$8))+'Fit Diagnostics'!$B$7*(((1-EXP(-B121/'Fit Diagnostics'!$B$9))/(B121/'Fit Diagnostics'!$B$9))-EXP(-B121/'Fit Diagnostics'!$B$9))</f>
        <v>4.5476623733176708E-2</v>
      </c>
      <c r="D121" s="29">
        <f t="shared" si="1"/>
        <v>0.76138996029544426</v>
      </c>
    </row>
    <row r="122" spans="1:4" ht="15" customHeight="1" x14ac:dyDescent="0.25">
      <c r="A122" s="26">
        <v>48487</v>
      </c>
      <c r="B122" s="27">
        <v>6.0766999999999998</v>
      </c>
      <c r="C122" s="28">
        <f>'Fit Diagnostics'!$B$4+'Fit Diagnostics'!$B$5*((1-EXP(-B122/'Fit Diagnostics'!$B$8))/(B122/'Fit Diagnostics'!$B$8))+'Fit Diagnostics'!$B$6*(((1-EXP(-B122/'Fit Diagnostics'!$B$8))/(B122/'Fit Diagnostics'!$B$8))-EXP(-B122/'Fit Diagnostics'!$B$8))+'Fit Diagnostics'!$B$7*(((1-EXP(-B122/'Fit Diagnostics'!$B$9))/(B122/'Fit Diagnostics'!$B$9))-EXP(-B122/'Fit Diagnostics'!$B$9))</f>
        <v>4.5507240306621378E-2</v>
      </c>
      <c r="D122" s="29">
        <f t="shared" si="1"/>
        <v>0.75840794873352257</v>
      </c>
    </row>
    <row r="123" spans="1:4" ht="15" customHeight="1" x14ac:dyDescent="0.25">
      <c r="A123" s="26">
        <v>48518</v>
      </c>
      <c r="B123" s="27">
        <v>6.1616</v>
      </c>
      <c r="C123" s="28">
        <f>'Fit Diagnostics'!$B$4+'Fit Diagnostics'!$B$5*((1-EXP(-B123/'Fit Diagnostics'!$B$8))/(B123/'Fit Diagnostics'!$B$8))+'Fit Diagnostics'!$B$6*(((1-EXP(-B123/'Fit Diagnostics'!$B$8))/(B123/'Fit Diagnostics'!$B$8))-EXP(-B123/'Fit Diagnostics'!$B$8))+'Fit Diagnostics'!$B$7*(((1-EXP(-B123/'Fit Diagnostics'!$B$9))/(B123/'Fit Diagnostics'!$B$9))-EXP(-B123/'Fit Diagnostics'!$B$9))</f>
        <v>4.5539392061481644E-2</v>
      </c>
      <c r="D123" s="29">
        <f t="shared" si="1"/>
        <v>0.75533379252800203</v>
      </c>
    </row>
    <row r="124" spans="1:4" ht="15" customHeight="1" x14ac:dyDescent="0.25">
      <c r="A124" s="26">
        <v>48533</v>
      </c>
      <c r="B124" s="27">
        <v>6.2027000000000001</v>
      </c>
      <c r="C124" s="28">
        <f>'Fit Diagnostics'!$B$4+'Fit Diagnostics'!$B$5*((1-EXP(-B124/'Fit Diagnostics'!$B$8))/(B124/'Fit Diagnostics'!$B$8))+'Fit Diagnostics'!$B$6*(((1-EXP(-B124/'Fit Diagnostics'!$B$8))/(B124/'Fit Diagnostics'!$B$8))-EXP(-B124/'Fit Diagnostics'!$B$8))+'Fit Diagnostics'!$B$7*(((1-EXP(-B124/'Fit Diagnostics'!$B$9))/(B124/'Fit Diagnostics'!$B$9))-EXP(-B124/'Fit Diagnostics'!$B$9))</f>
        <v>4.5555157088317602E-2</v>
      </c>
      <c r="D124" s="29">
        <f t="shared" si="1"/>
        <v>0.75384766072076514</v>
      </c>
    </row>
    <row r="125" spans="1:4" ht="15" customHeight="1" x14ac:dyDescent="0.25">
      <c r="A125" s="26">
        <v>48548</v>
      </c>
      <c r="B125" s="27">
        <v>6.2438000000000002</v>
      </c>
      <c r="C125" s="28">
        <f>'Fit Diagnostics'!$B$4+'Fit Diagnostics'!$B$5*((1-EXP(-B125/'Fit Diagnostics'!$B$8))/(B125/'Fit Diagnostics'!$B$8))+'Fit Diagnostics'!$B$6*(((1-EXP(-B125/'Fit Diagnostics'!$B$8))/(B125/'Fit Diagnostics'!$B$8))-EXP(-B125/'Fit Diagnostics'!$B$8))+'Fit Diagnostics'!$B$7*(((1-EXP(-B125/'Fit Diagnostics'!$B$9))/(B125/'Fit Diagnostics'!$B$9))-EXP(-B125/'Fit Diagnostics'!$B$9))</f>
        <v>4.5571056303635837E-2</v>
      </c>
      <c r="D125" s="29">
        <f t="shared" si="1"/>
        <v>0.75236284756075855</v>
      </c>
    </row>
    <row r="126" spans="1:4" ht="15" customHeight="1" x14ac:dyDescent="0.25">
      <c r="A126" s="26">
        <v>48579</v>
      </c>
      <c r="B126" s="27">
        <v>6.3288000000000002</v>
      </c>
      <c r="C126" s="28">
        <f>'Fit Diagnostics'!$B$4+'Fit Diagnostics'!$B$5*((1-EXP(-B126/'Fit Diagnostics'!$B$8))/(B126/'Fit Diagnostics'!$B$8))+'Fit Diagnostics'!$B$6*(((1-EXP(-B126/'Fit Diagnostics'!$B$8))/(B126/'Fit Diagnostics'!$B$8))-EXP(-B126/'Fit Diagnostics'!$B$8))+'Fit Diagnostics'!$B$7*(((1-EXP(-B126/'Fit Diagnostics'!$B$9))/(B126/'Fit Diagnostics'!$B$9))-EXP(-B126/'Fit Diagnostics'!$B$9))</f>
        <v>4.5604373766456791E-2</v>
      </c>
      <c r="D126" s="29">
        <f t="shared" si="1"/>
        <v>0.74929616428221479</v>
      </c>
    </row>
    <row r="127" spans="1:4" ht="15" customHeight="1" x14ac:dyDescent="0.25">
      <c r="A127" s="26">
        <v>48610</v>
      </c>
      <c r="B127" s="27">
        <v>6.4137000000000004</v>
      </c>
      <c r="C127" s="28">
        <f>'Fit Diagnostics'!$B$4+'Fit Diagnostics'!$B$5*((1-EXP(-B127/'Fit Diagnostics'!$B$8))/(B127/'Fit Diagnostics'!$B$8))+'Fit Diagnostics'!$B$6*(((1-EXP(-B127/'Fit Diagnostics'!$B$8))/(B127/'Fit Diagnostics'!$B$8))-EXP(-B127/'Fit Diagnostics'!$B$8))+'Fit Diagnostics'!$B$7*(((1-EXP(-B127/'Fit Diagnostics'!$B$9))/(B127/'Fit Diagnostics'!$B$9))-EXP(-B127/'Fit Diagnostics'!$B$9))</f>
        <v>4.5638254495068947E-2</v>
      </c>
      <c r="D127" s="29">
        <f t="shared" si="1"/>
        <v>0.74623846412406436</v>
      </c>
    </row>
    <row r="128" spans="1:4" ht="15" customHeight="1" x14ac:dyDescent="0.25">
      <c r="A128" s="26">
        <v>48625</v>
      </c>
      <c r="B128" s="27">
        <v>6.4547999999999996</v>
      </c>
      <c r="C128" s="28">
        <f>'Fit Diagnostics'!$B$4+'Fit Diagnostics'!$B$5*((1-EXP(-B128/'Fit Diagnostics'!$B$8))/(B128/'Fit Diagnostics'!$B$8))+'Fit Diagnostics'!$B$6*(((1-EXP(-B128/'Fit Diagnostics'!$B$8))/(B128/'Fit Diagnostics'!$B$8))-EXP(-B128/'Fit Diagnostics'!$B$8))+'Fit Diagnostics'!$B$7*(((1-EXP(-B128/'Fit Diagnostics'!$B$9))/(B128/'Fit Diagnostics'!$B$9))-EXP(-B128/'Fit Diagnostics'!$B$9))</f>
        <v>4.5654877647506129E-2</v>
      </c>
      <c r="D128" s="29">
        <f t="shared" si="1"/>
        <v>0.74476011611938586</v>
      </c>
    </row>
    <row r="129" spans="1:4" ht="15" customHeight="1" x14ac:dyDescent="0.25">
      <c r="A129" s="26">
        <v>48638</v>
      </c>
      <c r="B129" s="27">
        <v>6.4904000000000002</v>
      </c>
      <c r="C129" s="28">
        <f>'Fit Diagnostics'!$B$4+'Fit Diagnostics'!$B$5*((1-EXP(-B129/'Fit Diagnostics'!$B$8))/(B129/'Fit Diagnostics'!$B$8))+'Fit Diagnostics'!$B$6*(((1-EXP(-B129/'Fit Diagnostics'!$B$8))/(B129/'Fit Diagnostics'!$B$8))-EXP(-B129/'Fit Diagnostics'!$B$8))+'Fit Diagnostics'!$B$7*(((1-EXP(-B129/'Fit Diagnostics'!$B$9))/(B129/'Fit Diagnostics'!$B$9))-EXP(-B129/'Fit Diagnostics'!$B$9))</f>
        <v>4.5669395030945199E-2</v>
      </c>
      <c r="D129" s="29">
        <f t="shared" si="1"/>
        <v>0.74348057376837495</v>
      </c>
    </row>
    <row r="130" spans="1:4" ht="15" customHeight="1" x14ac:dyDescent="0.25">
      <c r="A130" s="26">
        <v>48669</v>
      </c>
      <c r="B130" s="27">
        <v>6.5753000000000004</v>
      </c>
      <c r="C130" s="28">
        <f>'Fit Diagnostics'!$B$4+'Fit Diagnostics'!$B$5*((1-EXP(-B130/'Fit Diagnostics'!$B$8))/(B130/'Fit Diagnostics'!$B$8))+'Fit Diagnostics'!$B$6*(((1-EXP(-B130/'Fit Diagnostics'!$B$8))/(B130/'Fit Diagnostics'!$B$8))-EXP(-B130/'Fit Diagnostics'!$B$8))+'Fit Diagnostics'!$B$7*(((1-EXP(-B130/'Fit Diagnostics'!$B$9))/(B130/'Fit Diagnostics'!$B$9))-EXP(-B130/'Fit Diagnostics'!$B$9))</f>
        <v>4.5704468037477602E-2</v>
      </c>
      <c r="D130" s="29">
        <f t="shared" ref="D130:D193" si="2">EXP(-C130*B130)</f>
        <v>0.74043265946514736</v>
      </c>
    </row>
    <row r="131" spans="1:4" ht="15" customHeight="1" x14ac:dyDescent="0.25">
      <c r="A131" s="26">
        <v>48699</v>
      </c>
      <c r="B131" s="27">
        <v>6.6574999999999998</v>
      </c>
      <c r="C131" s="28">
        <f>'Fit Diagnostics'!$B$4+'Fit Diagnostics'!$B$5*((1-EXP(-B131/'Fit Diagnostics'!$B$8))/(B131/'Fit Diagnostics'!$B$8))+'Fit Diagnostics'!$B$6*(((1-EXP(-B131/'Fit Diagnostics'!$B$8))/(B131/'Fit Diagnostics'!$B$8))-EXP(-B131/'Fit Diagnostics'!$B$8))+'Fit Diagnostics'!$B$7*(((1-EXP(-B131/'Fit Diagnostics'!$B$9))/(B131/'Fit Diagnostics'!$B$9))-EXP(-B131/'Fit Diagnostics'!$B$9))</f>
        <v>4.5739041929956994E-2</v>
      </c>
      <c r="D131" s="29">
        <f t="shared" si="2"/>
        <v>0.73748637047655485</v>
      </c>
    </row>
    <row r="132" spans="1:4" ht="15" customHeight="1" x14ac:dyDescent="0.25">
      <c r="A132" s="26">
        <v>48714</v>
      </c>
      <c r="B132" s="27">
        <v>6.6985999999999999</v>
      </c>
      <c r="C132" s="28">
        <f>'Fit Diagnostics'!$B$4+'Fit Diagnostics'!$B$5*((1-EXP(-B132/'Fit Diagnostics'!$B$8))/(B132/'Fit Diagnostics'!$B$8))+'Fit Diagnostics'!$B$6*(((1-EXP(-B132/'Fit Diagnostics'!$B$8))/(B132/'Fit Diagnostics'!$B$8))-EXP(-B132/'Fit Diagnostics'!$B$8))+'Fit Diagnostics'!$B$7*(((1-EXP(-B132/'Fit Diagnostics'!$B$9))/(B132/'Fit Diagnostics'!$B$9))-EXP(-B132/'Fit Diagnostics'!$B$9))</f>
        <v>4.5756559695254093E-2</v>
      </c>
      <c r="D132" s="29">
        <f t="shared" si="2"/>
        <v>0.73601491848746747</v>
      </c>
    </row>
    <row r="133" spans="1:4" ht="15" customHeight="1" x14ac:dyDescent="0.25">
      <c r="A133" s="26">
        <v>48730</v>
      </c>
      <c r="B133" s="27">
        <v>6.7424999999999997</v>
      </c>
      <c r="C133" s="28">
        <f>'Fit Diagnostics'!$B$4+'Fit Diagnostics'!$B$5*((1-EXP(-B133/'Fit Diagnostics'!$B$8))/(B133/'Fit Diagnostics'!$B$8))+'Fit Diagnostics'!$B$6*(((1-EXP(-B133/'Fit Diagnostics'!$B$8))/(B133/'Fit Diagnostics'!$B$8))-EXP(-B133/'Fit Diagnostics'!$B$8))+'Fit Diagnostics'!$B$7*(((1-EXP(-B133/'Fit Diagnostics'!$B$9))/(B133/'Fit Diagnostics'!$B$9))-EXP(-B133/'Fit Diagnostics'!$B$9))</f>
        <v>4.5775442661056369E-2</v>
      </c>
      <c r="D133" s="29">
        <f t="shared" si="2"/>
        <v>0.73444444542158749</v>
      </c>
    </row>
    <row r="134" spans="1:4" ht="15" customHeight="1" x14ac:dyDescent="0.25">
      <c r="A134" s="26">
        <v>48760</v>
      </c>
      <c r="B134" s="27">
        <v>6.8247</v>
      </c>
      <c r="C134" s="28">
        <f>'Fit Diagnostics'!$B$4+'Fit Diagnostics'!$B$5*((1-EXP(-B134/'Fit Diagnostics'!$B$8))/(B134/'Fit Diagnostics'!$B$8))+'Fit Diagnostics'!$B$6*(((1-EXP(-B134/'Fit Diagnostics'!$B$8))/(B134/'Fit Diagnostics'!$B$8))-EXP(-B134/'Fit Diagnostics'!$B$8))+'Fit Diagnostics'!$B$7*(((1-EXP(-B134/'Fit Diagnostics'!$B$9))/(B134/'Fit Diagnostics'!$B$9))-EXP(-B134/'Fit Diagnostics'!$B$9))</f>
        <v>4.5811281443341685E-2</v>
      </c>
      <c r="D134" s="29">
        <f t="shared" si="2"/>
        <v>0.73150717316482994</v>
      </c>
    </row>
    <row r="135" spans="1:4" ht="15" customHeight="1" x14ac:dyDescent="0.25">
      <c r="A135" s="26">
        <v>48791</v>
      </c>
      <c r="B135" s="27">
        <v>6.9096000000000002</v>
      </c>
      <c r="C135" s="28">
        <f>'Fit Diagnostics'!$B$4+'Fit Diagnostics'!$B$5*((1-EXP(-B135/'Fit Diagnostics'!$B$8))/(B135/'Fit Diagnostics'!$B$8))+'Fit Diagnostics'!$B$6*(((1-EXP(-B135/'Fit Diagnostics'!$B$8))/(B135/'Fit Diagnostics'!$B$8))-EXP(-B135/'Fit Diagnostics'!$B$8))+'Fit Diagnostics'!$B$7*(((1-EXP(-B135/'Fit Diagnostics'!$B$9))/(B135/'Fit Diagnostics'!$B$9))-EXP(-B135/'Fit Diagnostics'!$B$9))</f>
        <v>4.5848963268781392E-2</v>
      </c>
      <c r="D135" s="29">
        <f t="shared" si="2"/>
        <v>0.72847789527403006</v>
      </c>
    </row>
    <row r="136" spans="1:4" ht="15" customHeight="1" x14ac:dyDescent="0.25">
      <c r="A136" s="26">
        <v>48806</v>
      </c>
      <c r="B136" s="27">
        <v>6.9507000000000003</v>
      </c>
      <c r="C136" s="28">
        <f>'Fit Diagnostics'!$B$4+'Fit Diagnostics'!$B$5*((1-EXP(-B136/'Fit Diagnostics'!$B$8))/(B136/'Fit Diagnostics'!$B$8))+'Fit Diagnostics'!$B$6*(((1-EXP(-B136/'Fit Diagnostics'!$B$8))/(B136/'Fit Diagnostics'!$B$8))-EXP(-B136/'Fit Diagnostics'!$B$8))+'Fit Diagnostics'!$B$7*(((1-EXP(-B136/'Fit Diagnostics'!$B$9))/(B136/'Fit Diagnostics'!$B$9))-EXP(-B136/'Fit Diagnostics'!$B$9))</f>
        <v>4.5867450122867831E-2</v>
      </c>
      <c r="D136" s="29">
        <f t="shared" si="2"/>
        <v>0.72701302496114584</v>
      </c>
    </row>
    <row r="137" spans="1:4" ht="15" customHeight="1" x14ac:dyDescent="0.25">
      <c r="A137" s="26">
        <v>48822</v>
      </c>
      <c r="B137" s="27">
        <v>6.9945000000000004</v>
      </c>
      <c r="C137" s="28">
        <f>'Fit Diagnostics'!$B$4+'Fit Diagnostics'!$B$5*((1-EXP(-B137/'Fit Diagnostics'!$B$8))/(B137/'Fit Diagnostics'!$B$8))+'Fit Diagnostics'!$B$6*(((1-EXP(-B137/'Fit Diagnostics'!$B$8))/(B137/'Fit Diagnostics'!$B$8))-EXP(-B137/'Fit Diagnostics'!$B$8))+'Fit Diagnostics'!$B$7*(((1-EXP(-B137/'Fit Diagnostics'!$B$9))/(B137/'Fit Diagnostics'!$B$9))-EXP(-B137/'Fit Diagnostics'!$B$9))</f>
        <v>4.5887328471919619E-2</v>
      </c>
      <c r="D137" s="29">
        <f t="shared" si="2"/>
        <v>0.72545305271714433</v>
      </c>
    </row>
    <row r="138" spans="1:4" ht="15" customHeight="1" x14ac:dyDescent="0.25">
      <c r="A138" s="26">
        <v>48898</v>
      </c>
      <c r="B138" s="27">
        <v>7.2027000000000001</v>
      </c>
      <c r="C138" s="28">
        <f>'Fit Diagnostics'!$B$4+'Fit Diagnostics'!$B$5*((1-EXP(-B138/'Fit Diagnostics'!$B$8))/(B138/'Fit Diagnostics'!$B$8))+'Fit Diagnostics'!$B$6*(((1-EXP(-B138/'Fit Diagnostics'!$B$8))/(B138/'Fit Diagnostics'!$B$8))-EXP(-B138/'Fit Diagnostics'!$B$8))+'Fit Diagnostics'!$B$7*(((1-EXP(-B138/'Fit Diagnostics'!$B$9))/(B138/'Fit Diagnostics'!$B$9))-EXP(-B138/'Fit Diagnostics'!$B$9))</f>
        <v>4.5984334393887008E-2</v>
      </c>
      <c r="D138" s="29">
        <f t="shared" si="2"/>
        <v>0.71805338140354003</v>
      </c>
    </row>
    <row r="139" spans="1:4" ht="15" customHeight="1" x14ac:dyDescent="0.25">
      <c r="A139" s="26">
        <v>48913</v>
      </c>
      <c r="B139" s="27">
        <v>7.2438000000000002</v>
      </c>
      <c r="C139" s="28">
        <f>'Fit Diagnostics'!$B$4+'Fit Diagnostics'!$B$5*((1-EXP(-B139/'Fit Diagnostics'!$B$8))/(B139/'Fit Diagnostics'!$B$8))+'Fit Diagnostics'!$B$6*(((1-EXP(-B139/'Fit Diagnostics'!$B$8))/(B139/'Fit Diagnostics'!$B$8))-EXP(-B139/'Fit Diagnostics'!$B$8))+'Fit Diagnostics'!$B$7*(((1-EXP(-B139/'Fit Diagnostics'!$B$9))/(B139/'Fit Diagnostics'!$B$9))-EXP(-B139/'Fit Diagnostics'!$B$9))</f>
        <v>4.6003977669132431E-2</v>
      </c>
      <c r="D139" s="29">
        <f t="shared" si="2"/>
        <v>0.71659560057078919</v>
      </c>
    </row>
    <row r="140" spans="1:4" ht="15" customHeight="1" x14ac:dyDescent="0.25">
      <c r="A140" s="26">
        <v>48990</v>
      </c>
      <c r="B140" s="27">
        <v>7.4547999999999996</v>
      </c>
      <c r="C140" s="28">
        <f>'Fit Diagnostics'!$B$4+'Fit Diagnostics'!$B$5*((1-EXP(-B140/'Fit Diagnostics'!$B$8))/(B140/'Fit Diagnostics'!$B$8))+'Fit Diagnostics'!$B$6*(((1-EXP(-B140/'Fit Diagnostics'!$B$8))/(B140/'Fit Diagnostics'!$B$8))-EXP(-B140/'Fit Diagnostics'!$B$8))+'Fit Diagnostics'!$B$7*(((1-EXP(-B140/'Fit Diagnostics'!$B$9))/(B140/'Fit Diagnostics'!$B$9))-EXP(-B140/'Fit Diagnostics'!$B$9))</f>
        <v>4.6107392541419101E-2</v>
      </c>
      <c r="D140" s="29">
        <f t="shared" si="2"/>
        <v>0.70912647031380449</v>
      </c>
    </row>
    <row r="141" spans="1:4" ht="15" customHeight="1" x14ac:dyDescent="0.25">
      <c r="A141" s="26">
        <v>49079</v>
      </c>
      <c r="B141" s="27">
        <v>7.6985999999999999</v>
      </c>
      <c r="C141" s="28">
        <f>'Fit Diagnostics'!$B$4+'Fit Diagnostics'!$B$5*((1-EXP(-B141/'Fit Diagnostics'!$B$8))/(B141/'Fit Diagnostics'!$B$8))+'Fit Diagnostics'!$B$6*(((1-EXP(-B141/'Fit Diagnostics'!$B$8))/(B141/'Fit Diagnostics'!$B$8))-EXP(-B141/'Fit Diagnostics'!$B$8))+'Fit Diagnostics'!$B$7*(((1-EXP(-B141/'Fit Diagnostics'!$B$9))/(B141/'Fit Diagnostics'!$B$9))-EXP(-B141/'Fit Diagnostics'!$B$9))</f>
        <v>4.6232219139693373E-2</v>
      </c>
      <c r="D141" s="29">
        <f t="shared" si="2"/>
        <v>0.70052630492471468</v>
      </c>
    </row>
    <row r="142" spans="1:4" ht="15" customHeight="1" x14ac:dyDescent="0.25">
      <c r="A142" s="26">
        <v>49095</v>
      </c>
      <c r="B142" s="27">
        <v>7.7424999999999997</v>
      </c>
      <c r="C142" s="28">
        <f>'Fit Diagnostics'!$B$4+'Fit Diagnostics'!$B$5*((1-EXP(-B142/'Fit Diagnostics'!$B$8))/(B142/'Fit Diagnostics'!$B$8))+'Fit Diagnostics'!$B$6*(((1-EXP(-B142/'Fit Diagnostics'!$B$8))/(B142/'Fit Diagnostics'!$B$8))-EXP(-B142/'Fit Diagnostics'!$B$8))+'Fit Diagnostics'!$B$7*(((1-EXP(-B142/'Fit Diagnostics'!$B$9))/(B142/'Fit Diagnostics'!$B$9))-EXP(-B142/'Fit Diagnostics'!$B$9))</f>
        <v>4.6255298623419525E-2</v>
      </c>
      <c r="D142" s="29">
        <f t="shared" si="2"/>
        <v>0.69898104837931163</v>
      </c>
    </row>
    <row r="143" spans="1:4" ht="15" customHeight="1" x14ac:dyDescent="0.25">
      <c r="A143" s="26">
        <v>49171</v>
      </c>
      <c r="B143" s="27">
        <v>7.9507000000000003</v>
      </c>
      <c r="C143" s="28">
        <f>'Fit Diagnostics'!$B$4+'Fit Diagnostics'!$B$5*((1-EXP(-B143/'Fit Diagnostics'!$B$8))/(B143/'Fit Diagnostics'!$B$8))+'Fit Diagnostics'!$B$6*(((1-EXP(-B143/'Fit Diagnostics'!$B$8))/(B143/'Fit Diagnostics'!$B$8))-EXP(-B143/'Fit Diagnostics'!$B$8))+'Fit Diagnostics'!$B$7*(((1-EXP(-B143/'Fit Diagnostics'!$B$9))/(B143/'Fit Diagnostics'!$B$9))-EXP(-B143/'Fit Diagnostics'!$B$9))</f>
        <v>4.6367223155976883E-2</v>
      </c>
      <c r="D143" s="29">
        <f t="shared" si="2"/>
        <v>0.6916661505723215</v>
      </c>
    </row>
    <row r="144" spans="1:4" ht="15" customHeight="1" x14ac:dyDescent="0.25">
      <c r="A144" s="26">
        <v>49263</v>
      </c>
      <c r="B144" s="27">
        <v>8.2027000000000001</v>
      </c>
      <c r="C144" s="28">
        <f>'Fit Diagnostics'!$B$4+'Fit Diagnostics'!$B$5*((1-EXP(-B144/'Fit Diagnostics'!$B$8))/(B144/'Fit Diagnostics'!$B$8))+'Fit Diagnostics'!$B$6*(((1-EXP(-B144/'Fit Diagnostics'!$B$8))/(B144/'Fit Diagnostics'!$B$8))-EXP(-B144/'Fit Diagnostics'!$B$8))+'Fit Diagnostics'!$B$7*(((1-EXP(-B144/'Fit Diagnostics'!$B$9))/(B144/'Fit Diagnostics'!$B$9))-EXP(-B144/'Fit Diagnostics'!$B$9))</f>
        <v>4.6508036137584981E-2</v>
      </c>
      <c r="D144" s="29">
        <f t="shared" si="2"/>
        <v>0.68284221202539863</v>
      </c>
    </row>
    <row r="145" spans="1:4" ht="15" customHeight="1" x14ac:dyDescent="0.25">
      <c r="A145" s="26">
        <v>49278</v>
      </c>
      <c r="B145" s="27">
        <v>8.2438000000000002</v>
      </c>
      <c r="C145" s="28">
        <f>'Fit Diagnostics'!$B$4+'Fit Diagnostics'!$B$5*((1-EXP(-B145/'Fit Diagnostics'!$B$8))/(B145/'Fit Diagnostics'!$B$8))+'Fit Diagnostics'!$B$6*(((1-EXP(-B145/'Fit Diagnostics'!$B$8))/(B145/'Fit Diagnostics'!$B$8))-EXP(-B145/'Fit Diagnostics'!$B$8))+'Fit Diagnostics'!$B$7*(((1-EXP(-B145/'Fit Diagnostics'!$B$9))/(B145/'Fit Diagnostics'!$B$9))-EXP(-B145/'Fit Diagnostics'!$B$9))</f>
        <v>4.6531543624843297E-2</v>
      </c>
      <c r="D145" s="29">
        <f t="shared" si="2"/>
        <v>0.68140615608213295</v>
      </c>
    </row>
    <row r="146" spans="1:4" ht="15" customHeight="1" x14ac:dyDescent="0.25">
      <c r="A146" s="26">
        <v>49355</v>
      </c>
      <c r="B146" s="27">
        <v>8.4548000000000005</v>
      </c>
      <c r="C146" s="28">
        <f>'Fit Diagnostics'!$B$4+'Fit Diagnostics'!$B$5*((1-EXP(-B146/'Fit Diagnostics'!$B$8))/(B146/'Fit Diagnostics'!$B$8))+'Fit Diagnostics'!$B$6*(((1-EXP(-B146/'Fit Diagnostics'!$B$8))/(B146/'Fit Diagnostics'!$B$8))-EXP(-B146/'Fit Diagnostics'!$B$8))+'Fit Diagnostics'!$B$7*(((1-EXP(-B146/'Fit Diagnostics'!$B$9))/(B146/'Fit Diagnostics'!$B$9))-EXP(-B146/'Fit Diagnostics'!$B$9))</f>
        <v>4.6654548531242096E-2</v>
      </c>
      <c r="D146" s="29">
        <f t="shared" si="2"/>
        <v>0.674047377898778</v>
      </c>
    </row>
    <row r="147" spans="1:4" ht="15" customHeight="1" x14ac:dyDescent="0.25">
      <c r="A147" s="26">
        <v>49444</v>
      </c>
      <c r="B147" s="27">
        <v>8.6986000000000008</v>
      </c>
      <c r="C147" s="28">
        <f>'Fit Diagnostics'!$B$4+'Fit Diagnostics'!$B$5*((1-EXP(-B147/'Fit Diagnostics'!$B$8))/(B147/'Fit Diagnostics'!$B$8))+'Fit Diagnostics'!$B$6*(((1-EXP(-B147/'Fit Diagnostics'!$B$8))/(B147/'Fit Diagnostics'!$B$8))-EXP(-B147/'Fit Diagnostics'!$B$8))+'Fit Diagnostics'!$B$7*(((1-EXP(-B147/'Fit Diagnostics'!$B$9))/(B147/'Fit Diagnostics'!$B$9))-EXP(-B147/'Fit Diagnostics'!$B$9))</f>
        <v>4.6801352264146077E-2</v>
      </c>
      <c r="D147" s="29">
        <f t="shared" si="2"/>
        <v>0.66557347415228496</v>
      </c>
    </row>
    <row r="148" spans="1:4" ht="15" customHeight="1" x14ac:dyDescent="0.25">
      <c r="A148" s="26">
        <v>49460</v>
      </c>
      <c r="B148" s="27">
        <v>8.7424999999999997</v>
      </c>
      <c r="C148" s="28">
        <f>'Fit Diagnostics'!$B$4+'Fit Diagnostics'!$B$5*((1-EXP(-B148/'Fit Diagnostics'!$B$8))/(B148/'Fit Diagnostics'!$B$8))+'Fit Diagnostics'!$B$6*(((1-EXP(-B148/'Fit Diagnostics'!$B$8))/(B148/'Fit Diagnostics'!$B$8))-EXP(-B148/'Fit Diagnostics'!$B$8))+'Fit Diagnostics'!$B$7*(((1-EXP(-B148/'Fit Diagnostics'!$B$9))/(B148/'Fit Diagnostics'!$B$9))-EXP(-B148/'Fit Diagnostics'!$B$9))</f>
        <v>4.6828299470191681E-2</v>
      </c>
      <c r="D148" s="29">
        <f t="shared" si="2"/>
        <v>0.66405094495559369</v>
      </c>
    </row>
    <row r="149" spans="1:4" ht="15" customHeight="1" x14ac:dyDescent="0.25">
      <c r="A149" s="26">
        <v>49536</v>
      </c>
      <c r="B149" s="27">
        <v>8.9506999999999994</v>
      </c>
      <c r="C149" s="28">
        <f>'Fit Diagnostics'!$B$4+'Fit Diagnostics'!$B$5*((1-EXP(-B149/'Fit Diagnostics'!$B$8))/(B149/'Fit Diagnostics'!$B$8))+'Fit Diagnostics'!$B$6*(((1-EXP(-B149/'Fit Diagnostics'!$B$8))/(B149/'Fit Diagnostics'!$B$8))-EXP(-B149/'Fit Diagnostics'!$B$8))+'Fit Diagnostics'!$B$7*(((1-EXP(-B149/'Fit Diagnostics'!$B$9))/(B149/'Fit Diagnostics'!$B$9))-EXP(-B149/'Fit Diagnostics'!$B$9))</f>
        <v>4.6958141805553119E-2</v>
      </c>
      <c r="D149" s="29">
        <f t="shared" si="2"/>
        <v>0.65684432300638129</v>
      </c>
    </row>
    <row r="150" spans="1:4" ht="15" customHeight="1" x14ac:dyDescent="0.25">
      <c r="A150" s="26">
        <v>49628</v>
      </c>
      <c r="B150" s="27">
        <v>9.2027000000000001</v>
      </c>
      <c r="C150" s="28">
        <f>'Fit Diagnostics'!$B$4+'Fit Diagnostics'!$B$5*((1-EXP(-B150/'Fit Diagnostics'!$B$8))/(B150/'Fit Diagnostics'!$B$8))+'Fit Diagnostics'!$B$6*(((1-EXP(-B150/'Fit Diagnostics'!$B$8))/(B150/'Fit Diagnostics'!$B$8))-EXP(-B150/'Fit Diagnostics'!$B$8))+'Fit Diagnostics'!$B$7*(((1-EXP(-B150/'Fit Diagnostics'!$B$9))/(B150/'Fit Diagnostics'!$B$9))-EXP(-B150/'Fit Diagnostics'!$B$9))</f>
        <v>4.7119600126913012E-2</v>
      </c>
      <c r="D150" s="29">
        <f t="shared" si="2"/>
        <v>0.64815361918127823</v>
      </c>
    </row>
    <row r="151" spans="1:4" ht="15" customHeight="1" x14ac:dyDescent="0.25">
      <c r="A151" s="26">
        <v>49643</v>
      </c>
      <c r="B151" s="27">
        <v>9.2438000000000002</v>
      </c>
      <c r="C151" s="28">
        <f>'Fit Diagnostics'!$B$4+'Fit Diagnostics'!$B$5*((1-EXP(-B151/'Fit Diagnostics'!$B$8))/(B151/'Fit Diagnostics'!$B$8))+'Fit Diagnostics'!$B$6*(((1-EXP(-B151/'Fit Diagnostics'!$B$8))/(B151/'Fit Diagnostics'!$B$8))-EXP(-B151/'Fit Diagnostics'!$B$8))+'Fit Diagnostics'!$B$7*(((1-EXP(-B151/'Fit Diagnostics'!$B$9))/(B151/'Fit Diagnostics'!$B$9))-EXP(-B151/'Fit Diagnostics'!$B$9))</f>
        <v>4.714635711229001E-2</v>
      </c>
      <c r="D151" s="29">
        <f t="shared" si="2"/>
        <v>0.64673962753346015</v>
      </c>
    </row>
    <row r="152" spans="1:4" ht="15" customHeight="1" x14ac:dyDescent="0.25">
      <c r="A152" s="26">
        <v>49720</v>
      </c>
      <c r="B152" s="27">
        <v>9.4548000000000005</v>
      </c>
      <c r="C152" s="28">
        <f>'Fit Diagnostics'!$B$4+'Fit Diagnostics'!$B$5*((1-EXP(-B152/'Fit Diagnostics'!$B$8))/(B152/'Fit Diagnostics'!$B$8))+'Fit Diagnostics'!$B$6*(((1-EXP(-B152/'Fit Diagnostics'!$B$8))/(B152/'Fit Diagnostics'!$B$8))-EXP(-B152/'Fit Diagnostics'!$B$8))+'Fit Diagnostics'!$B$7*(((1-EXP(-B152/'Fit Diagnostics'!$B$9))/(B152/'Fit Diagnostics'!$B$9))-EXP(-B152/'Fit Diagnostics'!$B$9))</f>
        <v>4.7285489075462636E-2</v>
      </c>
      <c r="D152" s="29">
        <f t="shared" si="2"/>
        <v>0.63949604524993764</v>
      </c>
    </row>
    <row r="153" spans="1:4" ht="15" customHeight="1" x14ac:dyDescent="0.25">
      <c r="A153" s="26">
        <v>49810</v>
      </c>
      <c r="B153" s="27">
        <v>9.7013999999999996</v>
      </c>
      <c r="C153" s="28">
        <f>'Fit Diagnostics'!$B$4+'Fit Diagnostics'!$B$5*((1-EXP(-B153/'Fit Diagnostics'!$B$8))/(B153/'Fit Diagnostics'!$B$8))+'Fit Diagnostics'!$B$6*(((1-EXP(-B153/'Fit Diagnostics'!$B$8))/(B153/'Fit Diagnostics'!$B$8))-EXP(-B153/'Fit Diagnostics'!$B$8))+'Fit Diagnostics'!$B$7*(((1-EXP(-B153/'Fit Diagnostics'!$B$9))/(B153/'Fit Diagnostics'!$B$9))-EXP(-B153/'Fit Diagnostics'!$B$9))</f>
        <v>4.7451614282019841E-2</v>
      </c>
      <c r="D153" s="29">
        <f t="shared" si="2"/>
        <v>0.63106457078577471</v>
      </c>
    </row>
    <row r="154" spans="1:4" ht="15" customHeight="1" x14ac:dyDescent="0.25">
      <c r="A154" s="26">
        <v>49826</v>
      </c>
      <c r="B154" s="27">
        <v>9.7452000000000005</v>
      </c>
      <c r="C154" s="28">
        <f>'Fit Diagnostics'!$B$4+'Fit Diagnostics'!$B$5*((1-EXP(-B154/'Fit Diagnostics'!$B$8))/(B154/'Fit Diagnostics'!$B$8))+'Fit Diagnostics'!$B$6*(((1-EXP(-B154/'Fit Diagnostics'!$B$8))/(B154/'Fit Diagnostics'!$B$8))-EXP(-B154/'Fit Diagnostics'!$B$8))+'Fit Diagnostics'!$B$7*(((1-EXP(-B154/'Fit Diagnostics'!$B$9))/(B154/'Fit Diagnostics'!$B$9))-EXP(-B154/'Fit Diagnostics'!$B$9))</f>
        <v>4.7481490975571861E-2</v>
      </c>
      <c r="D154" s="29">
        <f t="shared" si="2"/>
        <v>0.62957101137996574</v>
      </c>
    </row>
    <row r="155" spans="1:4" ht="15" customHeight="1" x14ac:dyDescent="0.25">
      <c r="A155" s="26">
        <v>49902</v>
      </c>
      <c r="B155" s="27">
        <v>9.9534000000000002</v>
      </c>
      <c r="C155" s="28">
        <f>'Fit Diagnostics'!$B$4+'Fit Diagnostics'!$B$5*((1-EXP(-B155/'Fit Diagnostics'!$B$8))/(B155/'Fit Diagnostics'!$B$8))+'Fit Diagnostics'!$B$6*(((1-EXP(-B155/'Fit Diagnostics'!$B$8))/(B155/'Fit Diagnostics'!$B$8))-EXP(-B155/'Fit Diagnostics'!$B$8))+'Fit Diagnostics'!$B$7*(((1-EXP(-B155/'Fit Diagnostics'!$B$9))/(B155/'Fit Diagnostics'!$B$9))-EXP(-B155/'Fit Diagnostics'!$B$9))</f>
        <v>4.7624924737415024E-2</v>
      </c>
      <c r="D155" s="29">
        <f t="shared" si="2"/>
        <v>0.62248862376822711</v>
      </c>
    </row>
    <row r="156" spans="1:4" ht="15" customHeight="1" x14ac:dyDescent="0.25">
      <c r="A156" s="26">
        <v>49994</v>
      </c>
      <c r="B156" s="27">
        <v>10.205500000000001</v>
      </c>
      <c r="C156" s="28">
        <f>'Fit Diagnostics'!$B$4+'Fit Diagnostics'!$B$5*((1-EXP(-B156/'Fit Diagnostics'!$B$8))/(B156/'Fit Diagnostics'!$B$8))+'Fit Diagnostics'!$B$6*(((1-EXP(-B156/'Fit Diagnostics'!$B$8))/(B156/'Fit Diagnostics'!$B$8))-EXP(-B156/'Fit Diagnostics'!$B$8))+'Fit Diagnostics'!$B$7*(((1-EXP(-B156/'Fit Diagnostics'!$B$9))/(B156/'Fit Diagnostics'!$B$9))-EXP(-B156/'Fit Diagnostics'!$B$9))</f>
        <v>4.7801486940983642E-2</v>
      </c>
      <c r="D156" s="29">
        <f t="shared" si="2"/>
        <v>0.61395227923184648</v>
      </c>
    </row>
    <row r="157" spans="1:4" ht="15" customHeight="1" x14ac:dyDescent="0.25">
      <c r="A157" s="26">
        <v>50009</v>
      </c>
      <c r="B157" s="27">
        <v>10.246600000000001</v>
      </c>
      <c r="C157" s="28">
        <f>'Fit Diagnostics'!$B$4+'Fit Diagnostics'!$B$5*((1-EXP(-B157/'Fit Diagnostics'!$B$8))/(B157/'Fit Diagnostics'!$B$8))+'Fit Diagnostics'!$B$6*(((1-EXP(-B157/'Fit Diagnostics'!$B$8))/(B157/'Fit Diagnostics'!$B$8))-EXP(-B157/'Fit Diagnostics'!$B$8))+'Fit Diagnostics'!$B$7*(((1-EXP(-B157/'Fit Diagnostics'!$B$9))/(B157/'Fit Diagnostics'!$B$9))-EXP(-B157/'Fit Diagnostics'!$B$9))</f>
        <v>4.7830545593825262E-2</v>
      </c>
      <c r="D157" s="29">
        <f t="shared" si="2"/>
        <v>0.61256484763254526</v>
      </c>
    </row>
    <row r="158" spans="1:4" ht="15" customHeight="1" x14ac:dyDescent="0.25">
      <c r="A158" s="26">
        <v>50086</v>
      </c>
      <c r="B158" s="27">
        <v>10.4575</v>
      </c>
      <c r="C158" s="28">
        <f>'Fit Diagnostics'!$B$4+'Fit Diagnostics'!$B$5*((1-EXP(-B158/'Fit Diagnostics'!$B$8))/(B158/'Fit Diagnostics'!$B$8))+'Fit Diagnostics'!$B$6*(((1-EXP(-B158/'Fit Diagnostics'!$B$8))/(B158/'Fit Diagnostics'!$B$8))-EXP(-B158/'Fit Diagnostics'!$B$8))+'Fit Diagnostics'!$B$7*(((1-EXP(-B158/'Fit Diagnostics'!$B$9))/(B158/'Fit Diagnostics'!$B$9))-EXP(-B158/'Fit Diagnostics'!$B$9))</f>
        <v>4.7980747962872758E-2</v>
      </c>
      <c r="D158" s="29">
        <f t="shared" si="2"/>
        <v>0.60546490876014969</v>
      </c>
    </row>
    <row r="159" spans="1:4" ht="15" customHeight="1" x14ac:dyDescent="0.25">
      <c r="A159" s="26">
        <v>50175</v>
      </c>
      <c r="B159" s="27">
        <v>10.7014</v>
      </c>
      <c r="C159" s="28">
        <f>'Fit Diagnostics'!$B$4+'Fit Diagnostics'!$B$5*((1-EXP(-B159/'Fit Diagnostics'!$B$8))/(B159/'Fit Diagnostics'!$B$8))+'Fit Diagnostics'!$B$6*(((1-EXP(-B159/'Fit Diagnostics'!$B$8))/(B159/'Fit Diagnostics'!$B$8))-EXP(-B159/'Fit Diagnostics'!$B$8))+'Fit Diagnostics'!$B$7*(((1-EXP(-B159/'Fit Diagnostics'!$B$9))/(B159/'Fit Diagnostics'!$B$9))-EXP(-B159/'Fit Diagnostics'!$B$9))</f>
        <v>4.8156492893970115E-2</v>
      </c>
      <c r="D159" s="29">
        <f t="shared" si="2"/>
        <v>0.5972963482314616</v>
      </c>
    </row>
    <row r="160" spans="1:4" ht="15" customHeight="1" x14ac:dyDescent="0.25">
      <c r="A160" s="26">
        <v>50191</v>
      </c>
      <c r="B160" s="27">
        <v>10.745200000000001</v>
      </c>
      <c r="C160" s="28">
        <f>'Fit Diagnostics'!$B$4+'Fit Diagnostics'!$B$5*((1-EXP(-B160/'Fit Diagnostics'!$B$8))/(B160/'Fit Diagnostics'!$B$8))+'Fit Diagnostics'!$B$6*(((1-EXP(-B160/'Fit Diagnostics'!$B$8))/(B160/'Fit Diagnostics'!$B$8))-EXP(-B160/'Fit Diagnostics'!$B$8))+'Fit Diagnostics'!$B$7*(((1-EXP(-B160/'Fit Diagnostics'!$B$9))/(B160/'Fit Diagnostics'!$B$9))-EXP(-B160/'Fit Diagnostics'!$B$9))</f>
        <v>4.8188258176017518E-2</v>
      </c>
      <c r="D160" s="29">
        <f t="shared" si="2"/>
        <v>0.59583441854293451</v>
      </c>
    </row>
    <row r="161" spans="1:4" ht="15" customHeight="1" x14ac:dyDescent="0.25">
      <c r="A161" s="26">
        <v>50267</v>
      </c>
      <c r="B161" s="27">
        <v>10.9534</v>
      </c>
      <c r="C161" s="28">
        <f>'Fit Diagnostics'!$B$4+'Fit Diagnostics'!$B$5*((1-EXP(-B161/'Fit Diagnostics'!$B$8))/(B161/'Fit Diagnostics'!$B$8))+'Fit Diagnostics'!$B$6*(((1-EXP(-B161/'Fit Diagnostics'!$B$8))/(B161/'Fit Diagnostics'!$B$8))-EXP(-B161/'Fit Diagnostics'!$B$8))+'Fit Diagnostics'!$B$7*(((1-EXP(-B161/'Fit Diagnostics'!$B$9))/(B161/'Fit Diagnostics'!$B$9))-EXP(-B161/'Fit Diagnostics'!$B$9))</f>
        <v>4.8339992839041959E-2</v>
      </c>
      <c r="D161" s="29">
        <f t="shared" si="2"/>
        <v>0.58890683803346977</v>
      </c>
    </row>
    <row r="162" spans="1:4" ht="15" customHeight="1" x14ac:dyDescent="0.25">
      <c r="A162" s="26">
        <v>50359</v>
      </c>
      <c r="B162" s="27">
        <v>11.205500000000001</v>
      </c>
      <c r="C162" s="28">
        <f>'Fit Diagnostics'!$B$4+'Fit Diagnostics'!$B$5*((1-EXP(-B162/'Fit Diagnostics'!$B$8))/(B162/'Fit Diagnostics'!$B$8))+'Fit Diagnostics'!$B$6*(((1-EXP(-B162/'Fit Diagnostics'!$B$8))/(B162/'Fit Diagnostics'!$B$8))-EXP(-B162/'Fit Diagnostics'!$B$8))+'Fit Diagnostics'!$B$7*(((1-EXP(-B162/'Fit Diagnostics'!$B$9))/(B162/'Fit Diagnostics'!$B$9))-EXP(-B162/'Fit Diagnostics'!$B$9))</f>
        <v>4.852511155309791E-2</v>
      </c>
      <c r="D162" s="29">
        <f t="shared" si="2"/>
        <v>0.58056812006155756</v>
      </c>
    </row>
    <row r="163" spans="1:4" ht="15" customHeight="1" x14ac:dyDescent="0.25">
      <c r="A163" s="26">
        <v>50374</v>
      </c>
      <c r="B163" s="27">
        <v>11.246600000000001</v>
      </c>
      <c r="C163" s="28">
        <f>'Fit Diagnostics'!$B$4+'Fit Diagnostics'!$B$5*((1-EXP(-B163/'Fit Diagnostics'!$B$8))/(B163/'Fit Diagnostics'!$B$8))+'Fit Diagnostics'!$B$6*(((1-EXP(-B163/'Fit Diagnostics'!$B$8))/(B163/'Fit Diagnostics'!$B$8))-EXP(-B163/'Fit Diagnostics'!$B$8))+'Fit Diagnostics'!$B$7*(((1-EXP(-B163/'Fit Diagnostics'!$B$9))/(B163/'Fit Diagnostics'!$B$9))-EXP(-B163/'Fit Diagnostics'!$B$9))</f>
        <v>4.8555410466262647E-2</v>
      </c>
      <c r="D163" s="29">
        <f t="shared" si="2"/>
        <v>0.57921399280741503</v>
      </c>
    </row>
    <row r="164" spans="1:4" ht="15" customHeight="1" x14ac:dyDescent="0.25">
      <c r="A164" s="26">
        <v>50451</v>
      </c>
      <c r="B164" s="27">
        <v>11.4575</v>
      </c>
      <c r="C164" s="28">
        <f>'Fit Diagnostics'!$B$4+'Fit Diagnostics'!$B$5*((1-EXP(-B164/'Fit Diagnostics'!$B$8))/(B164/'Fit Diagnostics'!$B$8))+'Fit Diagnostics'!$B$6*(((1-EXP(-B164/'Fit Diagnostics'!$B$8))/(B164/'Fit Diagnostics'!$B$8))-EXP(-B164/'Fit Diagnostics'!$B$8))+'Fit Diagnostics'!$B$7*(((1-EXP(-B164/'Fit Diagnostics'!$B$9))/(B164/'Fit Diagnostics'!$B$9))-EXP(-B164/'Fit Diagnostics'!$B$9))</f>
        <v>4.8711298972074629E-2</v>
      </c>
      <c r="D164" s="29">
        <f t="shared" si="2"/>
        <v>0.57228983695479263</v>
      </c>
    </row>
    <row r="165" spans="1:4" ht="15" customHeight="1" x14ac:dyDescent="0.25">
      <c r="A165" s="26">
        <v>50540</v>
      </c>
      <c r="B165" s="27">
        <v>11.7014</v>
      </c>
      <c r="C165" s="28">
        <f>'Fit Diagnostics'!$B$4+'Fit Diagnostics'!$B$5*((1-EXP(-B165/'Fit Diagnostics'!$B$8))/(B165/'Fit Diagnostics'!$B$8))+'Fit Diagnostics'!$B$6*(((1-EXP(-B165/'Fit Diagnostics'!$B$8))/(B165/'Fit Diagnostics'!$B$8))-EXP(-B165/'Fit Diagnostics'!$B$8))+'Fit Diagnostics'!$B$7*(((1-EXP(-B165/'Fit Diagnostics'!$B$9))/(B165/'Fit Diagnostics'!$B$9))-EXP(-B165/'Fit Diagnostics'!$B$9))</f>
        <v>4.8892216834308652E-2</v>
      </c>
      <c r="D165" s="29">
        <f t="shared" si="2"/>
        <v>0.56433491315969797</v>
      </c>
    </row>
    <row r="166" spans="1:4" ht="15" customHeight="1" x14ac:dyDescent="0.25">
      <c r="A166" s="26">
        <v>50556</v>
      </c>
      <c r="B166" s="27">
        <v>11.745200000000001</v>
      </c>
      <c r="C166" s="28">
        <f>'Fit Diagnostics'!$B$4+'Fit Diagnostics'!$B$5*((1-EXP(-B166/'Fit Diagnostics'!$B$8))/(B166/'Fit Diagnostics'!$B$8))+'Fit Diagnostics'!$B$6*(((1-EXP(-B166/'Fit Diagnostics'!$B$8))/(B166/'Fit Diagnostics'!$B$8))-EXP(-B166/'Fit Diagnostics'!$B$8))+'Fit Diagnostics'!$B$7*(((1-EXP(-B166/'Fit Diagnostics'!$B$9))/(B166/'Fit Diagnostics'!$B$9))-EXP(-B166/'Fit Diagnostics'!$B$9))</f>
        <v>4.8924753402913593E-2</v>
      </c>
      <c r="D166" s="29">
        <f t="shared" si="2"/>
        <v>0.562912537523654</v>
      </c>
    </row>
    <row r="167" spans="1:4" ht="15" customHeight="1" x14ac:dyDescent="0.25">
      <c r="A167" s="26">
        <v>50632</v>
      </c>
      <c r="B167" s="27">
        <v>11.9534</v>
      </c>
      <c r="C167" s="28">
        <f>'Fit Diagnostics'!$B$4+'Fit Diagnostics'!$B$5*((1-EXP(-B167/'Fit Diagnostics'!$B$8))/(B167/'Fit Diagnostics'!$B$8))+'Fit Diagnostics'!$B$6*(((1-EXP(-B167/'Fit Diagnostics'!$B$8))/(B167/'Fit Diagnostics'!$B$8))-EXP(-B167/'Fit Diagnostics'!$B$8))+'Fit Diagnostics'!$B$7*(((1-EXP(-B167/'Fit Diagnostics'!$B$9))/(B167/'Fit Diagnostics'!$B$9))-EXP(-B167/'Fit Diagnostics'!$B$9))</f>
        <v>4.9079506199868256E-2</v>
      </c>
      <c r="D167" s="29">
        <f t="shared" si="2"/>
        <v>0.55617795699202288</v>
      </c>
    </row>
    <row r="168" spans="1:4" ht="15" customHeight="1" x14ac:dyDescent="0.25">
      <c r="A168" s="26">
        <v>50724</v>
      </c>
      <c r="B168" s="27">
        <v>12.205500000000001</v>
      </c>
      <c r="C168" s="28">
        <f>'Fit Diagnostics'!$B$4+'Fit Diagnostics'!$B$5*((1-EXP(-B168/'Fit Diagnostics'!$B$8))/(B168/'Fit Diagnostics'!$B$8))+'Fit Diagnostics'!$B$6*(((1-EXP(-B168/'Fit Diagnostics'!$B$8))/(B168/'Fit Diagnostics'!$B$8))-EXP(-B168/'Fit Diagnostics'!$B$8))+'Fit Diagnostics'!$B$7*(((1-EXP(-B168/'Fit Diagnostics'!$B$9))/(B168/'Fit Diagnostics'!$B$9))-EXP(-B168/'Fit Diagnostics'!$B$9))</f>
        <v>4.926686764680558E-2</v>
      </c>
      <c r="D168" s="29">
        <f t="shared" si="2"/>
        <v>0.54808398139057424</v>
      </c>
    </row>
    <row r="169" spans="1:4" ht="15" customHeight="1" x14ac:dyDescent="0.25">
      <c r="A169" s="26">
        <v>50739</v>
      </c>
      <c r="B169" s="27">
        <v>12.246600000000001</v>
      </c>
      <c r="C169" s="28">
        <f>'Fit Diagnostics'!$B$4+'Fit Diagnostics'!$B$5*((1-EXP(-B169/'Fit Diagnostics'!$B$8))/(B169/'Fit Diagnostics'!$B$8))+'Fit Diagnostics'!$B$6*(((1-EXP(-B169/'Fit Diagnostics'!$B$8))/(B169/'Fit Diagnostics'!$B$8))-EXP(-B169/'Fit Diagnostics'!$B$8))+'Fit Diagnostics'!$B$7*(((1-EXP(-B169/'Fit Diagnostics'!$B$9))/(B169/'Fit Diagnostics'!$B$9))-EXP(-B169/'Fit Diagnostics'!$B$9))</f>
        <v>4.929738801190215E-2</v>
      </c>
      <c r="D169" s="29">
        <f t="shared" si="2"/>
        <v>0.54677090122973593</v>
      </c>
    </row>
    <row r="170" spans="1:4" ht="15" customHeight="1" x14ac:dyDescent="0.25">
      <c r="A170" s="26">
        <v>50816</v>
      </c>
      <c r="B170" s="27">
        <v>12.4575</v>
      </c>
      <c r="C170" s="28">
        <f>'Fit Diagnostics'!$B$4+'Fit Diagnostics'!$B$5*((1-EXP(-B170/'Fit Diagnostics'!$B$8))/(B170/'Fit Diagnostics'!$B$8))+'Fit Diagnostics'!$B$6*(((1-EXP(-B170/'Fit Diagnostics'!$B$8))/(B170/'Fit Diagnostics'!$B$8))-EXP(-B170/'Fit Diagnostics'!$B$8))+'Fit Diagnostics'!$B$7*(((1-EXP(-B170/'Fit Diagnostics'!$B$9))/(B170/'Fit Diagnostics'!$B$9))-EXP(-B170/'Fit Diagnostics'!$B$9))</f>
        <v>4.9453788716139105E-2</v>
      </c>
      <c r="D170" s="29">
        <f t="shared" si="2"/>
        <v>0.54006240951211237</v>
      </c>
    </row>
    <row r="171" spans="1:4" ht="15" customHeight="1" x14ac:dyDescent="0.25">
      <c r="A171" s="26">
        <v>50905</v>
      </c>
      <c r="B171" s="27">
        <v>12.7014</v>
      </c>
      <c r="C171" s="28">
        <f>'Fit Diagnostics'!$B$4+'Fit Diagnostics'!$B$5*((1-EXP(-B171/'Fit Diagnostics'!$B$8))/(B171/'Fit Diagnostics'!$B$8))+'Fit Diagnostics'!$B$6*(((1-EXP(-B171/'Fit Diagnostics'!$B$8))/(B171/'Fit Diagnostics'!$B$8))-EXP(-B171/'Fit Diagnostics'!$B$8))+'Fit Diagnostics'!$B$7*(((1-EXP(-B171/'Fit Diagnostics'!$B$9))/(B171/'Fit Diagnostics'!$B$9))-EXP(-B171/'Fit Diagnostics'!$B$9))</f>
        <v>4.9634022084819998E-2</v>
      </c>
      <c r="D171" s="29">
        <f t="shared" si="2"/>
        <v>0.5323673246083096</v>
      </c>
    </row>
    <row r="172" spans="1:4" ht="15" customHeight="1" x14ac:dyDescent="0.25">
      <c r="A172" s="26">
        <v>50921</v>
      </c>
      <c r="B172" s="27">
        <v>12.745200000000001</v>
      </c>
      <c r="C172" s="28">
        <f>'Fit Diagnostics'!$B$4+'Fit Diagnostics'!$B$5*((1-EXP(-B172/'Fit Diagnostics'!$B$8))/(B172/'Fit Diagnostics'!$B$8))+'Fit Diagnostics'!$B$6*(((1-EXP(-B172/'Fit Diagnostics'!$B$8))/(B172/'Fit Diagnostics'!$B$8))-EXP(-B172/'Fit Diagnostics'!$B$8))+'Fit Diagnostics'!$B$7*(((1-EXP(-B172/'Fit Diagnostics'!$B$9))/(B172/'Fit Diagnostics'!$B$9))-EXP(-B172/'Fit Diagnostics'!$B$9))</f>
        <v>4.9666293764664804E-2</v>
      </c>
      <c r="D172" s="29">
        <f t="shared" si="2"/>
        <v>0.53099278399840188</v>
      </c>
    </row>
    <row r="173" spans="1:4" ht="15" customHeight="1" x14ac:dyDescent="0.25">
      <c r="A173" s="26">
        <v>50997</v>
      </c>
      <c r="B173" s="27">
        <v>12.9534</v>
      </c>
      <c r="C173" s="28">
        <f>'Fit Diagnostics'!$B$4+'Fit Diagnostics'!$B$5*((1-EXP(-B173/'Fit Diagnostics'!$B$8))/(B173/'Fit Diagnostics'!$B$8))+'Fit Diagnostics'!$B$6*(((1-EXP(-B173/'Fit Diagnostics'!$B$8))/(B173/'Fit Diagnostics'!$B$8))-EXP(-B173/'Fit Diagnostics'!$B$8))+'Fit Diagnostics'!$B$7*(((1-EXP(-B173/'Fit Diagnostics'!$B$9))/(B173/'Fit Diagnostics'!$B$9))-EXP(-B173/'Fit Diagnostics'!$B$9))</f>
        <v>4.981920971767978E-2</v>
      </c>
      <c r="D173" s="29">
        <f t="shared" si="2"/>
        <v>0.52449040173194583</v>
      </c>
    </row>
    <row r="174" spans="1:4" ht="15" customHeight="1" x14ac:dyDescent="0.25">
      <c r="A174" s="26">
        <v>51089</v>
      </c>
      <c r="B174" s="27">
        <v>13.205500000000001</v>
      </c>
      <c r="C174" s="28">
        <f>'Fit Diagnostics'!$B$4+'Fit Diagnostics'!$B$5*((1-EXP(-B174/'Fit Diagnostics'!$B$8))/(B174/'Fit Diagnostics'!$B$8))+'Fit Diagnostics'!$B$6*(((1-EXP(-B174/'Fit Diagnostics'!$B$8))/(B174/'Fit Diagnostics'!$B$8))-EXP(-B174/'Fit Diagnostics'!$B$8))+'Fit Diagnostics'!$B$7*(((1-EXP(-B174/'Fit Diagnostics'!$B$9))/(B174/'Fit Diagnostics'!$B$9))-EXP(-B174/'Fit Diagnostics'!$B$9))</f>
        <v>5.0003100511080645E-2</v>
      </c>
      <c r="D174" s="29">
        <f t="shared" si="2"/>
        <v>0.51668806431098135</v>
      </c>
    </row>
    <row r="175" spans="1:4" ht="15" customHeight="1" x14ac:dyDescent="0.25">
      <c r="A175" s="26">
        <v>51104</v>
      </c>
      <c r="B175" s="27">
        <v>13.246600000000001</v>
      </c>
      <c r="C175" s="28">
        <f>'Fit Diagnostics'!$B$4+'Fit Diagnostics'!$B$5*((1-EXP(-B175/'Fit Diagnostics'!$B$8))/(B175/'Fit Diagnostics'!$B$8))+'Fit Diagnostics'!$B$6*(((1-EXP(-B175/'Fit Diagnostics'!$B$8))/(B175/'Fit Diagnostics'!$B$8))-EXP(-B175/'Fit Diagnostics'!$B$8))+'Fit Diagnostics'!$B$7*(((1-EXP(-B175/'Fit Diagnostics'!$B$9))/(B175/'Fit Diagnostics'!$B$9))-EXP(-B175/'Fit Diagnostics'!$B$9))</f>
        <v>5.0032928911210334E-2</v>
      </c>
      <c r="D175" s="29">
        <f t="shared" si="2"/>
        <v>0.51542359794811354</v>
      </c>
    </row>
    <row r="176" spans="1:4" ht="15" customHeight="1" x14ac:dyDescent="0.25">
      <c r="A176" s="26">
        <v>51181</v>
      </c>
      <c r="B176" s="27">
        <v>13.4575</v>
      </c>
      <c r="C176" s="28">
        <f>'Fit Diagnostics'!$B$4+'Fit Diagnostics'!$B$5*((1-EXP(-B176/'Fit Diagnostics'!$B$8))/(B176/'Fit Diagnostics'!$B$8))+'Fit Diagnostics'!$B$6*(((1-EXP(-B176/'Fit Diagnostics'!$B$8))/(B176/'Fit Diagnostics'!$B$8))-EXP(-B176/'Fit Diagnostics'!$B$8))+'Fit Diagnostics'!$B$7*(((1-EXP(-B176/'Fit Diagnostics'!$B$9))/(B176/'Fit Diagnostics'!$B$9))-EXP(-B176/'Fit Diagnostics'!$B$9))</f>
        <v>5.0185237548695749E-2</v>
      </c>
      <c r="D176" s="29">
        <f t="shared" si="2"/>
        <v>0.5089691698468306</v>
      </c>
    </row>
    <row r="177" spans="1:4" ht="15" customHeight="1" x14ac:dyDescent="0.25">
      <c r="A177" s="26">
        <v>51271</v>
      </c>
      <c r="B177" s="27">
        <v>13.7041</v>
      </c>
      <c r="C177" s="28">
        <f>'Fit Diagnostics'!$B$4+'Fit Diagnostics'!$B$5*((1-EXP(-B177/'Fit Diagnostics'!$B$8))/(B177/'Fit Diagnostics'!$B$8))+'Fit Diagnostics'!$B$6*(((1-EXP(-B177/'Fit Diagnostics'!$B$8))/(B177/'Fit Diagnostics'!$B$8))-EXP(-B177/'Fit Diagnostics'!$B$8))+'Fit Diagnostics'!$B$7*(((1-EXP(-B177/'Fit Diagnostics'!$B$9))/(B177/'Fit Diagnostics'!$B$9))-EXP(-B177/'Fit Diagnostics'!$B$9))</f>
        <v>5.0361559436958123E-2</v>
      </c>
      <c r="D177" s="29">
        <f t="shared" si="2"/>
        <v>0.50149590020417278</v>
      </c>
    </row>
    <row r="178" spans="1:4" ht="15" customHeight="1" x14ac:dyDescent="0.25">
      <c r="A178" s="26">
        <v>51287</v>
      </c>
      <c r="B178" s="27">
        <v>13.7479</v>
      </c>
      <c r="C178" s="28">
        <f>'Fit Diagnostics'!$B$4+'Fit Diagnostics'!$B$5*((1-EXP(-B178/'Fit Diagnostics'!$B$8))/(B178/'Fit Diagnostics'!$B$8))+'Fit Diagnostics'!$B$6*(((1-EXP(-B178/'Fit Diagnostics'!$B$8))/(B178/'Fit Diagnostics'!$B$8))-EXP(-B178/'Fit Diagnostics'!$B$8))+'Fit Diagnostics'!$B$7*(((1-EXP(-B178/'Fit Diagnostics'!$B$9))/(B178/'Fit Diagnostics'!$B$9))-EXP(-B178/'Fit Diagnostics'!$B$9))</f>
        <v>5.039265861136967E-2</v>
      </c>
      <c r="D178" s="29">
        <f t="shared" si="2"/>
        <v>0.50017700594205916</v>
      </c>
    </row>
    <row r="179" spans="1:4" ht="15" customHeight="1" x14ac:dyDescent="0.25">
      <c r="A179" s="26">
        <v>51363</v>
      </c>
      <c r="B179" s="27">
        <v>13.956200000000001</v>
      </c>
      <c r="C179" s="28">
        <f>'Fit Diagnostics'!$B$4+'Fit Diagnostics'!$B$5*((1-EXP(-B179/'Fit Diagnostics'!$B$8))/(B179/'Fit Diagnostics'!$B$8))+'Fit Diagnostics'!$B$6*(((1-EXP(-B179/'Fit Diagnostics'!$B$8))/(B179/'Fit Diagnostics'!$B$8))-EXP(-B179/'Fit Diagnostics'!$B$8))+'Fit Diagnostics'!$B$7*(((1-EXP(-B179/'Fit Diagnostics'!$B$9))/(B179/'Fit Diagnostics'!$B$9))-EXP(-B179/'Fit Diagnostics'!$B$9))</f>
        <v>5.053958078670126E-2</v>
      </c>
      <c r="D179" s="29">
        <f t="shared" si="2"/>
        <v>0.49394036022330806</v>
      </c>
    </row>
    <row r="180" spans="1:4" ht="15" customHeight="1" x14ac:dyDescent="0.25">
      <c r="A180" s="26">
        <v>51455</v>
      </c>
      <c r="B180" s="27">
        <v>14.2082</v>
      </c>
      <c r="C180" s="28">
        <f>'Fit Diagnostics'!$B$4+'Fit Diagnostics'!$B$5*((1-EXP(-B180/'Fit Diagnostics'!$B$8))/(B180/'Fit Diagnostics'!$B$8))+'Fit Diagnostics'!$B$6*(((1-EXP(-B180/'Fit Diagnostics'!$B$8))/(B180/'Fit Diagnostics'!$B$8))-EXP(-B180/'Fit Diagnostics'!$B$8))+'Fit Diagnostics'!$B$7*(((1-EXP(-B180/'Fit Diagnostics'!$B$9))/(B180/'Fit Diagnostics'!$B$9))-EXP(-B180/'Fit Diagnostics'!$B$9))</f>
        <v>5.0715008479749038E-2</v>
      </c>
      <c r="D180" s="29">
        <f t="shared" si="2"/>
        <v>0.48647538074270091</v>
      </c>
    </row>
    <row r="181" spans="1:4" ht="15" customHeight="1" x14ac:dyDescent="0.25">
      <c r="A181" s="26">
        <v>51470</v>
      </c>
      <c r="B181" s="27">
        <v>14.2493</v>
      </c>
      <c r="C181" s="28">
        <f>'Fit Diagnostics'!$B$4+'Fit Diagnostics'!$B$5*((1-EXP(-B181/'Fit Diagnostics'!$B$8))/(B181/'Fit Diagnostics'!$B$8))+'Fit Diagnostics'!$B$6*(((1-EXP(-B181/'Fit Diagnostics'!$B$8))/(B181/'Fit Diagnostics'!$B$8))-EXP(-B181/'Fit Diagnostics'!$B$8))+'Fit Diagnostics'!$B$7*(((1-EXP(-B181/'Fit Diagnostics'!$B$9))/(B181/'Fit Diagnostics'!$B$9))-EXP(-B181/'Fit Diagnostics'!$B$9))</f>
        <v>5.0743363043531886E-2</v>
      </c>
      <c r="D181" s="29">
        <f t="shared" si="2"/>
        <v>0.48526633083793297</v>
      </c>
    </row>
    <row r="182" spans="1:4" ht="15" customHeight="1" x14ac:dyDescent="0.25">
      <c r="A182" s="26">
        <v>51547</v>
      </c>
      <c r="B182" s="27">
        <v>14.4603</v>
      </c>
      <c r="C182" s="28">
        <f>'Fit Diagnostics'!$B$4+'Fit Diagnostics'!$B$5*((1-EXP(-B182/'Fit Diagnostics'!$B$8))/(B182/'Fit Diagnostics'!$B$8))+'Fit Diagnostics'!$B$6*(((1-EXP(-B182/'Fit Diagnostics'!$B$8))/(B182/'Fit Diagnostics'!$B$8))-EXP(-B182/'Fit Diagnostics'!$B$8))+'Fit Diagnostics'!$B$7*(((1-EXP(-B182/'Fit Diagnostics'!$B$9))/(B182/'Fit Diagnostics'!$B$9))-EXP(-B182/'Fit Diagnostics'!$B$9))</f>
        <v>5.0887727167440312E-2</v>
      </c>
      <c r="D182" s="29">
        <f t="shared" si="2"/>
        <v>0.47909718957588998</v>
      </c>
    </row>
    <row r="183" spans="1:4" ht="15" customHeight="1" x14ac:dyDescent="0.25">
      <c r="A183" s="26">
        <v>51636</v>
      </c>
      <c r="B183" s="27">
        <v>14.7041</v>
      </c>
      <c r="C183" s="28">
        <f>'Fit Diagnostics'!$B$4+'Fit Diagnostics'!$B$5*((1-EXP(-B183/'Fit Diagnostics'!$B$8))/(B183/'Fit Diagnostics'!$B$8))+'Fit Diagnostics'!$B$6*(((1-EXP(-B183/'Fit Diagnostics'!$B$8))/(B183/'Fit Diagnostics'!$B$8))-EXP(-B183/'Fit Diagnostics'!$B$8))+'Fit Diagnostics'!$B$7*(((1-EXP(-B183/'Fit Diagnostics'!$B$9))/(B183/'Fit Diagnostics'!$B$9))-EXP(-B183/'Fit Diagnostics'!$B$9))</f>
        <v>5.1051889541113268E-2</v>
      </c>
      <c r="D183" s="29">
        <f t="shared" si="2"/>
        <v>0.47204918703719451</v>
      </c>
    </row>
    <row r="184" spans="1:4" ht="15" customHeight="1" x14ac:dyDescent="0.25">
      <c r="A184" s="26">
        <v>51652</v>
      </c>
      <c r="B184" s="27">
        <v>14.7479</v>
      </c>
      <c r="C184" s="28">
        <f>'Fit Diagnostics'!$B$4+'Fit Diagnostics'!$B$5*((1-EXP(-B184/'Fit Diagnostics'!$B$8))/(B184/'Fit Diagnostics'!$B$8))+'Fit Diagnostics'!$B$6*(((1-EXP(-B184/'Fit Diagnostics'!$B$8))/(B184/'Fit Diagnostics'!$B$8))-EXP(-B184/'Fit Diagnostics'!$B$8))+'Fit Diagnostics'!$B$7*(((1-EXP(-B184/'Fit Diagnostics'!$B$9))/(B184/'Fit Diagnostics'!$B$9))-EXP(-B184/'Fit Diagnostics'!$B$9))</f>
        <v>5.1081066945986457E-2</v>
      </c>
      <c r="D184" s="29">
        <f t="shared" si="2"/>
        <v>0.47079220191384086</v>
      </c>
    </row>
    <row r="185" spans="1:4" ht="15" customHeight="1" x14ac:dyDescent="0.25">
      <c r="A185" s="26">
        <v>51728</v>
      </c>
      <c r="B185" s="27">
        <v>14.956200000000001</v>
      </c>
      <c r="C185" s="28">
        <f>'Fit Diagnostics'!$B$4+'Fit Diagnostics'!$B$5*((1-EXP(-B185/'Fit Diagnostics'!$B$8))/(B185/'Fit Diagnostics'!$B$8))+'Fit Diagnostics'!$B$6*(((1-EXP(-B185/'Fit Diagnostics'!$B$8))/(B185/'Fit Diagnostics'!$B$8))-EXP(-B185/'Fit Diagnostics'!$B$8))+'Fit Diagnostics'!$B$7*(((1-EXP(-B185/'Fit Diagnostics'!$B$9))/(B185/'Fit Diagnostics'!$B$9))-EXP(-B185/'Fit Diagnostics'!$B$9))</f>
        <v>5.1218452458918817E-2</v>
      </c>
      <c r="D185" s="29">
        <f t="shared" si="2"/>
        <v>0.46485329459616059</v>
      </c>
    </row>
    <row r="186" spans="1:4" ht="15" customHeight="1" x14ac:dyDescent="0.25">
      <c r="A186" s="26">
        <v>51820</v>
      </c>
      <c r="B186" s="27">
        <v>15.2082</v>
      </c>
      <c r="C186" s="28">
        <f>'Fit Diagnostics'!$B$4+'Fit Diagnostics'!$B$5*((1-EXP(-B186/'Fit Diagnostics'!$B$8))/(B186/'Fit Diagnostics'!$B$8))+'Fit Diagnostics'!$B$6*(((1-EXP(-B186/'Fit Diagnostics'!$B$8))/(B186/'Fit Diagnostics'!$B$8))-EXP(-B186/'Fit Diagnostics'!$B$8))+'Fit Diagnostics'!$B$7*(((1-EXP(-B186/'Fit Diagnostics'!$B$9))/(B186/'Fit Diagnostics'!$B$9))-EXP(-B186/'Fit Diagnostics'!$B$9))</f>
        <v>5.1381498749137042E-2</v>
      </c>
      <c r="D186" s="29">
        <f t="shared" si="2"/>
        <v>0.45775548669345245</v>
      </c>
    </row>
    <row r="187" spans="1:4" ht="15" customHeight="1" x14ac:dyDescent="0.25">
      <c r="A187" s="26">
        <v>51835</v>
      </c>
      <c r="B187" s="27">
        <v>15.2493</v>
      </c>
      <c r="C187" s="28">
        <f>'Fit Diagnostics'!$B$4+'Fit Diagnostics'!$B$5*((1-EXP(-B187/'Fit Diagnostics'!$B$8))/(B187/'Fit Diagnostics'!$B$8))+'Fit Diagnostics'!$B$6*(((1-EXP(-B187/'Fit Diagnostics'!$B$8))/(B187/'Fit Diagnostics'!$B$8))-EXP(-B187/'Fit Diagnostics'!$B$8))+'Fit Diagnostics'!$B$7*(((1-EXP(-B187/'Fit Diagnostics'!$B$9))/(B187/'Fit Diagnostics'!$B$9))-EXP(-B187/'Fit Diagnostics'!$B$9))</f>
        <v>5.1407749750789246E-2</v>
      </c>
      <c r="D187" s="29">
        <f t="shared" si="2"/>
        <v>0.45660700731668574</v>
      </c>
    </row>
    <row r="188" spans="1:4" ht="15" customHeight="1" x14ac:dyDescent="0.25">
      <c r="A188" s="26">
        <v>51912</v>
      </c>
      <c r="B188" s="27">
        <v>15.4603</v>
      </c>
      <c r="C188" s="28">
        <f>'Fit Diagnostics'!$B$4+'Fit Diagnostics'!$B$5*((1-EXP(-B188/'Fit Diagnostics'!$B$8))/(B188/'Fit Diagnostics'!$B$8))+'Fit Diagnostics'!$B$6*(((1-EXP(-B188/'Fit Diagnostics'!$B$8))/(B188/'Fit Diagnostics'!$B$8))-EXP(-B188/'Fit Diagnostics'!$B$8))+'Fit Diagnostics'!$B$7*(((1-EXP(-B188/'Fit Diagnostics'!$B$9))/(B188/'Fit Diagnostics'!$B$9))-EXP(-B188/'Fit Diagnostics'!$B$9))</f>
        <v>5.1540957774431642E-2</v>
      </c>
      <c r="D188" s="29">
        <f t="shared" si="2"/>
        <v>0.45075168915212815</v>
      </c>
    </row>
    <row r="189" spans="1:4" ht="15" customHeight="1" x14ac:dyDescent="0.25">
      <c r="A189" s="26">
        <v>52001</v>
      </c>
      <c r="B189" s="27">
        <v>15.7041</v>
      </c>
      <c r="C189" s="28">
        <f>'Fit Diagnostics'!$B$4+'Fit Diagnostics'!$B$5*((1-EXP(-B189/'Fit Diagnostics'!$B$8))/(B189/'Fit Diagnostics'!$B$8))+'Fit Diagnostics'!$B$6*(((1-EXP(-B189/'Fit Diagnostics'!$B$8))/(B189/'Fit Diagnostics'!$B$8))-EXP(-B189/'Fit Diagnostics'!$B$8))+'Fit Diagnostics'!$B$7*(((1-EXP(-B189/'Fit Diagnostics'!$B$9))/(B189/'Fit Diagnostics'!$B$9))-EXP(-B189/'Fit Diagnostics'!$B$9))</f>
        <v>5.169151654774623E-2</v>
      </c>
      <c r="D189" s="29">
        <f t="shared" si="2"/>
        <v>0.44407192118484318</v>
      </c>
    </row>
    <row r="190" spans="1:4" ht="15" customHeight="1" x14ac:dyDescent="0.25">
      <c r="A190" s="26">
        <v>52093</v>
      </c>
      <c r="B190" s="27">
        <v>15.956200000000001</v>
      </c>
      <c r="C190" s="28">
        <f>'Fit Diagnostics'!$B$4+'Fit Diagnostics'!$B$5*((1-EXP(-B190/'Fit Diagnostics'!$B$8))/(B190/'Fit Diagnostics'!$B$8))+'Fit Diagnostics'!$B$6*(((1-EXP(-B190/'Fit Diagnostics'!$B$8))/(B190/'Fit Diagnostics'!$B$8))-EXP(-B190/'Fit Diagnostics'!$B$8))+'Fit Diagnostics'!$B$7*(((1-EXP(-B190/'Fit Diagnostics'!$B$9))/(B190/'Fit Diagnostics'!$B$9))-EXP(-B190/'Fit Diagnostics'!$B$9))</f>
        <v>5.1843256633020751E-2</v>
      </c>
      <c r="D190" s="29">
        <f t="shared" si="2"/>
        <v>0.43726259018094221</v>
      </c>
    </row>
    <row r="191" spans="1:4" ht="15" customHeight="1" x14ac:dyDescent="0.25">
      <c r="A191" s="26">
        <v>52185</v>
      </c>
      <c r="B191" s="27">
        <v>16.208200000000001</v>
      </c>
      <c r="C191" s="28">
        <f>'Fit Diagnostics'!$B$4+'Fit Diagnostics'!$B$5*((1-EXP(-B191/'Fit Diagnostics'!$B$8))/(B191/'Fit Diagnostics'!$B$8))+'Fit Diagnostics'!$B$6*(((1-EXP(-B191/'Fit Diagnostics'!$B$8))/(B191/'Fit Diagnostics'!$B$8))-EXP(-B191/'Fit Diagnostics'!$B$8))+'Fit Diagnostics'!$B$7*(((1-EXP(-B191/'Fit Diagnostics'!$B$9))/(B191/'Fit Diagnostics'!$B$9))-EXP(-B191/'Fit Diagnostics'!$B$9))</f>
        <v>5.1990768171358559E-2</v>
      </c>
      <c r="D191" s="29">
        <f t="shared" si="2"/>
        <v>0.43055647946672393</v>
      </c>
    </row>
    <row r="192" spans="1:4" ht="15" customHeight="1" x14ac:dyDescent="0.25">
      <c r="A192" s="26">
        <v>52277</v>
      </c>
      <c r="B192" s="27">
        <v>16.4603</v>
      </c>
      <c r="C192" s="28">
        <f>'Fit Diagnostics'!$B$4+'Fit Diagnostics'!$B$5*((1-EXP(-B192/'Fit Diagnostics'!$B$8))/(B192/'Fit Diagnostics'!$B$8))+'Fit Diagnostics'!$B$6*(((1-EXP(-B192/'Fit Diagnostics'!$B$8))/(B192/'Fit Diagnostics'!$B$8))-EXP(-B192/'Fit Diagnostics'!$B$8))+'Fit Diagnostics'!$B$7*(((1-EXP(-B192/'Fit Diagnostics'!$B$9))/(B192/'Fit Diagnostics'!$B$9))-EXP(-B192/'Fit Diagnostics'!$B$9))</f>
        <v>5.213401790617482E-2</v>
      </c>
      <c r="D192" s="29">
        <f t="shared" si="2"/>
        <v>0.4239492285351204</v>
      </c>
    </row>
    <row r="193" spans="1:4" ht="15" customHeight="1" x14ac:dyDescent="0.25">
      <c r="A193" s="26">
        <v>52366</v>
      </c>
      <c r="B193" s="27">
        <v>16.7041</v>
      </c>
      <c r="C193" s="28">
        <f>'Fit Diagnostics'!$B$4+'Fit Diagnostics'!$B$5*((1-EXP(-B193/'Fit Diagnostics'!$B$8))/(B193/'Fit Diagnostics'!$B$8))+'Fit Diagnostics'!$B$6*(((1-EXP(-B193/'Fit Diagnostics'!$B$8))/(B193/'Fit Diagnostics'!$B$8))-EXP(-B193/'Fit Diagnostics'!$B$8))+'Fit Diagnostics'!$B$7*(((1-EXP(-B193/'Fit Diagnostics'!$B$9))/(B193/'Fit Diagnostics'!$B$9))-EXP(-B193/'Fit Diagnostics'!$B$9))</f>
        <v>5.2268310605446372E-2</v>
      </c>
      <c r="D193" s="29">
        <f t="shared" si="2"/>
        <v>0.41765686229470528</v>
      </c>
    </row>
    <row r="194" spans="1:4" ht="15" customHeight="1" x14ac:dyDescent="0.25">
      <c r="A194" s="26">
        <v>52458</v>
      </c>
      <c r="B194" s="27">
        <v>16.956199999999999</v>
      </c>
      <c r="C194" s="28">
        <f>'Fit Diagnostics'!$B$4+'Fit Diagnostics'!$B$5*((1-EXP(-B194/'Fit Diagnostics'!$B$8))/(B194/'Fit Diagnostics'!$B$8))+'Fit Diagnostics'!$B$6*(((1-EXP(-B194/'Fit Diagnostics'!$B$8))/(B194/'Fit Diagnostics'!$B$8))-EXP(-B194/'Fit Diagnostics'!$B$8))+'Fit Diagnostics'!$B$7*(((1-EXP(-B194/'Fit Diagnostics'!$B$9))/(B194/'Fit Diagnostics'!$B$9))-EXP(-B194/'Fit Diagnostics'!$B$9))</f>
        <v>5.2402665785891735E-2</v>
      </c>
      <c r="D194" s="29">
        <f t="shared" ref="D194:D246" si="3">EXP(-C194*B194)</f>
        <v>0.4112516019468152</v>
      </c>
    </row>
    <row r="195" spans="1:4" ht="15" customHeight="1" x14ac:dyDescent="0.25">
      <c r="A195" s="26">
        <v>52550</v>
      </c>
      <c r="B195" s="27">
        <v>17.208200000000001</v>
      </c>
      <c r="C195" s="28">
        <f>'Fit Diagnostics'!$B$4+'Fit Diagnostics'!$B$5*((1-EXP(-B195/'Fit Diagnostics'!$B$8))/(B195/'Fit Diagnostics'!$B$8))+'Fit Diagnostics'!$B$6*(((1-EXP(-B195/'Fit Diagnostics'!$B$8))/(B195/'Fit Diagnostics'!$B$8))-EXP(-B195/'Fit Diagnostics'!$B$8))+'Fit Diagnostics'!$B$7*(((1-EXP(-B195/'Fit Diagnostics'!$B$9))/(B195/'Fit Diagnostics'!$B$9))-EXP(-B195/'Fit Diagnostics'!$B$9))</f>
        <v>5.253226981426054E-2</v>
      </c>
      <c r="D195" s="29">
        <f t="shared" si="3"/>
        <v>0.40495237741553414</v>
      </c>
    </row>
    <row r="196" spans="1:4" ht="15" customHeight="1" x14ac:dyDescent="0.25">
      <c r="A196" s="26">
        <v>52642</v>
      </c>
      <c r="B196" s="27">
        <v>17.4603</v>
      </c>
      <c r="C196" s="28">
        <f>'Fit Diagnostics'!$B$4+'Fit Diagnostics'!$B$5*((1-EXP(-B196/'Fit Diagnostics'!$B$8))/(B196/'Fit Diagnostics'!$B$8))+'Fit Diagnostics'!$B$6*(((1-EXP(-B196/'Fit Diagnostics'!$B$8))/(B196/'Fit Diagnostics'!$B$8))-EXP(-B196/'Fit Diagnostics'!$B$8))+'Fit Diagnostics'!$B$7*(((1-EXP(-B196/'Fit Diagnostics'!$B$9))/(B196/'Fit Diagnostics'!$B$9))-EXP(-B196/'Fit Diagnostics'!$B$9))</f>
        <v>5.2657118831009028E-2</v>
      </c>
      <c r="D196" s="29">
        <f t="shared" si="3"/>
        <v>0.39875459879352759</v>
      </c>
    </row>
    <row r="197" spans="1:4" ht="15" customHeight="1" x14ac:dyDescent="0.25">
      <c r="A197" s="26">
        <v>52732</v>
      </c>
      <c r="B197" s="27">
        <v>17.706800000000001</v>
      </c>
      <c r="C197" s="28">
        <f>'Fit Diagnostics'!$B$4+'Fit Diagnostics'!$B$5*((1-EXP(-B197/'Fit Diagnostics'!$B$8))/(B197/'Fit Diagnostics'!$B$8))+'Fit Diagnostics'!$B$6*(((1-EXP(-B197/'Fit Diagnostics'!$B$8))/(B197/'Fit Diagnostics'!$B$8))-EXP(-B197/'Fit Diagnostics'!$B$8))+'Fit Diagnostics'!$B$7*(((1-EXP(-B197/'Fit Diagnostics'!$B$9))/(B197/'Fit Diagnostics'!$B$9))-EXP(-B197/'Fit Diagnostics'!$B$9))</f>
        <v>5.2774453209433372E-2</v>
      </c>
      <c r="D197" s="29">
        <f t="shared" si="3"/>
        <v>0.3927952920896523</v>
      </c>
    </row>
    <row r="198" spans="1:4" ht="15" customHeight="1" x14ac:dyDescent="0.25">
      <c r="A198" s="26">
        <v>52824</v>
      </c>
      <c r="B198" s="27">
        <v>17.9589</v>
      </c>
      <c r="C198" s="28">
        <f>'Fit Diagnostics'!$B$4+'Fit Diagnostics'!$B$5*((1-EXP(-B198/'Fit Diagnostics'!$B$8))/(B198/'Fit Diagnostics'!$B$8))+'Fit Diagnostics'!$B$6*(((1-EXP(-B198/'Fit Diagnostics'!$B$8))/(B198/'Fit Diagnostics'!$B$8))-EXP(-B198/'Fit Diagnostics'!$B$8))+'Fit Diagnostics'!$B$7*(((1-EXP(-B198/'Fit Diagnostics'!$B$9))/(B198/'Fit Diagnostics'!$B$9))-EXP(-B198/'Fit Diagnostics'!$B$9))</f>
        <v>5.2889518475374465E-2</v>
      </c>
      <c r="D198" s="29">
        <f t="shared" si="3"/>
        <v>0.38680384560622083</v>
      </c>
    </row>
    <row r="199" spans="1:4" ht="15" customHeight="1" x14ac:dyDescent="0.25">
      <c r="A199" s="26">
        <v>52916</v>
      </c>
      <c r="B199" s="27">
        <v>18.210999999999999</v>
      </c>
      <c r="C199" s="28">
        <f>'Fit Diagnostics'!$B$4+'Fit Diagnostics'!$B$5*((1-EXP(-B199/'Fit Diagnostics'!$B$8))/(B199/'Fit Diagnostics'!$B$8))+'Fit Diagnostics'!$B$6*(((1-EXP(-B199/'Fit Diagnostics'!$B$8))/(B199/'Fit Diagnostics'!$B$8))-EXP(-B199/'Fit Diagnostics'!$B$8))+'Fit Diagnostics'!$B$7*(((1-EXP(-B199/'Fit Diagnostics'!$B$9))/(B199/'Fit Diagnostics'!$B$9))-EXP(-B199/'Fit Diagnostics'!$B$9))</f>
        <v>5.2999516001259801E-2</v>
      </c>
      <c r="D199" s="29">
        <f t="shared" si="3"/>
        <v>0.38091684361752687</v>
      </c>
    </row>
    <row r="200" spans="1:4" ht="15" customHeight="1" x14ac:dyDescent="0.25">
      <c r="A200" s="26">
        <v>53008</v>
      </c>
      <c r="B200" s="27">
        <v>18.463000000000001</v>
      </c>
      <c r="C200" s="28">
        <f>'Fit Diagnostics'!$B$4+'Fit Diagnostics'!$B$5*((1-EXP(-B200/'Fit Diagnostics'!$B$8))/(B200/'Fit Diagnostics'!$B$8))+'Fit Diagnostics'!$B$6*(((1-EXP(-B200/'Fit Diagnostics'!$B$8))/(B200/'Fit Diagnostics'!$B$8))-EXP(-B200/'Fit Diagnostics'!$B$8))+'Fit Diagnostics'!$B$7*(((1-EXP(-B200/'Fit Diagnostics'!$B$9))/(B200/'Fit Diagnostics'!$B$9))-EXP(-B200/'Fit Diagnostics'!$B$9))</f>
        <v>5.3104335776825572E-2</v>
      </c>
      <c r="D200" s="29">
        <f t="shared" si="3"/>
        <v>0.37513648791915083</v>
      </c>
    </row>
    <row r="201" spans="1:4" ht="15" customHeight="1" x14ac:dyDescent="0.25">
      <c r="A201" s="26">
        <v>53097</v>
      </c>
      <c r="B201" s="27">
        <v>18.706800000000001</v>
      </c>
      <c r="C201" s="28">
        <f>'Fit Diagnostics'!$B$4+'Fit Diagnostics'!$B$5*((1-EXP(-B201/'Fit Diagnostics'!$B$8))/(B201/'Fit Diagnostics'!$B$8))+'Fit Diagnostics'!$B$6*(((1-EXP(-B201/'Fit Diagnostics'!$B$8))/(B201/'Fit Diagnostics'!$B$8))-EXP(-B201/'Fit Diagnostics'!$B$8))+'Fit Diagnostics'!$B$7*(((1-EXP(-B201/'Fit Diagnostics'!$B$9))/(B201/'Fit Diagnostics'!$B$9))-EXP(-B201/'Fit Diagnostics'!$B$9))</f>
        <v>5.3200801998937564E-2</v>
      </c>
      <c r="D201" s="29">
        <f t="shared" si="3"/>
        <v>0.36964331092783359</v>
      </c>
    </row>
    <row r="202" spans="1:4" ht="15" customHeight="1" x14ac:dyDescent="0.25">
      <c r="A202" s="26">
        <v>53189</v>
      </c>
      <c r="B202" s="27">
        <v>18.9589</v>
      </c>
      <c r="C202" s="28">
        <f>'Fit Diagnostics'!$B$4+'Fit Diagnostics'!$B$5*((1-EXP(-B202/'Fit Diagnostics'!$B$8))/(B202/'Fit Diagnostics'!$B$8))+'Fit Diagnostics'!$B$6*(((1-EXP(-B202/'Fit Diagnostics'!$B$8))/(B202/'Fit Diagnostics'!$B$8))-EXP(-B202/'Fit Diagnostics'!$B$8))+'Fit Diagnostics'!$B$7*(((1-EXP(-B202/'Fit Diagnostics'!$B$9))/(B202/'Fit Diagnostics'!$B$9))-EXP(-B202/'Fit Diagnostics'!$B$9))</f>
        <v>5.329538856922595E-2</v>
      </c>
      <c r="D202" s="29">
        <f t="shared" si="3"/>
        <v>0.36406533257851953</v>
      </c>
    </row>
    <row r="203" spans="1:4" ht="15" customHeight="1" x14ac:dyDescent="0.25">
      <c r="A203" s="26">
        <v>53281</v>
      </c>
      <c r="B203" s="27">
        <v>19.210999999999999</v>
      </c>
      <c r="C203" s="28">
        <f>'Fit Diagnostics'!$B$4+'Fit Diagnostics'!$B$5*((1-EXP(-B203/'Fit Diagnostics'!$B$8))/(B203/'Fit Diagnostics'!$B$8))+'Fit Diagnostics'!$B$6*(((1-EXP(-B203/'Fit Diagnostics'!$B$8))/(B203/'Fit Diagnostics'!$B$8))-EXP(-B203/'Fit Diagnostics'!$B$8))+'Fit Diagnostics'!$B$7*(((1-EXP(-B203/'Fit Diagnostics'!$B$9))/(B203/'Fit Diagnostics'!$B$9))-EXP(-B203/'Fit Diagnostics'!$B$9))</f>
        <v>5.3384679829113282E-2</v>
      </c>
      <c r="D203" s="29">
        <f t="shared" si="3"/>
        <v>0.35859090372935404</v>
      </c>
    </row>
    <row r="204" spans="1:4" ht="15" customHeight="1" x14ac:dyDescent="0.25">
      <c r="A204" s="26">
        <v>53373</v>
      </c>
      <c r="B204" s="27">
        <v>19.463000000000001</v>
      </c>
      <c r="C204" s="28">
        <f>'Fit Diagnostics'!$B$4+'Fit Diagnostics'!$B$5*((1-EXP(-B204/'Fit Diagnostics'!$B$8))/(B204/'Fit Diagnostics'!$B$8))+'Fit Diagnostics'!$B$6*(((1-EXP(-B204/'Fit Diagnostics'!$B$8))/(B204/'Fit Diagnostics'!$B$8))-EXP(-B204/'Fit Diagnostics'!$B$8))+'Fit Diagnostics'!$B$7*(((1-EXP(-B204/'Fit Diagnostics'!$B$9))/(B204/'Fit Diagnostics'!$B$9))-EXP(-B204/'Fit Diagnostics'!$B$9))</f>
        <v>5.3468605140531929E-2</v>
      </c>
      <c r="D204" s="29">
        <f t="shared" si="3"/>
        <v>0.35322166892031259</v>
      </c>
    </row>
    <row r="205" spans="1:4" ht="15" customHeight="1" x14ac:dyDescent="0.25">
      <c r="A205" s="26">
        <v>53462</v>
      </c>
      <c r="B205" s="27">
        <v>19.706800000000001</v>
      </c>
      <c r="C205" s="28">
        <f>'Fit Diagnostics'!$B$4+'Fit Diagnostics'!$B$5*((1-EXP(-B205/'Fit Diagnostics'!$B$8))/(B205/'Fit Diagnostics'!$B$8))+'Fit Diagnostics'!$B$6*(((1-EXP(-B205/'Fit Diagnostics'!$B$8))/(B205/'Fit Diagnostics'!$B$8))-EXP(-B205/'Fit Diagnostics'!$B$8))+'Fit Diagnostics'!$B$7*(((1-EXP(-B205/'Fit Diagnostics'!$B$9))/(B205/'Fit Diagnostics'!$B$9))-EXP(-B205/'Fit Diagnostics'!$B$9))</f>
        <v>5.3544697725898045E-2</v>
      </c>
      <c r="D205" s="29">
        <f t="shared" si="3"/>
        <v>0.34812465854380154</v>
      </c>
    </row>
    <row r="206" spans="1:4" ht="15" customHeight="1" x14ac:dyDescent="0.25">
      <c r="A206" s="26">
        <v>53554</v>
      </c>
      <c r="B206" s="27">
        <v>19.9589</v>
      </c>
      <c r="C206" s="28">
        <f>'Fit Diagnostics'!$B$4+'Fit Diagnostics'!$B$5*((1-EXP(-B206/'Fit Diagnostics'!$B$8))/(B206/'Fit Diagnostics'!$B$8))+'Fit Diagnostics'!$B$6*(((1-EXP(-B206/'Fit Diagnostics'!$B$8))/(B206/'Fit Diagnostics'!$B$8))-EXP(-B206/'Fit Diagnostics'!$B$8))+'Fit Diagnostics'!$B$7*(((1-EXP(-B206/'Fit Diagnostics'!$B$9))/(B206/'Fit Diagnostics'!$B$9))-EXP(-B206/'Fit Diagnostics'!$B$9))</f>
        <v>5.3618079918545808E-2</v>
      </c>
      <c r="D206" s="29">
        <f t="shared" si="3"/>
        <v>0.34295436226619208</v>
      </c>
    </row>
    <row r="207" spans="1:4" ht="15" customHeight="1" x14ac:dyDescent="0.25">
      <c r="A207" s="26">
        <v>53646</v>
      </c>
      <c r="B207" s="27">
        <v>20.210999999999999</v>
      </c>
      <c r="C207" s="28">
        <f>'Fit Diagnostics'!$B$4+'Fit Diagnostics'!$B$5*((1-EXP(-B207/'Fit Diagnostics'!$B$8))/(B207/'Fit Diagnostics'!$B$8))+'Fit Diagnostics'!$B$6*(((1-EXP(-B207/'Fit Diagnostics'!$B$8))/(B207/'Fit Diagnostics'!$B$8))-EXP(-B207/'Fit Diagnostics'!$B$8))+'Fit Diagnostics'!$B$7*(((1-EXP(-B207/'Fit Diagnostics'!$B$9))/(B207/'Fit Diagnostics'!$B$9))-EXP(-B207/'Fit Diagnostics'!$B$9))</f>
        <v>5.3686053846418183E-2</v>
      </c>
      <c r="D207" s="29">
        <f t="shared" si="3"/>
        <v>0.33788528510382887</v>
      </c>
    </row>
    <row r="208" spans="1:4" ht="15" customHeight="1" x14ac:dyDescent="0.25">
      <c r="A208" s="26">
        <v>53738</v>
      </c>
      <c r="B208" s="27">
        <v>20.463000000000001</v>
      </c>
      <c r="C208" s="28">
        <f>'Fit Diagnostics'!$B$4+'Fit Diagnostics'!$B$5*((1-EXP(-B208/'Fit Diagnostics'!$B$8))/(B208/'Fit Diagnostics'!$B$8))+'Fit Diagnostics'!$B$6*(((1-EXP(-B208/'Fit Diagnostics'!$B$8))/(B208/'Fit Diagnostics'!$B$8))-EXP(-B208/'Fit Diagnostics'!$B$8))+'Fit Diagnostics'!$B$7*(((1-EXP(-B208/'Fit Diagnostics'!$B$9))/(B208/'Fit Diagnostics'!$B$9))-EXP(-B208/'Fit Diagnostics'!$B$9))</f>
        <v>5.3748582798215823E-2</v>
      </c>
      <c r="D208" s="29">
        <f t="shared" si="3"/>
        <v>0.33291860450360972</v>
      </c>
    </row>
    <row r="209" spans="1:4" ht="15" customHeight="1" x14ac:dyDescent="0.25">
      <c r="A209" s="26">
        <v>53827</v>
      </c>
      <c r="B209" s="27">
        <v>20.706800000000001</v>
      </c>
      <c r="C209" s="28">
        <f>'Fit Diagnostics'!$B$4+'Fit Diagnostics'!$B$5*((1-EXP(-B209/'Fit Diagnostics'!$B$8))/(B209/'Fit Diagnostics'!$B$8))+'Fit Diagnostics'!$B$6*(((1-EXP(-B209/'Fit Diagnostics'!$B$8))/(B209/'Fit Diagnostics'!$B$8))-EXP(-B209/'Fit Diagnostics'!$B$8))+'Fit Diagnostics'!$B$7*(((1-EXP(-B209/'Fit Diagnostics'!$B$9))/(B209/'Fit Diagnostics'!$B$9))-EXP(-B209/'Fit Diagnostics'!$B$9))</f>
        <v>5.3803914690208648E-2</v>
      </c>
      <c r="D209" s="29">
        <f t="shared" si="3"/>
        <v>0.32820827061914198</v>
      </c>
    </row>
    <row r="210" spans="1:4" ht="15" customHeight="1" x14ac:dyDescent="0.25">
      <c r="A210" s="26">
        <v>53919</v>
      </c>
      <c r="B210" s="27">
        <v>20.9589</v>
      </c>
      <c r="C210" s="28">
        <f>'Fit Diagnostics'!$B$4+'Fit Diagnostics'!$B$5*((1-EXP(-B210/'Fit Diagnostics'!$B$8))/(B210/'Fit Diagnostics'!$B$8))+'Fit Diagnostics'!$B$6*(((1-EXP(-B210/'Fit Diagnostics'!$B$8))/(B210/'Fit Diagnostics'!$B$8))-EXP(-B210/'Fit Diagnostics'!$B$8))+'Fit Diagnostics'!$B$7*(((1-EXP(-B210/'Fit Diagnostics'!$B$9))/(B210/'Fit Diagnostics'!$B$9))-EXP(-B210/'Fit Diagnostics'!$B$9))</f>
        <v>5.3855788993462266E-2</v>
      </c>
      <c r="D210" s="29">
        <f t="shared" si="3"/>
        <v>0.32343468195091313</v>
      </c>
    </row>
    <row r="211" spans="1:4" ht="15" customHeight="1" x14ac:dyDescent="0.25">
      <c r="A211" s="26">
        <v>54011</v>
      </c>
      <c r="B211" s="27">
        <v>21.210999999999999</v>
      </c>
      <c r="C211" s="28">
        <f>'Fit Diagnostics'!$B$4+'Fit Diagnostics'!$B$5*((1-EXP(-B211/'Fit Diagnostics'!$B$8))/(B211/'Fit Diagnostics'!$B$8))+'Fit Diagnostics'!$B$6*(((1-EXP(-B211/'Fit Diagnostics'!$B$8))/(B211/'Fit Diagnostics'!$B$8))-EXP(-B211/'Fit Diagnostics'!$B$8))+'Fit Diagnostics'!$B$7*(((1-EXP(-B211/'Fit Diagnostics'!$B$9))/(B211/'Fit Diagnostics'!$B$9))-EXP(-B211/'Fit Diagnostics'!$B$9))</f>
        <v>5.390223533607183E-2</v>
      </c>
      <c r="D211" s="29">
        <f t="shared" si="3"/>
        <v>0.31875888330253388</v>
      </c>
    </row>
    <row r="212" spans="1:4" ht="15" customHeight="1" x14ac:dyDescent="0.25">
      <c r="A212" s="26">
        <v>54103</v>
      </c>
      <c r="B212" s="27">
        <v>21.463000000000001</v>
      </c>
      <c r="C212" s="28">
        <f>'Fit Diagnostics'!$B$4+'Fit Diagnostics'!$B$5*((1-EXP(-B212/'Fit Diagnostics'!$B$8))/(B212/'Fit Diagnostics'!$B$8))+'Fit Diagnostics'!$B$6*(((1-EXP(-B212/'Fit Diagnostics'!$B$8))/(B212/'Fit Diagnostics'!$B$8))-EXP(-B212/'Fit Diagnostics'!$B$8))+'Fit Diagnostics'!$B$7*(((1-EXP(-B212/'Fit Diagnostics'!$B$9))/(B212/'Fit Diagnostics'!$B$9))-EXP(-B212/'Fit Diagnostics'!$B$9))</f>
        <v>5.3943245995021774E-2</v>
      </c>
      <c r="D212" s="29">
        <f t="shared" si="3"/>
        <v>0.31418167147949361</v>
      </c>
    </row>
    <row r="213" spans="1:4" ht="15" customHeight="1" x14ac:dyDescent="0.25">
      <c r="A213" s="26">
        <v>54193</v>
      </c>
      <c r="B213" s="27">
        <v>21.709599999999998</v>
      </c>
      <c r="C213" s="28">
        <f>'Fit Diagnostics'!$B$4+'Fit Diagnostics'!$B$5*((1-EXP(-B213/'Fit Diagnostics'!$B$8))/(B213/'Fit Diagnostics'!$B$8))+'Fit Diagnostics'!$B$6*(((1-EXP(-B213/'Fit Diagnostics'!$B$8))/(B213/'Fit Diagnostics'!$B$8))-EXP(-B213/'Fit Diagnostics'!$B$8))+'Fit Diagnostics'!$B$7*(((1-EXP(-B213/'Fit Diagnostics'!$B$9))/(B213/'Fit Diagnostics'!$B$9))-EXP(-B213/'Fit Diagnostics'!$B$9))</f>
        <v>5.3978145948452301E-2</v>
      </c>
      <c r="D213" s="29">
        <f t="shared" si="3"/>
        <v>0.30979516521120642</v>
      </c>
    </row>
    <row r="214" spans="1:4" ht="15" customHeight="1" x14ac:dyDescent="0.25">
      <c r="A214" s="26">
        <v>54285</v>
      </c>
      <c r="B214" s="27">
        <v>21.961600000000001</v>
      </c>
      <c r="C214" s="28">
        <f>'Fit Diagnostics'!$B$4+'Fit Diagnostics'!$B$5*((1-EXP(-B214/'Fit Diagnostics'!$B$8))/(B214/'Fit Diagnostics'!$B$8))+'Fit Diagnostics'!$B$6*(((1-EXP(-B214/'Fit Diagnostics'!$B$8))/(B214/'Fit Diagnostics'!$B$8))-EXP(-B214/'Fit Diagnostics'!$B$8))+'Fit Diagnostics'!$B$7*(((1-EXP(-B214/'Fit Diagnostics'!$B$9))/(B214/'Fit Diagnostics'!$B$9))-EXP(-B214/'Fit Diagnostics'!$B$9))</f>
        <v>5.4008479431727999E-2</v>
      </c>
      <c r="D214" s="29">
        <f t="shared" si="3"/>
        <v>0.30540618878290843</v>
      </c>
    </row>
    <row r="215" spans="1:4" ht="15" customHeight="1" x14ac:dyDescent="0.25">
      <c r="A215" s="26">
        <v>54377</v>
      </c>
      <c r="B215" s="27">
        <v>22.213699999999999</v>
      </c>
      <c r="C215" s="28">
        <f>'Fit Diagnostics'!$B$4+'Fit Diagnostics'!$B$5*((1-EXP(-B215/'Fit Diagnostics'!$B$8))/(B215/'Fit Diagnostics'!$B$8))+'Fit Diagnostics'!$B$6*(((1-EXP(-B215/'Fit Diagnostics'!$B$8))/(B215/'Fit Diagnostics'!$B$8))-EXP(-B215/'Fit Diagnostics'!$B$8))+'Fit Diagnostics'!$B$7*(((1-EXP(-B215/'Fit Diagnostics'!$B$9))/(B215/'Fit Diagnostics'!$B$9))-EXP(-B215/'Fit Diagnostics'!$B$9))</f>
        <v>5.4033453151406119E-2</v>
      </c>
      <c r="D215" s="29">
        <f t="shared" si="3"/>
        <v>0.30110901062008694</v>
      </c>
    </row>
    <row r="216" spans="1:4" ht="15" customHeight="1" x14ac:dyDescent="0.25">
      <c r="A216" s="26">
        <v>54469</v>
      </c>
      <c r="B216" s="27">
        <v>22.465800000000002</v>
      </c>
      <c r="C216" s="28">
        <f>'Fit Diagnostics'!$B$4+'Fit Diagnostics'!$B$5*((1-EXP(-B216/'Fit Diagnostics'!$B$8))/(B216/'Fit Diagnostics'!$B$8))+'Fit Diagnostics'!$B$6*(((1-EXP(-B216/'Fit Diagnostics'!$B$8))/(B216/'Fit Diagnostics'!$B$8))-EXP(-B216/'Fit Diagnostics'!$B$8))+'Fit Diagnostics'!$B$7*(((1-EXP(-B216/'Fit Diagnostics'!$B$9))/(B216/'Fit Diagnostics'!$B$9))-EXP(-B216/'Fit Diagnostics'!$B$9))</f>
        <v>5.4053077678656414E-2</v>
      </c>
      <c r="D216" s="29">
        <f t="shared" si="3"/>
        <v>0.29690423521941833</v>
      </c>
    </row>
    <row r="217" spans="1:4" ht="15" customHeight="1" x14ac:dyDescent="0.25">
      <c r="A217" s="26">
        <v>54558</v>
      </c>
      <c r="B217" s="27">
        <v>22.709599999999998</v>
      </c>
      <c r="C217" s="28">
        <f>'Fit Diagnostics'!$B$4+'Fit Diagnostics'!$B$5*((1-EXP(-B217/'Fit Diagnostics'!$B$8))/(B217/'Fit Diagnostics'!$B$8))+'Fit Diagnostics'!$B$6*(((1-EXP(-B217/'Fit Diagnostics'!$B$8))/(B217/'Fit Diagnostics'!$B$8))-EXP(-B217/'Fit Diagnostics'!$B$8))+'Fit Diagnostics'!$B$7*(((1-EXP(-B217/'Fit Diagnostics'!$B$9))/(B217/'Fit Diagnostics'!$B$9))-EXP(-B217/'Fit Diagnostics'!$B$9))</f>
        <v>5.406699369232755E-2</v>
      </c>
      <c r="D217" s="29">
        <f t="shared" si="3"/>
        <v>0.29292467059800714</v>
      </c>
    </row>
    <row r="218" spans="1:4" ht="15" customHeight="1" x14ac:dyDescent="0.25">
      <c r="A218" s="26">
        <v>54650</v>
      </c>
      <c r="B218" s="27">
        <v>22.961600000000001</v>
      </c>
      <c r="C218" s="28">
        <f>'Fit Diagnostics'!$B$4+'Fit Diagnostics'!$B$5*((1-EXP(-B218/'Fit Diagnostics'!$B$8))/(B218/'Fit Diagnostics'!$B$8))+'Fit Diagnostics'!$B$6*(((1-EXP(-B218/'Fit Diagnostics'!$B$8))/(B218/'Fit Diagnostics'!$B$8))-EXP(-B218/'Fit Diagnostics'!$B$8))+'Fit Diagnostics'!$B$7*(((1-EXP(-B218/'Fit Diagnostics'!$B$9))/(B218/'Fit Diagnostics'!$B$9))-EXP(-B218/'Fit Diagnostics'!$B$9))</f>
        <v>5.4076175638396451E-2</v>
      </c>
      <c r="D218" s="29">
        <f t="shared" si="3"/>
        <v>0.2888997564491238</v>
      </c>
    </row>
    <row r="219" spans="1:4" ht="15" customHeight="1" x14ac:dyDescent="0.25">
      <c r="A219" s="26">
        <v>54742</v>
      </c>
      <c r="B219" s="27">
        <v>23.213699999999999</v>
      </c>
      <c r="C219" s="28">
        <f>'Fit Diagnostics'!$B$4+'Fit Diagnostics'!$B$5*((1-EXP(-B219/'Fit Diagnostics'!$B$8))/(B219/'Fit Diagnostics'!$B$8))+'Fit Diagnostics'!$B$6*(((1-EXP(-B219/'Fit Diagnostics'!$B$8))/(B219/'Fit Diagnostics'!$B$8))-EXP(-B219/'Fit Diagnostics'!$B$8))+'Fit Diagnostics'!$B$7*(((1-EXP(-B219/'Fit Diagnostics'!$B$9))/(B219/'Fit Diagnostics'!$B$9))-EXP(-B219/'Fit Diagnostics'!$B$9))</f>
        <v>5.4080102912660508E-2</v>
      </c>
      <c r="D219" s="29">
        <f t="shared" si="3"/>
        <v>0.28496204444064566</v>
      </c>
    </row>
    <row r="220" spans="1:4" ht="15" customHeight="1" x14ac:dyDescent="0.25">
      <c r="A220" s="26">
        <v>54834</v>
      </c>
      <c r="B220" s="27">
        <v>23.465800000000002</v>
      </c>
      <c r="C220" s="28">
        <f>'Fit Diagnostics'!$B$4+'Fit Diagnostics'!$B$5*((1-EXP(-B220/'Fit Diagnostics'!$B$8))/(B220/'Fit Diagnostics'!$B$8))+'Fit Diagnostics'!$B$6*(((1-EXP(-B220/'Fit Diagnostics'!$B$8))/(B220/'Fit Diagnostics'!$B$8))-EXP(-B220/'Fit Diagnostics'!$B$8))+'Fit Diagnostics'!$B$7*(((1-EXP(-B220/'Fit Diagnostics'!$B$9))/(B220/'Fit Diagnostics'!$B$9))-EXP(-B220/'Fit Diagnostics'!$B$9))</f>
        <v>5.4078807010880692E-2</v>
      </c>
      <c r="D220" s="29">
        <f t="shared" si="3"/>
        <v>0.28111189964037164</v>
      </c>
    </row>
    <row r="221" spans="1:4" ht="15" customHeight="1" x14ac:dyDescent="0.25">
      <c r="A221" s="26">
        <v>54923</v>
      </c>
      <c r="B221" s="27">
        <v>23.709599999999998</v>
      </c>
      <c r="C221" s="28">
        <f>'Fit Diagnostics'!$B$4+'Fit Diagnostics'!$B$5*((1-EXP(-B221/'Fit Diagnostics'!$B$8))/(B221/'Fit Diagnostics'!$B$8))+'Fit Diagnostics'!$B$6*(((1-EXP(-B221/'Fit Diagnostics'!$B$8))/(B221/'Fit Diagnostics'!$B$8))-EXP(-B221/'Fit Diagnostics'!$B$8))+'Fit Diagnostics'!$B$7*(((1-EXP(-B221/'Fit Diagnostics'!$B$9))/(B221/'Fit Diagnostics'!$B$9))-EXP(-B221/'Fit Diagnostics'!$B$9))</f>
        <v>5.4072622231526757E-2</v>
      </c>
      <c r="D221" s="29">
        <f t="shared" si="3"/>
        <v>0.27747061478742291</v>
      </c>
    </row>
    <row r="222" spans="1:4" ht="15" customHeight="1" x14ac:dyDescent="0.25">
      <c r="A222" s="26">
        <v>55015</v>
      </c>
      <c r="B222" s="27">
        <v>23.961600000000001</v>
      </c>
      <c r="C222" s="28">
        <f>'Fit Diagnostics'!$B$4+'Fit Diagnostics'!$B$5*((1-EXP(-B222/'Fit Diagnostics'!$B$8))/(B222/'Fit Diagnostics'!$B$8))+'Fit Diagnostics'!$B$6*(((1-EXP(-B222/'Fit Diagnostics'!$B$8))/(B222/'Fit Diagnostics'!$B$8))-EXP(-B222/'Fit Diagnostics'!$B$8))+'Fit Diagnostics'!$B$7*(((1-EXP(-B222/'Fit Diagnostics'!$B$9))/(B222/'Fit Diagnostics'!$B$9))-EXP(-B222/'Fit Diagnostics'!$B$9))</f>
        <v>5.406117316102188E-2</v>
      </c>
      <c r="D222" s="29">
        <f t="shared" si="3"/>
        <v>0.27379046078597996</v>
      </c>
    </row>
    <row r="223" spans="1:4" ht="15" customHeight="1" x14ac:dyDescent="0.25">
      <c r="A223" s="26">
        <v>55107</v>
      </c>
      <c r="B223" s="27">
        <v>24.213699999999999</v>
      </c>
      <c r="C223" s="28">
        <f>'Fit Diagnostics'!$B$4+'Fit Diagnostics'!$B$5*((1-EXP(-B223/'Fit Diagnostics'!$B$8))/(B223/'Fit Diagnostics'!$B$8))+'Fit Diagnostics'!$B$6*(((1-EXP(-B223/'Fit Diagnostics'!$B$8))/(B223/'Fit Diagnostics'!$B$8))-EXP(-B223/'Fit Diagnostics'!$B$8))+'Fit Diagnostics'!$B$7*(((1-EXP(-B223/'Fit Diagnostics'!$B$9))/(B223/'Fit Diagnostics'!$B$9))-EXP(-B223/'Fit Diagnostics'!$B$9))</f>
        <v>5.404461963939429E-2</v>
      </c>
      <c r="D223" s="29">
        <f t="shared" si="3"/>
        <v>0.2701926092917406</v>
      </c>
    </row>
    <row r="224" spans="1:4" ht="15" customHeight="1" x14ac:dyDescent="0.25">
      <c r="A224" s="26">
        <v>55199</v>
      </c>
      <c r="B224" s="27">
        <v>24.465800000000002</v>
      </c>
      <c r="C224" s="28">
        <f>'Fit Diagnostics'!$B$4+'Fit Diagnostics'!$B$5*((1-EXP(-B224/'Fit Diagnostics'!$B$8))/(B224/'Fit Diagnostics'!$B$8))+'Fit Diagnostics'!$B$6*(((1-EXP(-B224/'Fit Diagnostics'!$B$8))/(B224/'Fit Diagnostics'!$B$8))-EXP(-B224/'Fit Diagnostics'!$B$8))+'Fit Diagnostics'!$B$7*(((1-EXP(-B224/'Fit Diagnostics'!$B$9))/(B224/'Fit Diagnostics'!$B$9))-EXP(-B224/'Fit Diagnostics'!$B$9))</f>
        <v>5.402301084284758E-2</v>
      </c>
      <c r="D224" s="29">
        <f t="shared" si="3"/>
        <v>0.26667724322397307</v>
      </c>
    </row>
    <row r="225" spans="1:4" ht="15" customHeight="1" x14ac:dyDescent="0.25">
      <c r="A225" s="26">
        <v>55288</v>
      </c>
      <c r="B225" s="27">
        <v>24.709599999999998</v>
      </c>
      <c r="C225" s="28">
        <f>'Fit Diagnostics'!$B$4+'Fit Diagnostics'!$B$5*((1-EXP(-B225/'Fit Diagnostics'!$B$8))/(B225/'Fit Diagnostics'!$B$8))+'Fit Diagnostics'!$B$6*(((1-EXP(-B225/'Fit Diagnostics'!$B$8))/(B225/'Fit Diagnostics'!$B$8))-EXP(-B225/'Fit Diagnostics'!$B$8))+'Fit Diagnostics'!$B$7*(((1-EXP(-B225/'Fit Diagnostics'!$B$9))/(B225/'Fit Diagnostics'!$B$9))-EXP(-B225/'Fit Diagnostics'!$B$9))</f>
        <v>5.3997349904877388E-2</v>
      </c>
      <c r="D225" s="29">
        <f t="shared" si="3"/>
        <v>0.26335484985695851</v>
      </c>
    </row>
    <row r="226" spans="1:4" ht="15" customHeight="1" x14ac:dyDescent="0.25">
      <c r="A226" s="26">
        <v>55380</v>
      </c>
      <c r="B226" s="27">
        <v>24.961600000000001</v>
      </c>
      <c r="C226" s="28">
        <f>'Fit Diagnostics'!$B$4+'Fit Diagnostics'!$B$5*((1-EXP(-B226/'Fit Diagnostics'!$B$8))/(B226/'Fit Diagnostics'!$B$8))+'Fit Diagnostics'!$B$6*(((1-EXP(-B226/'Fit Diagnostics'!$B$8))/(B226/'Fit Diagnostics'!$B$8))-EXP(-B226/'Fit Diagnostics'!$B$8))+'Fit Diagnostics'!$B$7*(((1-EXP(-B226/'Fit Diagnostics'!$B$9))/(B226/'Fit Diagnostics'!$B$9))-EXP(-B226/'Fit Diagnostics'!$B$9))</f>
        <v>5.3965951105525142E-2</v>
      </c>
      <c r="D226" s="29">
        <f t="shared" si="3"/>
        <v>0.25999926234228898</v>
      </c>
    </row>
    <row r="227" spans="1:4" ht="15" customHeight="1" x14ac:dyDescent="0.25">
      <c r="A227" s="26">
        <v>55472</v>
      </c>
      <c r="B227" s="27">
        <v>25.213699999999999</v>
      </c>
      <c r="C227" s="28">
        <f>'Fit Diagnostics'!$B$4+'Fit Diagnostics'!$B$5*((1-EXP(-B227/'Fit Diagnostics'!$B$8))/(B227/'Fit Diagnostics'!$B$8))+'Fit Diagnostics'!$B$6*(((1-EXP(-B227/'Fit Diagnostics'!$B$8))/(B227/'Fit Diagnostics'!$B$8))-EXP(-B227/'Fit Diagnostics'!$B$8))+'Fit Diagnostics'!$B$7*(((1-EXP(-B227/'Fit Diagnostics'!$B$9))/(B227/'Fit Diagnostics'!$B$9))-EXP(-B227/'Fit Diagnostics'!$B$9))</f>
        <v>5.3929631984539879E-2</v>
      </c>
      <c r="D227" s="29">
        <f t="shared" si="3"/>
        <v>0.25672095505458636</v>
      </c>
    </row>
    <row r="228" spans="1:4" ht="15" customHeight="1" x14ac:dyDescent="0.25">
      <c r="A228" s="26">
        <v>55564</v>
      </c>
      <c r="B228" s="27">
        <v>25.465800000000002</v>
      </c>
      <c r="C228" s="28">
        <f>'Fit Diagnostics'!$B$4+'Fit Diagnostics'!$B$5*((1-EXP(-B228/'Fit Diagnostics'!$B$8))/(B228/'Fit Diagnostics'!$B$8))+'Fit Diagnostics'!$B$6*(((1-EXP(-B228/'Fit Diagnostics'!$B$8))/(B228/'Fit Diagnostics'!$B$8))-EXP(-B228/'Fit Diagnostics'!$B$8))+'Fit Diagnostics'!$B$7*(((1-EXP(-B228/'Fit Diagnostics'!$B$9))/(B228/'Fit Diagnostics'!$B$9))-EXP(-B228/'Fit Diagnostics'!$B$9))</f>
        <v>5.3888456612897054E-2</v>
      </c>
      <c r="D228" s="29">
        <f t="shared" si="3"/>
        <v>0.25351997596294801</v>
      </c>
    </row>
    <row r="229" spans="1:4" ht="15" customHeight="1" x14ac:dyDescent="0.25">
      <c r="A229" s="26">
        <v>55654</v>
      </c>
      <c r="B229" s="27">
        <v>25.712299999999999</v>
      </c>
      <c r="C229" s="28">
        <f>'Fit Diagnostics'!$B$4+'Fit Diagnostics'!$B$5*((1-EXP(-B229/'Fit Diagnostics'!$B$8))/(B229/'Fit Diagnostics'!$B$8))+'Fit Diagnostics'!$B$6*(((1-EXP(-B229/'Fit Diagnostics'!$B$8))/(B229/'Fit Diagnostics'!$B$8))-EXP(-B229/'Fit Diagnostics'!$B$8))+'Fit Diagnostics'!$B$7*(((1-EXP(-B229/'Fit Diagnostics'!$B$9))/(B229/'Fit Diagnostics'!$B$9))-EXP(-B229/'Fit Diagnostics'!$B$9))</f>
        <v>5.3843552067732905E-2</v>
      </c>
      <c r="D229" s="29">
        <f t="shared" si="3"/>
        <v>0.25046362869454364</v>
      </c>
    </row>
    <row r="230" spans="1:4" ht="15" customHeight="1" x14ac:dyDescent="0.25">
      <c r="A230" s="26">
        <v>55746</v>
      </c>
      <c r="B230" s="27">
        <v>25.964400000000001</v>
      </c>
      <c r="C230" s="28">
        <f>'Fit Diagnostics'!$B$4+'Fit Diagnostics'!$B$5*((1-EXP(-B230/'Fit Diagnostics'!$B$8))/(B230/'Fit Diagnostics'!$B$8))+'Fit Diagnostics'!$B$6*(((1-EXP(-B230/'Fit Diagnostics'!$B$8))/(B230/'Fit Diagnostics'!$B$8))-EXP(-B230/'Fit Diagnostics'!$B$8))+'Fit Diagnostics'!$B$7*(((1-EXP(-B230/'Fit Diagnostics'!$B$9))/(B230/'Fit Diagnostics'!$B$9))-EXP(-B230/'Fit Diagnostics'!$B$9))</f>
        <v>5.3792932310782852E-2</v>
      </c>
      <c r="D230" s="29">
        <f t="shared" si="3"/>
        <v>0.24741177833471262</v>
      </c>
    </row>
    <row r="231" spans="1:4" ht="15" customHeight="1" x14ac:dyDescent="0.25">
      <c r="A231" s="26">
        <v>55838</v>
      </c>
      <c r="B231" s="27">
        <v>26.2164</v>
      </c>
      <c r="C231" s="28">
        <f>'Fit Diagnostics'!$B$4+'Fit Diagnostics'!$B$5*((1-EXP(-B231/'Fit Diagnostics'!$B$8))/(B231/'Fit Diagnostics'!$B$8))+'Fit Diagnostics'!$B$6*(((1-EXP(-B231/'Fit Diagnostics'!$B$8))/(B231/'Fit Diagnostics'!$B$8))-EXP(-B231/'Fit Diagnostics'!$B$8))+'Fit Diagnostics'!$B$7*(((1-EXP(-B231/'Fit Diagnostics'!$B$9))/(B231/'Fit Diagnostics'!$B$9))-EXP(-B231/'Fit Diagnostics'!$B$9))</f>
        <v>5.3737643625953187E-2</v>
      </c>
      <c r="D231" s="29">
        <f t="shared" si="3"/>
        <v>0.24443458292740508</v>
      </c>
    </row>
    <row r="232" spans="1:4" ht="15" customHeight="1" x14ac:dyDescent="0.25">
      <c r="A232" s="26">
        <v>55930</v>
      </c>
      <c r="B232" s="27">
        <v>26.468499999999999</v>
      </c>
      <c r="C232" s="28">
        <f>'Fit Diagnostics'!$B$4+'Fit Diagnostics'!$B$5*((1-EXP(-B232/'Fit Diagnostics'!$B$8))/(B232/'Fit Diagnostics'!$B$8))+'Fit Diagnostics'!$B$6*(((1-EXP(-B232/'Fit Diagnostics'!$B$8))/(B232/'Fit Diagnostics'!$B$8))-EXP(-B232/'Fit Diagnostics'!$B$8))+'Fit Diagnostics'!$B$7*(((1-EXP(-B232/'Fit Diagnostics'!$B$9))/(B232/'Fit Diagnostics'!$B$9))-EXP(-B232/'Fit Diagnostics'!$B$9))</f>
        <v>5.3677699589892131E-2</v>
      </c>
      <c r="D232" s="29">
        <f t="shared" si="3"/>
        <v>0.24152840552252464</v>
      </c>
    </row>
    <row r="233" spans="1:4" ht="15" customHeight="1" x14ac:dyDescent="0.25">
      <c r="A233" s="26">
        <v>56019</v>
      </c>
      <c r="B233" s="27">
        <v>26.712299999999999</v>
      </c>
      <c r="C233" s="28">
        <f>'Fit Diagnostics'!$B$4+'Fit Diagnostics'!$B$5*((1-EXP(-B233/'Fit Diagnostics'!$B$8))/(B233/'Fit Diagnostics'!$B$8))+'Fit Diagnostics'!$B$6*(((1-EXP(-B233/'Fit Diagnostics'!$B$8))/(B233/'Fit Diagnostics'!$B$8))-EXP(-B233/'Fit Diagnostics'!$B$8))+'Fit Diagnostics'!$B$7*(((1-EXP(-B233/'Fit Diagnostics'!$B$9))/(B233/'Fit Diagnostics'!$B$9))-EXP(-B233/'Fit Diagnostics'!$B$9))</f>
        <v>5.3615376089183993E-2</v>
      </c>
      <c r="D233" s="29">
        <f t="shared" si="3"/>
        <v>0.23878540660340086</v>
      </c>
    </row>
    <row r="234" spans="1:4" ht="15" customHeight="1" x14ac:dyDescent="0.25">
      <c r="A234" s="26">
        <v>56111</v>
      </c>
      <c r="B234" s="27">
        <v>26.964400000000001</v>
      </c>
      <c r="C234" s="28">
        <f>'Fit Diagnostics'!$B$4+'Fit Diagnostics'!$B$5*((1-EXP(-B234/'Fit Diagnostics'!$B$8))/(B234/'Fit Diagnostics'!$B$8))+'Fit Diagnostics'!$B$6*(((1-EXP(-B234/'Fit Diagnostics'!$B$8))/(B234/'Fit Diagnostics'!$B$8))-EXP(-B234/'Fit Diagnostics'!$B$8))+'Fit Diagnostics'!$B$7*(((1-EXP(-B234/'Fit Diagnostics'!$B$9))/(B234/'Fit Diagnostics'!$B$9))-EXP(-B234/'Fit Diagnostics'!$B$9))</f>
        <v>5.3546487247245894E-2</v>
      </c>
      <c r="D234" s="29">
        <f t="shared" si="3"/>
        <v>0.23601759993777988</v>
      </c>
    </row>
    <row r="235" spans="1:4" ht="15" customHeight="1" x14ac:dyDescent="0.25">
      <c r="A235" s="26">
        <v>56203</v>
      </c>
      <c r="B235" s="27">
        <v>27.2164</v>
      </c>
      <c r="C235" s="28">
        <f>'Fit Diagnostics'!$B$4+'Fit Diagnostics'!$B$5*((1-EXP(-B235/'Fit Diagnostics'!$B$8))/(B235/'Fit Diagnostics'!$B$8))+'Fit Diagnostics'!$B$6*(((1-EXP(-B235/'Fit Diagnostics'!$B$8))/(B235/'Fit Diagnostics'!$B$8))-EXP(-B235/'Fit Diagnostics'!$B$8))+'Fit Diagnostics'!$B$7*(((1-EXP(-B235/'Fit Diagnostics'!$B$9))/(B235/'Fit Diagnostics'!$B$9))-EXP(-B235/'Fit Diagnostics'!$B$9))</f>
        <v>5.3473169768423215E-2</v>
      </c>
      <c r="D235" s="29">
        <f t="shared" si="3"/>
        <v>0.23331934656757974</v>
      </c>
    </row>
    <row r="236" spans="1:4" ht="15" customHeight="1" x14ac:dyDescent="0.25">
      <c r="A236" s="26">
        <v>56295</v>
      </c>
      <c r="B236" s="27">
        <v>27.468499999999999</v>
      </c>
      <c r="C236" s="28">
        <f>'Fit Diagnostics'!$B$4+'Fit Diagnostics'!$B$5*((1-EXP(-B236/'Fit Diagnostics'!$B$8))/(B236/'Fit Diagnostics'!$B$8))+'Fit Diagnostics'!$B$6*(((1-EXP(-B236/'Fit Diagnostics'!$B$8))/(B236/'Fit Diagnostics'!$B$8))-EXP(-B236/'Fit Diagnostics'!$B$8))+'Fit Diagnostics'!$B$7*(((1-EXP(-B236/'Fit Diagnostics'!$B$9))/(B236/'Fit Diagnostics'!$B$9))-EXP(-B236/'Fit Diagnostics'!$B$9))</f>
        <v>5.3395426108161025E-2</v>
      </c>
      <c r="D236" s="29">
        <f t="shared" si="3"/>
        <v>0.23068727764963001</v>
      </c>
    </row>
    <row r="237" spans="1:4" ht="15" customHeight="1" x14ac:dyDescent="0.25">
      <c r="A237" s="26">
        <v>56384</v>
      </c>
      <c r="B237" s="27">
        <v>27.712299999999999</v>
      </c>
      <c r="C237" s="28">
        <f>'Fit Diagnostics'!$B$4+'Fit Diagnostics'!$B$5*((1-EXP(-B237/'Fit Diagnostics'!$B$8))/(B237/'Fit Diagnostics'!$B$8))+'Fit Diagnostics'!$B$6*(((1-EXP(-B237/'Fit Diagnostics'!$B$8))/(B237/'Fit Diagnostics'!$B$8))-EXP(-B237/'Fit Diagnostics'!$B$8))+'Fit Diagnostics'!$B$7*(((1-EXP(-B237/'Fit Diagnostics'!$B$9))/(B237/'Fit Diagnostics'!$B$9))-EXP(-B237/'Fit Diagnostics'!$B$9))</f>
        <v>5.3316116488086568E-2</v>
      </c>
      <c r="D237" s="29">
        <f t="shared" si="3"/>
        <v>0.22820470703897541</v>
      </c>
    </row>
    <row r="238" spans="1:4" ht="15" customHeight="1" x14ac:dyDescent="0.25">
      <c r="A238" s="26">
        <v>56476</v>
      </c>
      <c r="B238" s="27">
        <v>27.964400000000001</v>
      </c>
      <c r="C238" s="28">
        <f>'Fit Diagnostics'!$B$4+'Fit Diagnostics'!$B$5*((1-EXP(-B238/'Fit Diagnostics'!$B$8))/(B238/'Fit Diagnostics'!$B$8))+'Fit Diagnostics'!$B$6*(((1-EXP(-B238/'Fit Diagnostics'!$B$8))/(B238/'Fit Diagnostics'!$B$8))-EXP(-B238/'Fit Diagnostics'!$B$8))+'Fit Diagnostics'!$B$7*(((1-EXP(-B238/'Fit Diagnostics'!$B$9))/(B238/'Fit Diagnostics'!$B$9))-EXP(-B238/'Fit Diagnostics'!$B$9))</f>
        <v>5.3229900877645425E-2</v>
      </c>
      <c r="D238" s="29">
        <f t="shared" si="3"/>
        <v>0.22570143434065604</v>
      </c>
    </row>
    <row r="239" spans="1:4" ht="15" customHeight="1" x14ac:dyDescent="0.25">
      <c r="A239" s="26">
        <v>56568</v>
      </c>
      <c r="B239" s="27">
        <v>28.2164</v>
      </c>
      <c r="C239" s="28">
        <f>'Fit Diagnostics'!$B$4+'Fit Diagnostics'!$B$5*((1-EXP(-B239/'Fit Diagnostics'!$B$8))/(B239/'Fit Diagnostics'!$B$8))+'Fit Diagnostics'!$B$6*(((1-EXP(-B239/'Fit Diagnostics'!$B$8))/(B239/'Fit Diagnostics'!$B$8))-EXP(-B239/'Fit Diagnostics'!$B$8))+'Fit Diagnostics'!$B$7*(((1-EXP(-B239/'Fit Diagnostics'!$B$9))/(B239/'Fit Diagnostics'!$B$9))-EXP(-B239/'Fit Diagnostics'!$B$9))</f>
        <v>5.3139507089113053E-2</v>
      </c>
      <c r="D239" s="29">
        <f t="shared" si="3"/>
        <v>0.22326283085791943</v>
      </c>
    </row>
    <row r="240" spans="1:4" ht="15" customHeight="1" x14ac:dyDescent="0.25">
      <c r="A240" s="26">
        <v>56660</v>
      </c>
      <c r="B240" s="27">
        <v>28.468499999999999</v>
      </c>
      <c r="C240" s="28">
        <f>'Fit Diagnostics'!$B$4+'Fit Diagnostics'!$B$5*((1-EXP(-B240/'Fit Diagnostics'!$B$8))/(B240/'Fit Diagnostics'!$B$8))+'Fit Diagnostics'!$B$6*(((1-EXP(-B240/'Fit Diagnostics'!$B$8))/(B240/'Fit Diagnostics'!$B$8))-EXP(-B240/'Fit Diagnostics'!$B$8))+'Fit Diagnostics'!$B$7*(((1-EXP(-B240/'Fit Diagnostics'!$B$9))/(B240/'Fit Diagnostics'!$B$9))-EXP(-B240/'Fit Diagnostics'!$B$9))</f>
        <v>5.3044925859970837E-2</v>
      </c>
      <c r="D240" s="29">
        <f t="shared" si="3"/>
        <v>0.22088579586025855</v>
      </c>
    </row>
    <row r="241" spans="1:4" ht="15" customHeight="1" x14ac:dyDescent="0.25">
      <c r="A241" s="26">
        <v>56749</v>
      </c>
      <c r="B241" s="27">
        <v>28.712299999999999</v>
      </c>
      <c r="C241" s="28">
        <f>'Fit Diagnostics'!$B$4+'Fit Diagnostics'!$B$5*((1-EXP(-B241/'Fit Diagnostics'!$B$8))/(B241/'Fit Diagnostics'!$B$8))+'Fit Diagnostics'!$B$6*(((1-EXP(-B241/'Fit Diagnostics'!$B$8))/(B241/'Fit Diagnostics'!$B$8))-EXP(-B241/'Fit Diagnostics'!$B$8))+'Fit Diagnostics'!$B$7*(((1-EXP(-B241/'Fit Diagnostics'!$B$9))/(B241/'Fit Diagnostics'!$B$9))-EXP(-B241/'Fit Diagnostics'!$B$9))</f>
        <v>5.2949568043293496E-2</v>
      </c>
      <c r="D241" s="29">
        <f t="shared" si="3"/>
        <v>0.21864543432819281</v>
      </c>
    </row>
    <row r="242" spans="1:4" ht="15" customHeight="1" x14ac:dyDescent="0.25">
      <c r="A242" s="26">
        <v>56841</v>
      </c>
      <c r="B242" s="27">
        <v>28.964400000000001</v>
      </c>
      <c r="C242" s="28">
        <f>'Fit Diagnostics'!$B$4+'Fit Diagnostics'!$B$5*((1-EXP(-B242/'Fit Diagnostics'!$B$8))/(B242/'Fit Diagnostics'!$B$8))+'Fit Diagnostics'!$B$6*(((1-EXP(-B242/'Fit Diagnostics'!$B$8))/(B242/'Fit Diagnostics'!$B$8))-EXP(-B242/'Fit Diagnostics'!$B$8))+'Fit Diagnostics'!$B$7*(((1-EXP(-B242/'Fit Diagnostics'!$B$9))/(B242/'Fit Diagnostics'!$B$9))-EXP(-B242/'Fit Diagnostics'!$B$9))</f>
        <v>5.2847002138844773E-2</v>
      </c>
      <c r="D242" s="29">
        <f t="shared" si="3"/>
        <v>0.21638810336036826</v>
      </c>
    </row>
    <row r="243" spans="1:4" ht="15" customHeight="1" x14ac:dyDescent="0.25">
      <c r="A243" s="26">
        <v>56933</v>
      </c>
      <c r="B243" s="27">
        <v>29.2164</v>
      </c>
      <c r="C243" s="28">
        <f>'Fit Diagnostics'!$B$4+'Fit Diagnostics'!$B$5*((1-EXP(-B243/'Fit Diagnostics'!$B$8))/(B243/'Fit Diagnostics'!$B$8))+'Fit Diagnostics'!$B$6*(((1-EXP(-B243/'Fit Diagnostics'!$B$8))/(B243/'Fit Diagnostics'!$B$8))-EXP(-B243/'Fit Diagnostics'!$B$8))+'Fit Diagnostics'!$B$7*(((1-EXP(-B243/'Fit Diagnostics'!$B$9))/(B243/'Fit Diagnostics'!$B$9))-EXP(-B243/'Fit Diagnostics'!$B$9))</f>
        <v>5.2740513724744732E-2</v>
      </c>
      <c r="D243" s="29">
        <f t="shared" si="3"/>
        <v>0.21419082724866884</v>
      </c>
    </row>
    <row r="244" spans="1:4" ht="15" customHeight="1" x14ac:dyDescent="0.25">
      <c r="A244" s="26">
        <v>57025</v>
      </c>
      <c r="B244" s="27">
        <v>29.468499999999999</v>
      </c>
      <c r="C244" s="28">
        <f>'Fit Diagnostics'!$B$4+'Fit Diagnostics'!$B$5*((1-EXP(-B244/'Fit Diagnostics'!$B$8))/(B244/'Fit Diagnostics'!$B$8))+'Fit Diagnostics'!$B$6*(((1-EXP(-B244/'Fit Diagnostics'!$B$8))/(B244/'Fit Diagnostics'!$B$8))-EXP(-B244/'Fit Diagnostics'!$B$8))+'Fit Diagnostics'!$B$7*(((1-EXP(-B244/'Fit Diagnostics'!$B$9))/(B244/'Fit Diagnostics'!$B$9))-EXP(-B244/'Fit Diagnostics'!$B$9))</f>
        <v>5.2630081519479843E-2</v>
      </c>
      <c r="D244" s="29">
        <f t="shared" si="3"/>
        <v>0.21205076885329019</v>
      </c>
    </row>
    <row r="245" spans="1:4" ht="15" customHeight="1" x14ac:dyDescent="0.25">
      <c r="A245" s="26">
        <v>57115</v>
      </c>
      <c r="B245" s="27">
        <v>29.7151</v>
      </c>
      <c r="C245" s="28">
        <f>'Fit Diagnostics'!$B$4+'Fit Diagnostics'!$B$5*((1-EXP(-B245/'Fit Diagnostics'!$B$8))/(B245/'Fit Diagnostics'!$B$8))+'Fit Diagnostics'!$B$6*(((1-EXP(-B245/'Fit Diagnostics'!$B$8))/(B245/'Fit Diagnostics'!$B$8))-EXP(-B245/'Fit Diagnostics'!$B$8))+'Fit Diagnostics'!$B$7*(((1-EXP(-B245/'Fit Diagnostics'!$B$9))/(B245/'Fit Diagnostics'!$B$9))-EXP(-B245/'Fit Diagnostics'!$B$9))</f>
        <v>5.2518343843262164E-2</v>
      </c>
      <c r="D245" s="29">
        <f t="shared" si="3"/>
        <v>0.21001258129369069</v>
      </c>
    </row>
    <row r="246" spans="1:4" ht="15" customHeight="1" x14ac:dyDescent="0.25">
      <c r="A246" s="26">
        <v>57207</v>
      </c>
      <c r="B246" s="27">
        <v>29.967099999999999</v>
      </c>
      <c r="C246" s="28">
        <f>'Fit Diagnostics'!$B$4+'Fit Diagnostics'!$B$5*((1-EXP(-B246/'Fit Diagnostics'!$B$8))/(B246/'Fit Diagnostics'!$B$8))+'Fit Diagnostics'!$B$6*(((1-EXP(-B246/'Fit Diagnostics'!$B$8))/(B246/'Fit Diagnostics'!$B$8))-EXP(-B246/'Fit Diagnostics'!$B$8))+'Fit Diagnostics'!$B$7*(((1-EXP(-B246/'Fit Diagnostics'!$B$9))/(B246/'Fit Diagnostics'!$B$9))-EXP(-B246/'Fit Diagnostics'!$B$9))</f>
        <v>5.2400426138784005E-2</v>
      </c>
      <c r="D246" s="29">
        <f t="shared" si="3"/>
        <v>0.2079851054738624</v>
      </c>
    </row>
    <row r="247" spans="1:4" ht="15" customHeight="1" x14ac:dyDescent="0.25"/>
    <row r="248" spans="1:4" ht="15" customHeight="1" x14ac:dyDescent="0.25"/>
    <row r="249" spans="1:4" ht="15" customHeight="1" x14ac:dyDescent="0.25"/>
    <row r="250" spans="1:4" ht="15" customHeight="1" x14ac:dyDescent="0.25"/>
    <row r="251" spans="1:4" ht="15" customHeight="1" x14ac:dyDescent="0.25"/>
    <row r="252" spans="1:4" ht="15" customHeight="1" x14ac:dyDescent="0.25"/>
    <row r="253" spans="1:4" ht="15" customHeight="1" x14ac:dyDescent="0.25"/>
    <row r="254" spans="1:4" ht="15" customHeight="1" x14ac:dyDescent="0.25"/>
    <row r="255" spans="1:4" ht="15" customHeight="1" x14ac:dyDescent="0.25"/>
    <row r="256" spans="1:4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1"/>
  <sheetViews>
    <sheetView showGridLines="0" workbookViewId="0">
      <selection activeCell="E4" sqref="E4"/>
    </sheetView>
  </sheetViews>
  <sheetFormatPr defaultColWidth="8.7109375" defaultRowHeight="15" x14ac:dyDescent="0.25"/>
  <cols>
    <col min="1" max="1" width="10" customWidth="1"/>
    <col min="2" max="2" width="35.5703125" bestFit="1" customWidth="1"/>
    <col min="3" max="3" width="16.85546875" customWidth="1"/>
  </cols>
  <sheetData>
    <row r="1" spans="1:3" ht="15" customHeight="1" x14ac:dyDescent="0.25">
      <c r="A1" s="24" t="s">
        <v>22</v>
      </c>
      <c r="B1" s="24" t="s">
        <v>30</v>
      </c>
      <c r="C1" s="24" t="s">
        <v>31</v>
      </c>
    </row>
    <row r="2" spans="1:3" ht="15" customHeight="1" x14ac:dyDescent="0.25">
      <c r="A2" s="27">
        <v>0.1</v>
      </c>
      <c r="B2" s="28">
        <f>'Fit Diagnostics'!$B$4+'Fit Diagnostics'!$B$5*((1-EXP(-A2/'Fit Diagnostics'!$B$8))/(A2/'Fit Diagnostics'!$B$8))+'Fit Diagnostics'!$B$6*(((1-EXP(-A2/'Fit Diagnostics'!$B$8))/(A2/'Fit Diagnostics'!$B$8))-EXP(-A2/'Fit Diagnostics'!$B$8))+'Fit Diagnostics'!$B$7*(((1-EXP(-A2/'Fit Diagnostics'!$B$9))/(A2/'Fit Diagnostics'!$B$9))-EXP(-A2/'Fit Diagnostics'!$B$9))</f>
        <v>3.7933773206649979E-2</v>
      </c>
      <c r="C2" s="29">
        <f t="shared" ref="C2:C65" si="0">EXP(-B2*A2)</f>
        <v>0.99621380844610374</v>
      </c>
    </row>
    <row r="3" spans="1:3" ht="15" customHeight="1" x14ac:dyDescent="0.25">
      <c r="A3" s="27">
        <v>0.2</v>
      </c>
      <c r="B3" s="28">
        <f>'Fit Diagnostics'!$B$4+'Fit Diagnostics'!$B$5*((1-EXP(-A3/'Fit Diagnostics'!$B$8))/(A3/'Fit Diagnostics'!$B$8))+'Fit Diagnostics'!$B$6*(((1-EXP(-A3/'Fit Diagnostics'!$B$8))/(A3/'Fit Diagnostics'!$B$8))-EXP(-A3/'Fit Diagnostics'!$B$8))+'Fit Diagnostics'!$B$7*(((1-EXP(-A3/'Fit Diagnostics'!$B$9))/(A3/'Fit Diagnostics'!$B$9))-EXP(-A3/'Fit Diagnostics'!$B$9))</f>
        <v>3.8405381401102667E-2</v>
      </c>
      <c r="C3" s="29">
        <f t="shared" si="0"/>
        <v>0.99234834780178738</v>
      </c>
    </row>
    <row r="4" spans="1:3" ht="15" customHeight="1" x14ac:dyDescent="0.25">
      <c r="A4" s="27">
        <v>0.3</v>
      </c>
      <c r="B4" s="28">
        <f>'Fit Diagnostics'!$B$4+'Fit Diagnostics'!$B$5*((1-EXP(-A4/'Fit Diagnostics'!$B$8))/(A4/'Fit Diagnostics'!$B$8))+'Fit Diagnostics'!$B$6*(((1-EXP(-A4/'Fit Diagnostics'!$B$8))/(A4/'Fit Diagnostics'!$B$8))-EXP(-A4/'Fit Diagnostics'!$B$8))+'Fit Diagnostics'!$B$7*(((1-EXP(-A4/'Fit Diagnostics'!$B$9))/(A4/'Fit Diagnostics'!$B$9))-EXP(-A4/'Fit Diagnostics'!$B$9))</f>
        <v>3.8848498667482793E-2</v>
      </c>
      <c r="C4" s="29">
        <f t="shared" si="0"/>
        <v>0.98841310159316731</v>
      </c>
    </row>
    <row r="5" spans="1:3" ht="15" customHeight="1" x14ac:dyDescent="0.25">
      <c r="A5" s="27">
        <v>0.4</v>
      </c>
      <c r="B5" s="28">
        <f>'Fit Diagnostics'!$B$4+'Fit Diagnostics'!$B$5*((1-EXP(-A5/'Fit Diagnostics'!$B$8))/(A5/'Fit Diagnostics'!$B$8))+'Fit Diagnostics'!$B$6*(((1-EXP(-A5/'Fit Diagnostics'!$B$8))/(A5/'Fit Diagnostics'!$B$8))-EXP(-A5/'Fit Diagnostics'!$B$8))+'Fit Diagnostics'!$B$7*(((1-EXP(-A5/'Fit Diagnostics'!$B$9))/(A5/'Fit Diagnostics'!$B$9))-EXP(-A5/'Fit Diagnostics'!$B$9))</f>
        <v>3.9264646125876101E-2</v>
      </c>
      <c r="C5" s="29">
        <f t="shared" si="0"/>
        <v>0.98441683536741253</v>
      </c>
    </row>
    <row r="6" spans="1:3" ht="15" customHeight="1" x14ac:dyDescent="0.25">
      <c r="A6" s="27">
        <v>0.5</v>
      </c>
      <c r="B6" s="28">
        <f>'Fit Diagnostics'!$B$4+'Fit Diagnostics'!$B$5*((1-EXP(-A6/'Fit Diagnostics'!$B$8))/(A6/'Fit Diagnostics'!$B$8))+'Fit Diagnostics'!$B$6*(((1-EXP(-A6/'Fit Diagnostics'!$B$8))/(A6/'Fit Diagnostics'!$B$8))-EXP(-A6/'Fit Diagnostics'!$B$8))+'Fit Diagnostics'!$B$7*(((1-EXP(-A6/'Fit Diagnostics'!$B$9))/(A6/'Fit Diagnostics'!$B$9))-EXP(-A6/'Fit Diagnostics'!$B$9))</f>
        <v>3.9655276047464987E-2</v>
      </c>
      <c r="C6" s="29">
        <f t="shared" si="0"/>
        <v>0.9803676368482479</v>
      </c>
    </row>
    <row r="7" spans="1:3" ht="15" customHeight="1" x14ac:dyDescent="0.25">
      <c r="A7" s="27">
        <v>0.6</v>
      </c>
      <c r="B7" s="28">
        <f>'Fit Diagnostics'!$B$4+'Fit Diagnostics'!$B$5*((1-EXP(-A7/'Fit Diagnostics'!$B$8))/(A7/'Fit Diagnostics'!$B$8))+'Fit Diagnostics'!$B$6*(((1-EXP(-A7/'Fit Diagnostics'!$B$8))/(A7/'Fit Diagnostics'!$B$8))-EXP(-A7/'Fit Diagnostics'!$B$8))+'Fit Diagnostics'!$B$7*(((1-EXP(-A7/'Fit Diagnostics'!$B$9))/(A7/'Fit Diagnostics'!$B$9))-EXP(-A7/'Fit Diagnostics'!$B$9))</f>
        <v>4.0021774694499121E-2</v>
      </c>
      <c r="C7" s="29">
        <f t="shared" si="0"/>
        <v>0.97627295484738552</v>
      </c>
    </row>
    <row r="8" spans="1:3" ht="15" customHeight="1" x14ac:dyDescent="0.25">
      <c r="A8" s="27">
        <v>0.7</v>
      </c>
      <c r="B8" s="28">
        <f>'Fit Diagnostics'!$B$4+'Fit Diagnostics'!$B$5*((1-EXP(-A8/'Fit Diagnostics'!$B$8))/(A8/'Fit Diagnostics'!$B$8))+'Fit Diagnostics'!$B$6*(((1-EXP(-A8/'Fit Diagnostics'!$B$8))/(A8/'Fit Diagnostics'!$B$8))-EXP(-A8/'Fit Diagnostics'!$B$8))+'Fit Diagnostics'!$B$7*(((1-EXP(-A8/'Fit Diagnostics'!$B$9))/(A8/'Fit Diagnostics'!$B$9))-EXP(-A8/'Fit Diagnostics'!$B$9))</f>
        <v>4.0365465048660794E-2</v>
      </c>
      <c r="C8" s="29">
        <f t="shared" si="0"/>
        <v>0.9721396368450872</v>
      </c>
    </row>
    <row r="9" spans="1:3" ht="15" customHeight="1" x14ac:dyDescent="0.25">
      <c r="A9" s="27">
        <v>0.8</v>
      </c>
      <c r="B9" s="28">
        <f>'Fit Diagnostics'!$B$4+'Fit Diagnostics'!$B$5*((1-EXP(-A9/'Fit Diagnostics'!$B$8))/(A9/'Fit Diagnostics'!$B$8))+'Fit Diagnostics'!$B$6*(((1-EXP(-A9/'Fit Diagnostics'!$B$8))/(A9/'Fit Diagnostics'!$B$8))-EXP(-A9/'Fit Diagnostics'!$B$8))+'Fit Diagnostics'!$B$7*(((1-EXP(-A9/'Fit Diagnostics'!$B$9))/(A9/'Fit Diagnostics'!$B$9))-EXP(-A9/'Fit Diagnostics'!$B$9))</f>
        <v>4.0687609432105074E-2</v>
      </c>
      <c r="C9" s="29">
        <f t="shared" si="0"/>
        <v>0.96797396517687573</v>
      </c>
    </row>
    <row r="10" spans="1:3" ht="15" customHeight="1" x14ac:dyDescent="0.25">
      <c r="A10" s="27">
        <v>0.9</v>
      </c>
      <c r="B10" s="28">
        <f>'Fit Diagnostics'!$B$4+'Fit Diagnostics'!$B$5*((1-EXP(-A10/'Fit Diagnostics'!$B$8))/(A10/'Fit Diagnostics'!$B$8))+'Fit Diagnostics'!$B$6*(((1-EXP(-A10/'Fit Diagnostics'!$B$8))/(A10/'Fit Diagnostics'!$B$8))-EXP(-A10/'Fit Diagnostics'!$B$8))+'Fit Diagnostics'!$B$7*(((1-EXP(-A10/'Fit Diagnostics'!$B$9))/(A10/'Fit Diagnostics'!$B$9))-EXP(-A10/'Fit Diagnostics'!$B$9))</f>
        <v>4.0989412025277658E-2</v>
      </c>
      <c r="C10" s="29">
        <f t="shared" si="0"/>
        <v>0.96378169178394302</v>
      </c>
    </row>
    <row r="11" spans="1:3" ht="15" customHeight="1" x14ac:dyDescent="0.25">
      <c r="A11" s="27">
        <v>1</v>
      </c>
      <c r="B11" s="28">
        <f>'Fit Diagnostics'!$B$4+'Fit Diagnostics'!$B$5*((1-EXP(-A11/'Fit Diagnostics'!$B$8))/(A11/'Fit Diagnostics'!$B$8))+'Fit Diagnostics'!$B$6*(((1-EXP(-A11/'Fit Diagnostics'!$B$8))/(A11/'Fit Diagnostics'!$B$8))-EXP(-A11/'Fit Diagnostics'!$B$8))+'Fit Diagnostics'!$B$7*(((1-EXP(-A11/'Fit Diagnostics'!$B$9))/(A11/'Fit Diagnostics'!$B$9))-EXP(-A11/'Fit Diagnostics'!$B$9))</f>
        <v>4.1272021285466365E-2</v>
      </c>
      <c r="C11" s="29">
        <f t="shared" si="0"/>
        <v>0.95956807150237922</v>
      </c>
    </row>
    <row r="12" spans="1:3" ht="15" customHeight="1" x14ac:dyDescent="0.25">
      <c r="A12" s="27">
        <v>1.1000000000000001</v>
      </c>
      <c r="B12" s="28">
        <f>'Fit Diagnostics'!$B$4+'Fit Diagnostics'!$B$5*((1-EXP(-A12/'Fit Diagnostics'!$B$8))/(A12/'Fit Diagnostics'!$B$8))+'Fit Diagnostics'!$B$6*(((1-EXP(-A12/'Fit Diagnostics'!$B$8))/(A12/'Fit Diagnostics'!$B$8))-EXP(-A12/'Fit Diagnostics'!$B$8))+'Fit Diagnostics'!$B$7*(((1-EXP(-A12/'Fit Diagnostics'!$B$9))/(A12/'Fit Diagnostics'!$B$9))-EXP(-A12/'Fit Diagnostics'!$B$9))</f>
        <v>4.1536532269884879E-2</v>
      </c>
      <c r="C12" s="29">
        <f t="shared" si="0"/>
        <v>0.95533789388129353</v>
      </c>
    </row>
    <row r="13" spans="1:3" ht="15" customHeight="1" x14ac:dyDescent="0.25">
      <c r="A13" s="27">
        <v>1.2</v>
      </c>
      <c r="B13" s="28">
        <f>'Fit Diagnostics'!$B$4+'Fit Diagnostics'!$B$5*((1-EXP(-A13/'Fit Diagnostics'!$B$8))/(A13/'Fit Diagnostics'!$B$8))+'Fit Diagnostics'!$B$6*(((1-EXP(-A13/'Fit Diagnostics'!$B$8))/(A13/'Fit Diagnostics'!$B$8))-EXP(-A13/'Fit Diagnostics'!$B$8))+'Fit Diagnostics'!$B$7*(((1-EXP(-A13/'Fit Diagnostics'!$B$9))/(A13/'Fit Diagnostics'!$B$9))-EXP(-A13/'Fit Diagnostics'!$B$9))</f>
        <v>4.1783988866950506E-2</v>
      </c>
      <c r="C13" s="29">
        <f t="shared" si="0"/>
        <v>0.95109551353250432</v>
      </c>
    </row>
    <row r="14" spans="1:3" ht="15" customHeight="1" x14ac:dyDescent="0.25">
      <c r="A14" s="27">
        <v>1.3</v>
      </c>
      <c r="B14" s="28">
        <f>'Fit Diagnostics'!$B$4+'Fit Diagnostics'!$B$5*((1-EXP(-A14/'Fit Diagnostics'!$B$8))/(A14/'Fit Diagnostics'!$B$8))+'Fit Diagnostics'!$B$6*(((1-EXP(-A14/'Fit Diagnostics'!$B$8))/(A14/'Fit Diagnostics'!$B$8))-EXP(-A14/'Fit Diagnostics'!$B$8))+'Fit Diagnostics'!$B$7*(((1-EXP(-A14/'Fit Diagnostics'!$B$9))/(A14/'Fit Diagnostics'!$B$9))-EXP(-A14/'Fit Diagnostics'!$B$9))</f>
        <v>4.2015385939281988E-2</v>
      </c>
      <c r="C14" s="29">
        <f t="shared" si="0"/>
        <v>0.94684487902500758</v>
      </c>
    </row>
    <row r="15" spans="1:3" ht="15" customHeight="1" x14ac:dyDescent="0.25">
      <c r="A15" s="27">
        <v>1.4</v>
      </c>
      <c r="B15" s="28">
        <f>'Fit Diagnostics'!$B$4+'Fit Diagnostics'!$B$5*((1-EXP(-A15/'Fit Diagnostics'!$B$8))/(A15/'Fit Diagnostics'!$B$8))+'Fit Diagnostics'!$B$6*(((1-EXP(-A15/'Fit Diagnostics'!$B$8))/(A15/'Fit Diagnostics'!$B$8))-EXP(-A15/'Fit Diagnostics'!$B$8))+'Fit Diagnostics'!$B$7*(((1-EXP(-A15/'Fit Diagnostics'!$B$9))/(A15/'Fit Diagnostics'!$B$9))-EXP(-A15/'Fit Diagnostics'!$B$9))</f>
        <v>4.223167138180605E-2</v>
      </c>
      <c r="C15" s="29">
        <f t="shared" si="0"/>
        <v>0.94258956034616215</v>
      </c>
    </row>
    <row r="16" spans="1:3" ht="15" customHeight="1" x14ac:dyDescent="0.25">
      <c r="A16" s="27">
        <v>1.5</v>
      </c>
      <c r="B16" s="28">
        <f>'Fit Diagnostics'!$B$4+'Fit Diagnostics'!$B$5*((1-EXP(-A16/'Fit Diagnostics'!$B$8))/(A16/'Fit Diagnostics'!$B$8))+'Fit Diagnostics'!$B$6*(((1-EXP(-A16/'Fit Diagnostics'!$B$8))/(A16/'Fit Diagnostics'!$B$8))-EXP(-A16/'Fit Diagnostics'!$B$8))+'Fit Diagnostics'!$B$7*(((1-EXP(-A16/'Fit Diagnostics'!$B$9))/(A16/'Fit Diagnostics'!$B$9))-EXP(-A16/'Fit Diagnostics'!$B$9))</f>
        <v>4.243374809822964E-2</v>
      </c>
      <c r="C16" s="29">
        <f t="shared" si="0"/>
        <v>0.93833277495864909</v>
      </c>
    </row>
    <row r="17" spans="1:3" ht="15" customHeight="1" x14ac:dyDescent="0.25">
      <c r="A17" s="27">
        <v>1.6</v>
      </c>
      <c r="B17" s="28">
        <f>'Fit Diagnostics'!$B$4+'Fit Diagnostics'!$B$5*((1-EXP(-A17/'Fit Diagnostics'!$B$8))/(A17/'Fit Diagnostics'!$B$8))+'Fit Diagnostics'!$B$6*(((1-EXP(-A17/'Fit Diagnostics'!$B$8))/(A17/'Fit Diagnostics'!$B$8))-EXP(-A17/'Fit Diagnostics'!$B$8))+'Fit Diagnostics'!$B$7*(((1-EXP(-A17/'Fit Diagnostics'!$B$9))/(A17/'Fit Diagnostics'!$B$9))-EXP(-A17/'Fit Diagnostics'!$B$9))</f>
        <v>4.2622475899020421E-2</v>
      </c>
      <c r="C17" s="29">
        <f t="shared" si="0"/>
        <v>0.93407741248798359</v>
      </c>
    </row>
    <row r="18" spans="1:3" ht="15" customHeight="1" x14ac:dyDescent="0.25">
      <c r="A18" s="27">
        <v>1.7</v>
      </c>
      <c r="B18" s="28">
        <f>'Fit Diagnostics'!$B$4+'Fit Diagnostics'!$B$5*((1-EXP(-A18/'Fit Diagnostics'!$B$8))/(A18/'Fit Diagnostics'!$B$8))+'Fit Diagnostics'!$B$6*(((1-EXP(-A18/'Fit Diagnostics'!$B$8))/(A18/'Fit Diagnostics'!$B$8))-EXP(-A18/'Fit Diagnostics'!$B$8))+'Fit Diagnostics'!$B$7*(((1-EXP(-A18/'Fit Diagnostics'!$B$9))/(A18/'Fit Diagnostics'!$B$9))-EXP(-A18/'Fit Diagnostics'!$B$9))</f>
        <v>4.2798673323917805E-2</v>
      </c>
      <c r="C18" s="29">
        <f t="shared" si="0"/>
        <v>0.92982605807986607</v>
      </c>
    </row>
    <row r="19" spans="1:3" ht="15" customHeight="1" x14ac:dyDescent="0.25">
      <c r="A19" s="27">
        <v>1.8</v>
      </c>
      <c r="B19" s="28">
        <f>'Fit Diagnostics'!$B$4+'Fit Diagnostics'!$B$5*((1-EXP(-A19/'Fit Diagnostics'!$B$8))/(A19/'Fit Diagnostics'!$B$8))+'Fit Diagnostics'!$B$6*(((1-EXP(-A19/'Fit Diagnostics'!$B$8))/(A19/'Fit Diagnostics'!$B$8))-EXP(-A19/'Fit Diagnostics'!$B$8))+'Fit Diagnostics'!$B$7*(((1-EXP(-A19/'Fit Diagnostics'!$B$9))/(A19/'Fit Diagnostics'!$B$9))-EXP(-A19/'Fit Diagnostics'!$B$9))</f>
        <v>4.2963119391877705E-2</v>
      </c>
      <c r="C19" s="29">
        <f t="shared" si="0"/>
        <v>0.92558101447012631</v>
      </c>
    </row>
    <row r="20" spans="1:3" ht="15" customHeight="1" x14ac:dyDescent="0.25">
      <c r="A20" s="27">
        <v>1.9</v>
      </c>
      <c r="B20" s="28">
        <f>'Fit Diagnostics'!$B$4+'Fit Diagnostics'!$B$5*((1-EXP(-A20/'Fit Diagnostics'!$B$8))/(A20/'Fit Diagnostics'!$B$8))+'Fit Diagnostics'!$B$6*(((1-EXP(-A20/'Fit Diagnostics'!$B$8))/(A20/'Fit Diagnostics'!$B$8))-EXP(-A20/'Fit Diagnostics'!$B$8))+'Fit Diagnostics'!$B$7*(((1-EXP(-A20/'Fit Diagnostics'!$B$9))/(A20/'Fit Diagnostics'!$B$9))-EXP(-A20/'Fit Diagnostics'!$B$9))</f>
        <v>4.3116555281245021E-2</v>
      </c>
      <c r="C20" s="29">
        <f t="shared" si="0"/>
        <v>0.92134432281256573</v>
      </c>
    </row>
    <row r="21" spans="1:3" ht="15" customHeight="1" x14ac:dyDescent="0.25">
      <c r="A21" s="27">
        <v>2</v>
      </c>
      <c r="B21" s="28">
        <f>'Fit Diagnostics'!$B$4+'Fit Diagnostics'!$B$5*((1-EXP(-A21/'Fit Diagnostics'!$B$8))/(A21/'Fit Diagnostics'!$B$8))+'Fit Diagnostics'!$B$6*(((1-EXP(-A21/'Fit Diagnostics'!$B$8))/(A21/'Fit Diagnostics'!$B$8))-EXP(-A21/'Fit Diagnostics'!$B$8))+'Fit Diagnostics'!$B$7*(((1-EXP(-A21/'Fit Diagnostics'!$B$9))/(A21/'Fit Diagnostics'!$B$9))-EXP(-A21/'Fit Diagnostics'!$B$9))</f>
        <v>4.3259685942853308E-2</v>
      </c>
      <c r="C21" s="29">
        <f t="shared" si="0"/>
        <v>0.91711778231176266</v>
      </c>
    </row>
    <row r="22" spans="1:3" ht="15" customHeight="1" x14ac:dyDescent="0.25">
      <c r="A22" s="27">
        <v>2.1</v>
      </c>
      <c r="B22" s="28">
        <f>'Fit Diagnostics'!$B$4+'Fit Diagnostics'!$B$5*((1-EXP(-A22/'Fit Diagnostics'!$B$8))/(A22/'Fit Diagnostics'!$B$8))+'Fit Diagnostics'!$B$6*(((1-EXP(-A22/'Fit Diagnostics'!$B$8))/(A22/'Fit Diagnostics'!$B$8))-EXP(-A22/'Fit Diagnostics'!$B$8))+'Fit Diagnostics'!$B$7*(((1-EXP(-A22/'Fit Diagnostics'!$B$9))/(A22/'Fit Diagnostics'!$B$9))-EXP(-A22/'Fit Diagnostics'!$B$9))</f>
        <v>4.3393181648630853E-2</v>
      </c>
      <c r="C22" s="29">
        <f t="shared" si="0"/>
        <v>0.9129029687090483</v>
      </c>
    </row>
    <row r="23" spans="1:3" ht="15" customHeight="1" x14ac:dyDescent="0.25">
      <c r="A23" s="27">
        <v>2.2000000000000002</v>
      </c>
      <c r="B23" s="28">
        <f>'Fit Diagnostics'!$B$4+'Fit Diagnostics'!$B$5*((1-EXP(-A23/'Fit Diagnostics'!$B$8))/(A23/'Fit Diagnostics'!$B$8))+'Fit Diagnostics'!$B$6*(((1-EXP(-A23/'Fit Diagnostics'!$B$8))/(A23/'Fit Diagnostics'!$B$8))-EXP(-A23/'Fit Diagnostics'!$B$8))+'Fit Diagnostics'!$B$7*(((1-EXP(-A23/'Fit Diagnostics'!$B$9))/(A23/'Fit Diagnostics'!$B$9))-EXP(-A23/'Fit Diagnostics'!$B$9))</f>
        <v>4.351767947820976E-2</v>
      </c>
      <c r="C23" s="29">
        <f t="shared" si="0"/>
        <v>0.90870125167038918</v>
      </c>
    </row>
    <row r="24" spans="1:3" ht="15" customHeight="1" x14ac:dyDescent="0.25">
      <c r="A24" s="27">
        <v>2.2999999999999998</v>
      </c>
      <c r="B24" s="28">
        <f>'Fit Diagnostics'!$B$4+'Fit Diagnostics'!$B$5*((1-EXP(-A24/'Fit Diagnostics'!$B$8))/(A24/'Fit Diagnostics'!$B$8))+'Fit Diagnostics'!$B$6*(((1-EXP(-A24/'Fit Diagnostics'!$B$8))/(A24/'Fit Diagnostics'!$B$8))-EXP(-A24/'Fit Diagnostics'!$B$8))+'Fit Diagnostics'!$B$7*(((1-EXP(-A24/'Fit Diagnostics'!$B$9))/(A24/'Fit Diagnostics'!$B$9))-EXP(-A24/'Fit Diagnostics'!$B$9))</f>
        <v>4.363378474593306E-2</v>
      </c>
      <c r="C24" s="29">
        <f t="shared" si="0"/>
        <v>0.90451381112500961</v>
      </c>
    </row>
    <row r="25" spans="1:3" ht="15" customHeight="1" x14ac:dyDescent="0.25">
      <c r="A25" s="27">
        <v>2.4</v>
      </c>
      <c r="B25" s="28">
        <f>'Fit Diagnostics'!$B$4+'Fit Diagnostics'!$B$5*((1-EXP(-A25/'Fit Diagnostics'!$B$8))/(A25/'Fit Diagnostics'!$B$8))+'Fit Diagnostics'!$B$6*(((1-EXP(-A25/'Fit Diagnostics'!$B$8))/(A25/'Fit Diagnostics'!$B$8))-EXP(-A25/'Fit Diagnostics'!$B$8))+'Fit Diagnostics'!$B$7*(((1-EXP(-A25/'Fit Diagnostics'!$B$9))/(A25/'Fit Diagnostics'!$B$9))-EXP(-A25/'Fit Diagnostics'!$B$9))</f>
        <v>4.3742072370567639E-2</v>
      </c>
      <c r="C25" s="29">
        <f t="shared" si="0"/>
        <v>0.90034165260326704</v>
      </c>
    </row>
    <row r="26" spans="1:3" ht="15" customHeight="1" x14ac:dyDescent="0.25">
      <c r="A26" s="27">
        <v>2.5</v>
      </c>
      <c r="B26" s="28">
        <f>'Fit Diagnostics'!$B$4+'Fit Diagnostics'!$B$5*((1-EXP(-A26/'Fit Diagnostics'!$B$8))/(A26/'Fit Diagnostics'!$B$8))+'Fit Diagnostics'!$B$6*(((1-EXP(-A26/'Fit Diagnostics'!$B$8))/(A26/'Fit Diagnostics'!$B$8))-EXP(-A26/'Fit Diagnostics'!$B$8))+'Fit Diagnostics'!$B$7*(((1-EXP(-A26/'Fit Diagnostics'!$B$9))/(A26/'Fit Diagnostics'!$B$9))-EXP(-A26/'Fit Diagnostics'!$B$9))</f>
        <v>4.384308818993763E-2</v>
      </c>
      <c r="C26" s="29">
        <f t="shared" si="0"/>
        <v>0.89618562162167792</v>
      </c>
    </row>
    <row r="27" spans="1:3" ht="15" customHeight="1" x14ac:dyDescent="0.25">
      <c r="A27" s="27">
        <v>2.6</v>
      </c>
      <c r="B27" s="28">
        <f>'Fit Diagnostics'!$B$4+'Fit Diagnostics'!$B$5*((1-EXP(-A27/'Fit Diagnostics'!$B$8))/(A27/'Fit Diagnostics'!$B$8))+'Fit Diagnostics'!$B$6*(((1-EXP(-A27/'Fit Diagnostics'!$B$8))/(A27/'Fit Diagnostics'!$B$8))-EXP(-A27/'Fit Diagnostics'!$B$8))+'Fit Diagnostics'!$B$7*(((1-EXP(-A27/'Fit Diagnostics'!$B$9))/(A27/'Fit Diagnostics'!$B$9))-EXP(-A27/'Fit Diagnostics'!$B$9))</f>
        <v>4.393735022261798E-2</v>
      </c>
      <c r="C27" s="29">
        <f t="shared" si="0"/>
        <v>0.89204641716206945</v>
      </c>
    </row>
    <row r="28" spans="1:3" ht="15" customHeight="1" x14ac:dyDescent="0.25">
      <c r="A28" s="27">
        <v>2.7</v>
      </c>
      <c r="B28" s="28">
        <f>'Fit Diagnostics'!$B$4+'Fit Diagnostics'!$B$5*((1-EXP(-A28/'Fit Diagnostics'!$B$8))/(A28/'Fit Diagnostics'!$B$8))+'Fit Diagnostics'!$B$6*(((1-EXP(-A28/'Fit Diagnostics'!$B$8))/(A28/'Fit Diagnostics'!$B$8))-EXP(-A28/'Fit Diagnostics'!$B$8))+'Fit Diagnostics'!$B$7*(((1-EXP(-A28/'Fit Diagnostics'!$B$9))/(A28/'Fit Diagnostics'!$B$9))-EXP(-A28/'Fit Diagnostics'!$B$9))</f>
        <v>4.4025349878736728E-2</v>
      </c>
      <c r="C28" s="29">
        <f t="shared" si="0"/>
        <v>0.88792460429075193</v>
      </c>
    </row>
    <row r="29" spans="1:3" ht="15" customHeight="1" x14ac:dyDescent="0.25">
      <c r="A29" s="27">
        <v>2.8</v>
      </c>
      <c r="B29" s="28">
        <f>'Fit Diagnostics'!$B$4+'Fit Diagnostics'!$B$5*((1-EXP(-A29/'Fit Diagnostics'!$B$8))/(A29/'Fit Diagnostics'!$B$8))+'Fit Diagnostics'!$B$6*(((1-EXP(-A29/'Fit Diagnostics'!$B$8))/(A29/'Fit Diagnostics'!$B$8))-EXP(-A29/'Fit Diagnostics'!$B$8))+'Fit Diagnostics'!$B$7*(((1-EXP(-A29/'Fit Diagnostics'!$B$9))/(A29/'Fit Diagnostics'!$B$9))-EXP(-A29/'Fit Diagnostics'!$B$9))</f>
        <v>4.410755312186565E-2</v>
      </c>
      <c r="C29" s="29">
        <f t="shared" si="0"/>
        <v>0.88382062596230782</v>
      </c>
    </row>
    <row r="30" spans="1:3" ht="15" customHeight="1" x14ac:dyDescent="0.25">
      <c r="A30" s="27">
        <v>2.9</v>
      </c>
      <c r="B30" s="28">
        <f>'Fit Diagnostics'!$B$4+'Fit Diagnostics'!$B$5*((1-EXP(-A30/'Fit Diagnostics'!$B$8))/(A30/'Fit Diagnostics'!$B$8))+'Fit Diagnostics'!$B$6*(((1-EXP(-A30/'Fit Diagnostics'!$B$8))/(A30/'Fit Diagnostics'!$B$8))-EXP(-A30/'Fit Diagnostics'!$B$8))+'Fit Diagnostics'!$B$7*(((1-EXP(-A30/'Fit Diagnostics'!$B$9))/(A30/'Fit Diagnostics'!$B$9))-EXP(-A30/'Fit Diagnostics'!$B$9))</f>
        <v>4.4184401583895326E-2</v>
      </c>
      <c r="C30" s="29">
        <f t="shared" si="0"/>
        <v>0.87973481405121068</v>
      </c>
    </row>
    <row r="31" spans="1:3" ht="15" customHeight="1" x14ac:dyDescent="0.25">
      <c r="A31" s="27">
        <v>3</v>
      </c>
      <c r="B31" s="28">
        <f>'Fit Diagnostics'!$B$4+'Fit Diagnostics'!$B$5*((1-EXP(-A31/'Fit Diagnostics'!$B$8))/(A31/'Fit Diagnostics'!$B$8))+'Fit Diagnostics'!$B$6*(((1-EXP(-A31/'Fit Diagnostics'!$B$8))/(A31/'Fit Diagnostics'!$B$8))-EXP(-A31/'Fit Diagnostics'!$B$8))+'Fit Diagnostics'!$B$7*(((1-EXP(-A31/'Fit Diagnostics'!$B$9))/(A31/'Fit Diagnostics'!$B$9))-EXP(-A31/'Fit Diagnostics'!$B$9))</f>
        <v>4.4256313634730177E-2</v>
      </c>
      <c r="C31" s="29">
        <f t="shared" si="0"/>
        <v>0.87566739965296558</v>
      </c>
    </row>
    <row r="32" spans="1:3" ht="15" customHeight="1" x14ac:dyDescent="0.25">
      <c r="A32" s="27">
        <v>3.1</v>
      </c>
      <c r="B32" s="28">
        <f>'Fit Diagnostics'!$B$4+'Fit Diagnostics'!$B$5*((1-EXP(-A32/'Fit Diagnostics'!$B$8))/(A32/'Fit Diagnostics'!$B$8))+'Fit Diagnostics'!$B$6*(((1-EXP(-A32/'Fit Diagnostics'!$B$8))/(A32/'Fit Diagnostics'!$B$8))-EXP(-A32/'Fit Diagnostics'!$B$8))+'Fit Diagnostics'!$B$7*(((1-EXP(-A32/'Fit Diagnostics'!$B$9))/(A32/'Fit Diagnostics'!$B$9))-EXP(-A32/'Fit Diagnostics'!$B$9))</f>
        <v>4.4323685408552548E-2</v>
      </c>
      <c r="C32" s="29">
        <f t="shared" si="0"/>
        <v>0.87161852269493445</v>
      </c>
    </row>
    <row r="33" spans="1:3" ht="15" customHeight="1" x14ac:dyDescent="0.25">
      <c r="A33" s="27">
        <v>3.2</v>
      </c>
      <c r="B33" s="28">
        <f>'Fit Diagnostics'!$B$4+'Fit Diagnostics'!$B$5*((1-EXP(-A33/'Fit Diagnostics'!$B$8))/(A33/'Fit Diagnostics'!$B$8))+'Fit Diagnostics'!$B$6*(((1-EXP(-A33/'Fit Diagnostics'!$B$8))/(A33/'Fit Diagnostics'!$B$8))-EXP(-A33/'Fit Diagnostics'!$B$8))+'Fit Diagnostics'!$B$7*(((1-EXP(-A33/'Fit Diagnostics'!$B$9))/(A33/'Fit Diagnostics'!$B$9))-EXP(-A33/'Fit Diagnostics'!$B$9))</f>
        <v>4.4386891788356489E-2</v>
      </c>
      <c r="C33" s="29">
        <f t="shared" si="0"/>
        <v>0.86758824089536279</v>
      </c>
    </row>
    <row r="34" spans="1:3" ht="15" customHeight="1" x14ac:dyDescent="0.25">
      <c r="A34" s="27">
        <v>3.3</v>
      </c>
      <c r="B34" s="28">
        <f>'Fit Diagnostics'!$B$4+'Fit Diagnostics'!$B$5*((1-EXP(-A34/'Fit Diagnostics'!$B$8))/(A34/'Fit Diagnostics'!$B$8))+'Fit Diagnostics'!$B$6*(((1-EXP(-A34/'Fit Diagnostics'!$B$8))/(A34/'Fit Diagnostics'!$B$8))-EXP(-A34/'Fit Diagnostics'!$B$8))+'Fit Diagnostics'!$B$7*(((1-EXP(-A34/'Fit Diagnostics'!$B$9))/(A34/'Fit Diagnostics'!$B$9))-EXP(-A34/'Fit Diagnostics'!$B$9))</f>
        <v>4.4446287350374904E-2</v>
      </c>
      <c r="C34" s="29">
        <f t="shared" si="0"/>
        <v>0.86357653810752666</v>
      </c>
    </row>
    <row r="35" spans="1:3" ht="15" customHeight="1" x14ac:dyDescent="0.25">
      <c r="A35" s="27">
        <v>3.4</v>
      </c>
      <c r="B35" s="28">
        <f>'Fit Diagnostics'!$B$4+'Fit Diagnostics'!$B$5*((1-EXP(-A35/'Fit Diagnostics'!$B$8))/(A35/'Fit Diagnostics'!$B$8))+'Fit Diagnostics'!$B$6*(((1-EXP(-A35/'Fit Diagnostics'!$B$8))/(A35/'Fit Diagnostics'!$B$8))-EXP(-A35/'Fit Diagnostics'!$B$8))+'Fit Diagnostics'!$B$7*(((1-EXP(-A35/'Fit Diagnostics'!$B$9))/(A35/'Fit Diagnostics'!$B$9))-EXP(-A35/'Fit Diagnostics'!$B$9))</f>
        <v>4.45022072699649E-2</v>
      </c>
      <c r="C35" s="29">
        <f t="shared" si="0"/>
        <v>0.85958333208427662</v>
      </c>
    </row>
    <row r="36" spans="1:3" ht="15" customHeight="1" x14ac:dyDescent="0.25">
      <c r="A36" s="27">
        <v>3.5</v>
      </c>
      <c r="B36" s="28">
        <f>'Fit Diagnostics'!$B$4+'Fit Diagnostics'!$B$5*((1-EXP(-A36/'Fit Diagnostics'!$B$8))/(A36/'Fit Diagnostics'!$B$8))+'Fit Diagnostics'!$B$6*(((1-EXP(-A36/'Fit Diagnostics'!$B$8))/(A36/'Fit Diagnostics'!$B$8))-EXP(-A36/'Fit Diagnostics'!$B$8))+'Fit Diagnostics'!$B$7*(((1-EXP(-A36/'Fit Diagnostics'!$B$9))/(A36/'Fit Diagnostics'!$B$9))-EXP(-A36/'Fit Diagnostics'!$B$9))</f>
        <v>4.4554968190459281E-2</v>
      </c>
      <c r="C36" s="29">
        <f t="shared" si="0"/>
        <v>0.85560848169662784</v>
      </c>
    </row>
    <row r="37" spans="1:3" ht="15" customHeight="1" x14ac:dyDescent="0.25">
      <c r="A37" s="27">
        <v>3.6</v>
      </c>
      <c r="B37" s="28">
        <f>'Fit Diagnostics'!$B$4+'Fit Diagnostics'!$B$5*((1-EXP(-A37/'Fit Diagnostics'!$B$8))/(A37/'Fit Diagnostics'!$B$8))+'Fit Diagnostics'!$B$6*(((1-EXP(-A37/'Fit Diagnostics'!$B$8))/(A37/'Fit Diagnostics'!$B$8))-EXP(-A37/'Fit Diagnostics'!$B$8))+'Fit Diagnostics'!$B$7*(((1-EXP(-A37/'Fit Diagnostics'!$B$9))/(A37/'Fit Diagnostics'!$B$9))-EXP(-A37/'Fit Diagnostics'!$B$9))</f>
        <v>4.46048690564326E-2</v>
      </c>
      <c r="C37" s="29">
        <f t="shared" si="0"/>
        <v>0.85165179363844268</v>
      </c>
    </row>
    <row r="38" spans="1:3" ht="15" customHeight="1" x14ac:dyDescent="0.25">
      <c r="A38" s="27">
        <v>3.7</v>
      </c>
      <c r="B38" s="28">
        <f>'Fit Diagnostics'!$B$4+'Fit Diagnostics'!$B$5*((1-EXP(-A38/'Fit Diagnostics'!$B$8))/(A38/'Fit Diagnostics'!$B$8))+'Fit Diagnostics'!$B$6*(((1-EXP(-A38/'Fit Diagnostics'!$B$8))/(A38/'Fit Diagnostics'!$B$8))-EXP(-A38/'Fit Diagnostics'!$B$8))+'Fit Diagnostics'!$B$7*(((1-EXP(-A38/'Fit Diagnostics'!$B$9))/(A38/'Fit Diagnostics'!$B$9))-EXP(-A38/'Fit Diagnostics'!$B$9))</f>
        <v>4.4652191912772331E-2</v>
      </c>
      <c r="C38" s="29">
        <f t="shared" si="0"/>
        <v>0.84771302864769371</v>
      </c>
    </row>
    <row r="39" spans="1:3" ht="15" customHeight="1" x14ac:dyDescent="0.25">
      <c r="A39" s="27">
        <v>3.8</v>
      </c>
      <c r="B39" s="28">
        <f>'Fit Diagnostics'!$B$4+'Fit Diagnostics'!$B$5*((1-EXP(-A39/'Fit Diagnostics'!$B$8))/(A39/'Fit Diagnostics'!$B$8))+'Fit Diagnostics'!$B$6*(((1-EXP(-A39/'Fit Diagnostics'!$B$8))/(A39/'Fit Diagnostics'!$B$8))-EXP(-A39/'Fit Diagnostics'!$B$8))+'Fit Diagnostics'!$B$7*(((1-EXP(-A39/'Fit Diagnostics'!$B$9))/(A39/'Fit Diagnostics'!$B$9))-EXP(-A39/'Fit Diagnostics'!$B$9))</f>
        <v>4.4697202670899605E-2</v>
      </c>
      <c r="C39" s="29">
        <f t="shared" si="0"/>
        <v>0.84379190727323294</v>
      </c>
    </row>
    <row r="40" spans="1:3" ht="15" customHeight="1" x14ac:dyDescent="0.25">
      <c r="A40" s="27">
        <v>3.9</v>
      </c>
      <c r="B40" s="28">
        <f>'Fit Diagnostics'!$B$4+'Fit Diagnostics'!$B$5*((1-EXP(-A40/'Fit Diagnostics'!$B$8))/(A40/'Fit Diagnostics'!$B$8))+'Fit Diagnostics'!$B$6*(((1-EXP(-A40/'Fit Diagnostics'!$B$8))/(A40/'Fit Diagnostics'!$B$8))-EXP(-A40/'Fit Diagnostics'!$B$8))+'Fit Diagnostics'!$B$7*(((1-EXP(-A40/'Fit Diagnostics'!$B$9))/(A40/'Fit Diagnostics'!$B$9))-EXP(-A40/'Fit Diagnostics'!$B$9))</f>
        <v>4.4740151843424961E-2</v>
      </c>
      <c r="C40" s="29">
        <f t="shared" si="0"/>
        <v>0.83988811521452755</v>
      </c>
    </row>
    <row r="41" spans="1:3" ht="15" customHeight="1" x14ac:dyDescent="0.25">
      <c r="A41" s="27">
        <v>4</v>
      </c>
      <c r="B41" s="28">
        <f>'Fit Diagnostics'!$B$4+'Fit Diagnostics'!$B$5*((1-EXP(-A41/'Fit Diagnostics'!$B$8))/(A41/'Fit Diagnostics'!$B$8))+'Fit Diagnostics'!$B$6*(((1-EXP(-A41/'Fit Diagnostics'!$B$8))/(A41/'Fit Diagnostics'!$B$8))-EXP(-A41/'Fit Diagnostics'!$B$8))+'Fit Diagnostics'!$B$7*(((1-EXP(-A41/'Fit Diagnostics'!$B$9))/(A41/'Fit Diagnostics'!$B$9))-EXP(-A41/'Fit Diagnostics'!$B$9))</f>
        <v>4.4781275248479316E-2</v>
      </c>
      <c r="C41" s="29">
        <f t="shared" si="0"/>
        <v>0.83600130826036478</v>
      </c>
    </row>
    <row r="42" spans="1:3" ht="15" customHeight="1" x14ac:dyDescent="0.25">
      <c r="A42" s="27">
        <v>4.0999999999999996</v>
      </c>
      <c r="B42" s="28">
        <f>'Fit Diagnostics'!$B$4+'Fit Diagnostics'!$B$5*((1-EXP(-A42/'Fit Diagnostics'!$B$8))/(A42/'Fit Diagnostics'!$B$8))+'Fit Diagnostics'!$B$6*(((1-EXP(-A42/'Fit Diagnostics'!$B$8))/(A42/'Fit Diagnostics'!$B$8))-EXP(-A42/'Fit Diagnostics'!$B$8))+'Fit Diagnostics'!$B$7*(((1-EXP(-A42/'Fit Diagnostics'!$B$9))/(A42/'Fit Diagnostics'!$B$9))-EXP(-A42/'Fit Diagnostics'!$B$9))</f>
        <v>4.482079468491456E-2</v>
      </c>
      <c r="C42" s="29">
        <f t="shared" si="0"/>
        <v>0.83213111685113428</v>
      </c>
    </row>
    <row r="43" spans="1:3" ht="15" customHeight="1" x14ac:dyDescent="0.25">
      <c r="A43" s="27">
        <v>4.2</v>
      </c>
      <c r="B43" s="28">
        <f>'Fit Diagnostics'!$B$4+'Fit Diagnostics'!$B$5*((1-EXP(-A43/'Fit Diagnostics'!$B$8))/(A43/'Fit Diagnostics'!$B$8))+'Fit Diagnostics'!$B$6*(((1-EXP(-A43/'Fit Diagnostics'!$B$8))/(A43/'Fit Diagnostics'!$B$8))-EXP(-A43/'Fit Diagnostics'!$B$8))+'Fit Diagnostics'!$B$7*(((1-EXP(-A43/'Fit Diagnostics'!$B$9))/(A43/'Fit Diagnostics'!$B$9))-EXP(-A43/'Fit Diagnostics'!$B$9))</f>
        <v>4.4858918579516779E-2</v>
      </c>
      <c r="C43" s="29">
        <f t="shared" si="0"/>
        <v>0.82827715028796722</v>
      </c>
    </row>
    <row r="44" spans="1:3" ht="15" customHeight="1" x14ac:dyDescent="0.25">
      <c r="A44" s="27">
        <v>4.3</v>
      </c>
      <c r="B44" s="28">
        <f>'Fit Diagnostics'!$B$4+'Fit Diagnostics'!$B$5*((1-EXP(-A44/'Fit Diagnostics'!$B$8))/(A44/'Fit Diagnostics'!$B$8))+'Fit Diagnostics'!$B$6*(((1-EXP(-A44/'Fit Diagnostics'!$B$8))/(A44/'Fit Diagnostics'!$B$8))-EXP(-A44/'Fit Diagnostics'!$B$8))+'Fit Diagnostics'!$B$7*(((1-EXP(-A44/'Fit Diagnostics'!$B$9))/(A44/'Fit Diagnostics'!$B$9))-EXP(-A44/'Fit Diagnostics'!$B$9))</f>
        <v>4.4895842607339698E-2</v>
      </c>
      <c r="C44" s="29">
        <f t="shared" si="0"/>
        <v>0.82443900061071107</v>
      </c>
    </row>
    <row r="45" spans="1:3" ht="15" customHeight="1" x14ac:dyDescent="0.25">
      <c r="A45" s="27">
        <v>4.4000000000000004</v>
      </c>
      <c r="B45" s="28">
        <f>'Fit Diagnostics'!$B$4+'Fit Diagnostics'!$B$5*((1-EXP(-A45/'Fit Diagnostics'!$B$8))/(A45/'Fit Diagnostics'!$B$8))+'Fit Diagnostics'!$B$6*(((1-EXP(-A45/'Fit Diagnostics'!$B$8))/(A45/'Fit Diagnostics'!$B$8))-EXP(-A45/'Fit Diagnostics'!$B$8))+'Fit Diagnostics'!$B$7*(((1-EXP(-A45/'Fit Diagnostics'!$B$9))/(A45/'Fit Diagnostics'!$B$9))-EXP(-A45/'Fit Diagnostics'!$B$9))</f>
        <v>4.4931750286212671E-2</v>
      </c>
      <c r="C45" s="29">
        <f t="shared" si="0"/>
        <v>0.82061624616551354</v>
      </c>
    </row>
    <row r="46" spans="1:3" ht="15" customHeight="1" x14ac:dyDescent="0.25">
      <c r="A46" s="27">
        <v>4.5</v>
      </c>
      <c r="B46" s="28">
        <f>'Fit Diagnostics'!$B$4+'Fit Diagnostics'!$B$5*((1-EXP(-A46/'Fit Diagnostics'!$B$8))/(A46/'Fit Diagnostics'!$B$8))+'Fit Diagnostics'!$B$6*(((1-EXP(-A46/'Fit Diagnostics'!$B$8))/(A46/'Fit Diagnostics'!$B$8))-EXP(-A46/'Fit Diagnostics'!$B$8))+'Fit Diagnostics'!$B$7*(((1-EXP(-A46/'Fit Diagnostics'!$B$9))/(A46/'Fit Diagnostics'!$B$9))-EXP(-A46/'Fit Diagnostics'!$B$9))</f>
        <v>4.4966813546449179E-2</v>
      </c>
      <c r="C46" s="29">
        <f t="shared" si="0"/>
        <v>0.8168084548815876</v>
      </c>
    </row>
    <row r="47" spans="1:3" ht="15" customHeight="1" x14ac:dyDescent="0.25">
      <c r="A47" s="27">
        <v>4.5999999999999996</v>
      </c>
      <c r="B47" s="28">
        <f>'Fit Diagnostics'!$B$4+'Fit Diagnostics'!$B$5*((1-EXP(-A47/'Fit Diagnostics'!$B$8))/(A47/'Fit Diagnostics'!$B$8))+'Fit Diagnostics'!$B$6*(((1-EXP(-A47/'Fit Diagnostics'!$B$8))/(A47/'Fit Diagnostics'!$B$8))-EXP(-A47/'Fit Diagnostics'!$B$8))+'Fit Diagnostics'!$B$7*(((1-EXP(-A47/'Fit Diagnostics'!$B$9))/(A47/'Fit Diagnostics'!$B$9))-EXP(-A47/'Fit Diagnostics'!$B$9))</f>
        <v>4.500119327673216E-2</v>
      </c>
      <c r="C47" s="29">
        <f t="shared" si="0"/>
        <v>0.81301518727563593</v>
      </c>
    </row>
    <row r="48" spans="1:3" ht="15" customHeight="1" x14ac:dyDescent="0.25">
      <c r="A48" s="27">
        <v>4.7</v>
      </c>
      <c r="B48" s="28">
        <f>'Fit Diagnostics'!$B$4+'Fit Diagnostics'!$B$5*((1-EXP(-A48/'Fit Diagnostics'!$B$8))/(A48/'Fit Diagnostics'!$B$8))+'Fit Diagnostics'!$B$6*(((1-EXP(-A48/'Fit Diagnostics'!$B$8))/(A48/'Fit Diagnostics'!$B$8))-EXP(-A48/'Fit Diagnostics'!$B$8))+'Fit Diagnostics'!$B$7*(((1-EXP(-A48/'Fit Diagnostics'!$B$9))/(A48/'Fit Diagnostics'!$B$9))-EXP(-A48/'Fit Diagnostics'!$B$9))</f>
        <v>4.5035039847120845E-2</v>
      </c>
      <c r="C48" s="29">
        <f t="shared" si="0"/>
        <v>0.80923599920133971</v>
      </c>
    </row>
    <row r="49" spans="1:3" ht="15" customHeight="1" x14ac:dyDescent="0.25">
      <c r="A49" s="27">
        <v>4.8</v>
      </c>
      <c r="B49" s="28">
        <f>'Fit Diagnostics'!$B$4+'Fit Diagnostics'!$B$5*((1-EXP(-A49/'Fit Diagnostics'!$B$8))/(A49/'Fit Diagnostics'!$B$8))+'Fit Diagnostics'!$B$6*(((1-EXP(-A49/'Fit Diagnostics'!$B$8))/(A49/'Fit Diagnostics'!$B$8))-EXP(-A49/'Fit Diagnostics'!$B$8))+'Fit Diagnostics'!$B$7*(((1-EXP(-A49/'Fit Diagnostics'!$B$9))/(A49/'Fit Diagnostics'!$B$9))-EXP(-A49/'Fit Diagnostics'!$B$9))</f>
        <v>4.5068493610086455E-2</v>
      </c>
      <c r="C49" s="29">
        <f t="shared" si="0"/>
        <v>0.80547044436030157</v>
      </c>
    </row>
    <row r="50" spans="1:3" ht="15" customHeight="1" x14ac:dyDescent="0.25">
      <c r="A50" s="27">
        <v>4.9000000000000004</v>
      </c>
      <c r="B50" s="28">
        <f>'Fit Diagnostics'!$B$4+'Fit Diagnostics'!$B$5*((1-EXP(-A50/'Fit Diagnostics'!$B$8))/(A50/'Fit Diagnostics'!$B$8))+'Fit Diagnostics'!$B$6*(((1-EXP(-A50/'Fit Diagnostics'!$B$8))/(A50/'Fit Diagnostics'!$B$8))-EXP(-A50/'Fit Diagnostics'!$B$8))+'Fit Diagnostics'!$B$7*(((1-EXP(-A50/'Fit Diagnostics'!$B$9))/(A50/'Fit Diagnostics'!$B$9))-EXP(-A50/'Fit Diagnostics'!$B$9))</f>
        <v>4.5101685380447704E-2</v>
      </c>
      <c r="C50" s="29">
        <f t="shared" si="0"/>
        <v>0.80171807658988803</v>
      </c>
    </row>
    <row r="51" spans="1:3" ht="15" customHeight="1" x14ac:dyDescent="0.25">
      <c r="A51" s="27">
        <v>5</v>
      </c>
      <c r="B51" s="28">
        <f>'Fit Diagnostics'!$B$4+'Fit Diagnostics'!$B$5*((1-EXP(-A51/'Fit Diagnostics'!$B$8))/(A51/'Fit Diagnostics'!$B$8))+'Fit Diagnostics'!$B$6*(((1-EXP(-A51/'Fit Diagnostics'!$B$8))/(A51/'Fit Diagnostics'!$B$8))-EXP(-A51/'Fit Diagnostics'!$B$8))+'Fit Diagnostics'!$B$7*(((1-EXP(-A51/'Fit Diagnostics'!$B$9))/(A51/'Fit Diagnostics'!$B$9))-EXP(-A51/'Fit Diagnostics'!$B$9))</f>
        <v>4.5134736895044436E-2</v>
      </c>
      <c r="C51" s="29">
        <f t="shared" si="0"/>
        <v>0.7979784519425025</v>
      </c>
    </row>
    <row r="52" spans="1:3" ht="15" customHeight="1" x14ac:dyDescent="0.25">
      <c r="A52" s="27">
        <v>5.0999999999999996</v>
      </c>
      <c r="B52" s="28">
        <f>'Fit Diagnostics'!$B$4+'Fit Diagnostics'!$B$5*((1-EXP(-A52/'Fit Diagnostics'!$B$8))/(A52/'Fit Diagnostics'!$B$8))+'Fit Diagnostics'!$B$6*(((1-EXP(-A52/'Fit Diagnostics'!$B$8))/(A52/'Fit Diagnostics'!$B$8))-EXP(-A52/'Fit Diagnostics'!$B$8))+'Fit Diagnostics'!$B$7*(((1-EXP(-A52/'Fit Diagnostics'!$B$9))/(A52/'Fit Diagnostics'!$B$9))-EXP(-A52/'Fit Diagnostics'!$B$9))</f>
        <v>4.5167761252956275E-2</v>
      </c>
      <c r="C52" s="29">
        <f t="shared" si="0"/>
        <v>0.79425113056995833</v>
      </c>
    </row>
    <row r="53" spans="1:3" ht="15" customHeight="1" x14ac:dyDescent="0.25">
      <c r="A53" s="27">
        <v>5.2</v>
      </c>
      <c r="B53" s="28">
        <f>'Fit Diagnostics'!$B$4+'Fit Diagnostics'!$B$5*((1-EXP(-A53/'Fit Diagnostics'!$B$8))/(A53/'Fit Diagnostics'!$B$8))+'Fit Diagnostics'!$B$6*(((1-EXP(-A53/'Fit Diagnostics'!$B$8))/(A53/'Fit Diagnostics'!$B$8))-EXP(-A53/'Fit Diagnostics'!$B$8))+'Fit Diagnostics'!$B$7*(((1-EXP(-A53/'Fit Diagnostics'!$B$9))/(A53/'Fit Diagnostics'!$B$9))-EXP(-A53/'Fit Diagnostics'!$B$9))</f>
        <v>4.5200863337040723E-2</v>
      </c>
      <c r="C53" s="29">
        <f t="shared" si="0"/>
        <v>0.79053567842581962</v>
      </c>
    </row>
    <row r="54" spans="1:3" ht="15" customHeight="1" x14ac:dyDescent="0.25">
      <c r="A54" s="27">
        <v>5.3</v>
      </c>
      <c r="B54" s="28">
        <f>'Fit Diagnostics'!$B$4+'Fit Diagnostics'!$B$5*((1-EXP(-A54/'Fit Diagnostics'!$B$8))/(A54/'Fit Diagnostics'!$B$8))+'Fit Diagnostics'!$B$6*(((1-EXP(-A54/'Fit Diagnostics'!$B$8))/(A54/'Fit Diagnostics'!$B$8))-EXP(-A54/'Fit Diagnostics'!$B$8))+'Fit Diagnostics'!$B$7*(((1-EXP(-A54/'Fit Diagnostics'!$B$9))/(A54/'Fit Diagnostics'!$B$9))-EXP(-A54/'Fit Diagnostics'!$B$9))</f>
        <v>4.5234140217536814E-2</v>
      </c>
      <c r="C54" s="29">
        <f t="shared" si="0"/>
        <v>0.7868316687978012</v>
      </c>
    </row>
    <row r="55" spans="1:3" ht="15" customHeight="1" x14ac:dyDescent="0.25">
      <c r="A55" s="27">
        <v>5.4</v>
      </c>
      <c r="B55" s="28">
        <f>'Fit Diagnostics'!$B$4+'Fit Diagnostics'!$B$5*((1-EXP(-A55/'Fit Diagnostics'!$B$8))/(A55/'Fit Diagnostics'!$B$8))+'Fit Diagnostics'!$B$6*(((1-EXP(-A55/'Fit Diagnostics'!$B$8))/(A55/'Fit Diagnostics'!$B$8))-EXP(-A55/'Fit Diagnostics'!$B$8))+'Fit Diagnostics'!$B$7*(((1-EXP(-A55/'Fit Diagnostics'!$B$9))/(A55/'Fit Diagnostics'!$B$9))-EXP(-A55/'Fit Diagnostics'!$B$9))</f>
        <v>4.5267681538448054E-2</v>
      </c>
      <c r="C55" s="29">
        <f t="shared" si="0"/>
        <v>0.78313868368161199</v>
      </c>
    </row>
    <row r="56" spans="1:3" ht="15" customHeight="1" x14ac:dyDescent="0.25">
      <c r="A56" s="27">
        <v>5.5</v>
      </c>
      <c r="B56" s="28">
        <f>'Fit Diagnostics'!$B$4+'Fit Diagnostics'!$B$5*((1-EXP(-A56/'Fit Diagnostics'!$B$8))/(A56/'Fit Diagnostics'!$B$8))+'Fit Diagnostics'!$B$6*(((1-EXP(-A56/'Fit Diagnostics'!$B$8))/(A56/'Fit Diagnostics'!$B$8))-EXP(-A56/'Fit Diagnostics'!$B$8))+'Fit Diagnostics'!$B$7*(((1-EXP(-A56/'Fit Diagnostics'!$B$9))/(A56/'Fit Diagnostics'!$B$9))-EXP(-A56/'Fit Diagnostics'!$B$9))</f>
        <v>4.5301569887397933E-2</v>
      </c>
      <c r="C56" s="29">
        <f t="shared" si="0"/>
        <v>0.7794563150069197</v>
      </c>
    </row>
    <row r="57" spans="1:3" ht="15" customHeight="1" x14ac:dyDescent="0.25">
      <c r="A57" s="27">
        <v>5.6</v>
      </c>
      <c r="B57" s="28">
        <f>'Fit Diagnostics'!$B$4+'Fit Diagnostics'!$B$5*((1-EXP(-A57/'Fit Diagnostics'!$B$8))/(A57/'Fit Diagnostics'!$B$8))+'Fit Diagnostics'!$B$6*(((1-EXP(-A57/'Fit Diagnostics'!$B$8))/(A57/'Fit Diagnostics'!$B$8))-EXP(-A57/'Fit Diagnostics'!$B$8))+'Fit Diagnostics'!$B$7*(((1-EXP(-A57/'Fit Diagnostics'!$B$9))/(A57/'Fit Diagnostics'!$B$9))-EXP(-A57/'Fit Diagnostics'!$B$9))</f>
        <v>4.5335881149615433E-2</v>
      </c>
      <c r="C57" s="29">
        <f t="shared" si="0"/>
        <v>0.77578416572550213</v>
      </c>
    </row>
    <row r="58" spans="1:3" ht="15" customHeight="1" x14ac:dyDescent="0.25">
      <c r="A58" s="27">
        <v>5.7</v>
      </c>
      <c r="B58" s="28">
        <f>'Fit Diagnostics'!$B$4+'Fit Diagnostics'!$B$5*((1-EXP(-A58/'Fit Diagnostics'!$B$8))/(A58/'Fit Diagnostics'!$B$8))+'Fit Diagnostics'!$B$6*(((1-EXP(-A58/'Fit Diagnostics'!$B$8))/(A58/'Fit Diagnostics'!$B$8))-EXP(-A58/'Fit Diagnostics'!$B$8))+'Fit Diagnostics'!$B$7*(((1-EXP(-A58/'Fit Diagnostics'!$B$9))/(A58/'Fit Diagnostics'!$B$9))-EXP(-A58/'Fit Diagnostics'!$B$9))</f>
        <v>4.5370684846689407E-2</v>
      </c>
      <c r="C58" s="29">
        <f t="shared" si="0"/>
        <v>0.77212185077102669</v>
      </c>
    </row>
    <row r="59" spans="1:3" ht="15" customHeight="1" x14ac:dyDescent="0.25">
      <c r="A59" s="27">
        <v>5.8</v>
      </c>
      <c r="B59" s="28">
        <f>'Fit Diagnostics'!$B$4+'Fit Diagnostics'!$B$5*((1-EXP(-A59/'Fit Diagnostics'!$B$8))/(A59/'Fit Diagnostics'!$B$8))+'Fit Diagnostics'!$B$6*(((1-EXP(-A59/'Fit Diagnostics'!$B$8))/(A59/'Fit Diagnostics'!$B$8))-EXP(-A59/'Fit Diagnostics'!$B$8))+'Fit Diagnostics'!$B$7*(((1-EXP(-A59/'Fit Diagnostics'!$B$9))/(A59/'Fit Diagnostics'!$B$9))-EXP(-A59/'Fit Diagnostics'!$B$9))</f>
        <v>4.5406044460704419E-2</v>
      </c>
      <c r="C59" s="29">
        <f t="shared" si="0"/>
        <v>0.7684689978993271</v>
      </c>
    </row>
    <row r="60" spans="1:3" ht="15" customHeight="1" x14ac:dyDescent="0.25">
      <c r="A60" s="27">
        <v>5.9</v>
      </c>
      <c r="B60" s="28">
        <f>'Fit Diagnostics'!$B$4+'Fit Diagnostics'!$B$5*((1-EXP(-A60/'Fit Diagnostics'!$B$8))/(A60/'Fit Diagnostics'!$B$8))+'Fit Diagnostics'!$B$6*(((1-EXP(-A60/'Fit Diagnostics'!$B$8))/(A60/'Fit Diagnostics'!$B$8))-EXP(-A60/'Fit Diagnostics'!$B$8))+'Fit Diagnostics'!$B$7*(((1-EXP(-A60/'Fit Diagnostics'!$B$9))/(A60/'Fit Diagnostics'!$B$9))-EXP(-A60/'Fit Diagnostics'!$B$9))</f>
        <v>4.5442017744343657E-2</v>
      </c>
      <c r="C60" s="29">
        <f t="shared" si="0"/>
        <v>0.76482524841753263</v>
      </c>
    </row>
    <row r="61" spans="1:3" ht="15" customHeight="1" x14ac:dyDescent="0.25">
      <c r="A61" s="27">
        <v>6</v>
      </c>
      <c r="B61" s="28">
        <f>'Fit Diagnostics'!$B$4+'Fit Diagnostics'!$B$5*((1-EXP(-A61/'Fit Diagnostics'!$B$8))/(A61/'Fit Diagnostics'!$B$8))+'Fit Diagnostics'!$B$6*(((1-EXP(-A61/'Fit Diagnostics'!$B$8))/(A61/'Fit Diagnostics'!$B$8))-EXP(-A61/'Fit Diagnostics'!$B$8))+'Fit Diagnostics'!$B$7*(((1-EXP(-A61/'Fit Diagnostics'!$B$9))/(A61/'Fit Diagnostics'!$B$9))-EXP(-A61/'Fit Diagnostics'!$B$9))</f>
        <v>4.5478657017526784E-2</v>
      </c>
      <c r="C61" s="29">
        <f t="shared" si="0"/>
        <v>0.76119025780987526</v>
      </c>
    </row>
    <row r="62" spans="1:3" ht="15" customHeight="1" x14ac:dyDescent="0.25">
      <c r="A62" s="27">
        <v>6.1</v>
      </c>
      <c r="B62" s="28">
        <f>'Fit Diagnostics'!$B$4+'Fit Diagnostics'!$B$5*((1-EXP(-A62/'Fit Diagnostics'!$B$8))/(A62/'Fit Diagnostics'!$B$8))+'Fit Diagnostics'!$B$6*(((1-EXP(-A62/'Fit Diagnostics'!$B$8))/(A62/'Fit Diagnostics'!$B$8))-EXP(-A62/'Fit Diagnostics'!$B$8))+'Fit Diagnostics'!$B$7*(((1-EXP(-A62/'Fit Diagnostics'!$B$9))/(A62/'Fit Diagnostics'!$B$9))-EXP(-A62/'Fit Diagnostics'!$B$9))</f>
        <v>4.5516009451124453E-2</v>
      </c>
      <c r="C62" s="29">
        <f t="shared" si="0"/>
        <v>0.75756369626754516</v>
      </c>
    </row>
    <row r="63" spans="1:3" ht="15" customHeight="1" x14ac:dyDescent="0.25">
      <c r="A63" s="27">
        <v>6.2</v>
      </c>
      <c r="B63" s="28">
        <f>'Fit Diagnostics'!$B$4+'Fit Diagnostics'!$B$5*((1-EXP(-A63/'Fit Diagnostics'!$B$8))/(A63/'Fit Diagnostics'!$B$8))+'Fit Diagnostics'!$B$6*(((1-EXP(-A63/'Fit Diagnostics'!$B$8))/(A63/'Fit Diagnostics'!$B$8))-EXP(-A63/'Fit Diagnostics'!$B$8))+'Fit Diagnostics'!$B$7*(((1-EXP(-A63/'Fit Diagnostics'!$B$9))/(A63/'Fit Diagnostics'!$B$9))-EXP(-A63/'Fit Diagnostics'!$B$9))</f>
        <v>4.5554117338272679E-2</v>
      </c>
      <c r="C63" s="29">
        <f t="shared" si="0"/>
        <v>0.75394524912950833</v>
      </c>
    </row>
    <row r="64" spans="1:3" ht="15" customHeight="1" x14ac:dyDescent="0.25">
      <c r="A64" s="27">
        <v>6.3</v>
      </c>
      <c r="B64" s="28">
        <f>'Fit Diagnostics'!$B$4+'Fit Diagnostics'!$B$5*((1-EXP(-A64/'Fit Diagnostics'!$B$8))/(A64/'Fit Diagnostics'!$B$8))+'Fit Diagnostics'!$B$6*(((1-EXP(-A64/'Fit Diagnostics'!$B$8))/(A64/'Fit Diagnostics'!$B$8))-EXP(-A64/'Fit Diagnostics'!$B$8))+'Fit Diagnostics'!$B$7*(((1-EXP(-A64/'Fit Diagnostics'!$B$9))/(A64/'Fit Diagnostics'!$B$9))-EXP(-A64/'Fit Diagnostics'!$B$9))</f>
        <v>4.5593018353788442E-2</v>
      </c>
      <c r="C64" s="29">
        <f t="shared" si="0"/>
        <v>0.75033461724078887</v>
      </c>
    </row>
    <row r="65" spans="1:3" ht="15" customHeight="1" x14ac:dyDescent="0.25">
      <c r="A65" s="27">
        <v>6.4</v>
      </c>
      <c r="B65" s="28">
        <f>'Fit Diagnostics'!$B$4+'Fit Diagnostics'!$B$5*((1-EXP(-A65/'Fit Diagnostics'!$B$8))/(A65/'Fit Diagnostics'!$B$8))+'Fit Diagnostics'!$B$6*(((1-EXP(-A65/'Fit Diagnostics'!$B$8))/(A65/'Fit Diagnostics'!$B$8))-EXP(-A65/'Fit Diagnostics'!$B$8))+'Fit Diagnostics'!$B$7*(((1-EXP(-A65/'Fit Diagnostics'!$B$9))/(A65/'Fit Diagnostics'!$B$9))-EXP(-A65/'Fit Diagnostics'!$B$9))</f>
        <v>4.5632745802169569E-2</v>
      </c>
      <c r="C65" s="29">
        <f t="shared" si="0"/>
        <v>0.74673151723431708</v>
      </c>
    </row>
    <row r="66" spans="1:3" ht="15" customHeight="1" x14ac:dyDescent="0.25">
      <c r="A66" s="27">
        <v>6.5</v>
      </c>
      <c r="B66" s="28">
        <f>'Fit Diagnostics'!$B$4+'Fit Diagnostics'!$B$5*((1-EXP(-A66/'Fit Diagnostics'!$B$8))/(A66/'Fit Diagnostics'!$B$8))+'Fit Diagnostics'!$B$6*(((1-EXP(-A66/'Fit Diagnostics'!$B$8))/(A66/'Fit Diagnostics'!$B$8))-EXP(-A66/'Fit Diagnostics'!$B$8))+'Fit Diagnostics'!$B$7*(((1-EXP(-A66/'Fit Diagnostics'!$B$9))/(A66/'Fit Diagnostics'!$B$9))-EXP(-A66/'Fit Diagnostics'!$B$9))</f>
        <v>4.5673328854641412E-2</v>
      </c>
      <c r="C66" s="29">
        <f t="shared" ref="C66:C129" si="1">EXP(-B66*A66)</f>
        <v>0.74313568174208489</v>
      </c>
    </row>
    <row r="67" spans="1:3" ht="15" customHeight="1" x14ac:dyDescent="0.25">
      <c r="A67" s="27">
        <v>6.6</v>
      </c>
      <c r="B67" s="28">
        <f>'Fit Diagnostics'!$B$4+'Fit Diagnostics'!$B$5*((1-EXP(-A67/'Fit Diagnostics'!$B$8))/(A67/'Fit Diagnostics'!$B$8))+'Fit Diagnostics'!$B$6*(((1-EXP(-A67/'Fit Diagnostics'!$B$8))/(A67/'Fit Diagnostics'!$B$8))-EXP(-A67/'Fit Diagnostics'!$B$8))+'Fit Diagnostics'!$B$7*(((1-EXP(-A67/'Fit Diagnostics'!$B$9))/(A67/'Fit Diagnostics'!$B$9))-EXP(-A67/'Fit Diagnostics'!$B$9))</f>
        <v>4.5714792775697871E-2</v>
      </c>
      <c r="C67" s="29">
        <f t="shared" si="1"/>
        <v>0.7395468595409852</v>
      </c>
    </row>
    <row r="68" spans="1:3" ht="15" customHeight="1" x14ac:dyDescent="0.25">
      <c r="A68" s="27">
        <v>6.7</v>
      </c>
      <c r="B68" s="28">
        <f>'Fit Diagnostics'!$B$4+'Fit Diagnostics'!$B$5*((1-EXP(-A68/'Fit Diagnostics'!$B$8))/(A68/'Fit Diagnostics'!$B$8))+'Fit Diagnostics'!$B$6*(((1-EXP(-A68/'Fit Diagnostics'!$B$8))/(A68/'Fit Diagnostics'!$B$8))-EXP(-A68/'Fit Diagnostics'!$B$8))+'Fit Diagnostics'!$B$7*(((1-EXP(-A68/'Fit Diagnostics'!$B$9))/(A68/'Fit Diagnostics'!$B$9))-EXP(-A68/'Fit Diagnostics'!$B$9))</f>
        <v>4.5757159139563408E-2</v>
      </c>
      <c r="C68" s="29">
        <f t="shared" si="1"/>
        <v>0.73596481563840299</v>
      </c>
    </row>
    <row r="69" spans="1:3" ht="15" customHeight="1" x14ac:dyDescent="0.25">
      <c r="A69" s="27">
        <v>6.8</v>
      </c>
      <c r="B69" s="28">
        <f>'Fit Diagnostics'!$B$4+'Fit Diagnostics'!$B$5*((1-EXP(-A69/'Fit Diagnostics'!$B$8))/(A69/'Fit Diagnostics'!$B$8))+'Fit Diagnostics'!$B$6*(((1-EXP(-A69/'Fit Diagnostics'!$B$8))/(A69/'Fit Diagnostics'!$B$8))-EXP(-A69/'Fit Diagnostics'!$B$8))+'Fit Diagnostics'!$B$7*(((1-EXP(-A69/'Fit Diagnostics'!$B$9))/(A69/'Fit Diagnostics'!$B$9))-EXP(-A69/'Fit Diagnostics'!$B$9))</f>
        <v>4.5800446036986804E-2</v>
      </c>
      <c r="C69" s="29">
        <f t="shared" si="1"/>
        <v>0.73238933130231554</v>
      </c>
    </row>
    <row r="70" spans="1:3" ht="15" customHeight="1" x14ac:dyDescent="0.25">
      <c r="A70" s="27">
        <v>6.9</v>
      </c>
      <c r="B70" s="28">
        <f>'Fit Diagnostics'!$B$4+'Fit Diagnostics'!$B$5*((1-EXP(-A70/'Fit Diagnostics'!$B$8))/(A70/'Fit Diagnostics'!$B$8))+'Fit Diagnostics'!$B$6*(((1-EXP(-A70/'Fit Diagnostics'!$B$8))/(A70/'Fit Diagnostics'!$B$8))-EXP(-A70/'Fit Diagnostics'!$B$8))+'Fit Diagnostics'!$B$7*(((1-EXP(-A70/'Fit Diagnostics'!$B$9))/(A70/'Fit Diagnostics'!$B$9))-EXP(-A70/'Fit Diagnostics'!$B$9))</f>
        <v>4.5844668272764261E-2</v>
      </c>
      <c r="C70" s="29">
        <f t="shared" si="1"/>
        <v>0.7288202040403513</v>
      </c>
    </row>
    <row r="71" spans="1:3" ht="15" customHeight="1" x14ac:dyDescent="0.25">
      <c r="A71" s="27">
        <v>7</v>
      </c>
      <c r="B71" s="28">
        <f>'Fit Diagnostics'!$B$4+'Fit Diagnostics'!$B$5*((1-EXP(-A71/'Fit Diagnostics'!$B$8))/(A71/'Fit Diagnostics'!$B$8))+'Fit Diagnostics'!$B$6*(((1-EXP(-A71/'Fit Diagnostics'!$B$8))/(A71/'Fit Diagnostics'!$B$8))-EXP(-A71/'Fit Diagnostics'!$B$8))+'Fit Diagnostics'!$B$7*(((1-EXP(-A71/'Fit Diagnostics'!$B$9))/(A71/'Fit Diagnostics'!$B$9))-EXP(-A71/'Fit Diagnostics'!$B$9))</f>
        <v>4.5889837554370976E-2</v>
      </c>
      <c r="C71" s="29">
        <f t="shared" si="1"/>
        <v>0.72525724753200704</v>
      </c>
    </row>
    <row r="72" spans="1:3" ht="15" customHeight="1" x14ac:dyDescent="0.25">
      <c r="A72" s="27">
        <v>7.1</v>
      </c>
      <c r="B72" s="28">
        <f>'Fit Diagnostics'!$B$4+'Fit Diagnostics'!$B$5*((1-EXP(-A72/'Fit Diagnostics'!$B$8))/(A72/'Fit Diagnostics'!$B$8))+'Fit Diagnostics'!$B$6*(((1-EXP(-A72/'Fit Diagnostics'!$B$8))/(A72/'Fit Diagnostics'!$B$8))-EXP(-A72/'Fit Diagnostics'!$B$8))+'Fit Diagnostics'!$B$7*(((1-EXP(-A72/'Fit Diagnostics'!$B$9))/(A72/'Fit Diagnostics'!$B$9))-EXP(-A72/'Fit Diagnostics'!$B$9))</f>
        <v>4.5935962672063999E-2</v>
      </c>
      <c r="C72" s="29">
        <f t="shared" si="1"/>
        <v>0.72170029151796744</v>
      </c>
    </row>
    <row r="73" spans="1:3" ht="15" customHeight="1" x14ac:dyDescent="0.25">
      <c r="A73" s="27">
        <v>7.2</v>
      </c>
      <c r="B73" s="28">
        <f>'Fit Diagnostics'!$B$4+'Fit Diagnostics'!$B$5*((1-EXP(-A73/'Fit Diagnostics'!$B$8))/(A73/'Fit Diagnostics'!$B$8))+'Fit Diagnostics'!$B$6*(((1-EXP(-A73/'Fit Diagnostics'!$B$8))/(A73/'Fit Diagnostics'!$B$8))-EXP(-A73/'Fit Diagnostics'!$B$8))+'Fit Diagnostics'!$B$7*(((1-EXP(-A73/'Fit Diagnostics'!$B$9))/(A73/'Fit Diagnostics'!$B$9))-EXP(-A73/'Fit Diagnostics'!$B$9))</f>
        <v>4.5983049670810648E-2</v>
      </c>
      <c r="C73" s="29">
        <f t="shared" si="1"/>
        <v>0.71814918165020591</v>
      </c>
    </row>
    <row r="74" spans="1:3" ht="15" customHeight="1" x14ac:dyDescent="0.25">
      <c r="A74" s="27">
        <v>7.3</v>
      </c>
      <c r="B74" s="28">
        <f>'Fit Diagnostics'!$B$4+'Fit Diagnostics'!$B$5*((1-EXP(-A74/'Fit Diagnostics'!$B$8))/(A74/'Fit Diagnostics'!$B$8))+'Fit Diagnostics'!$B$6*(((1-EXP(-A74/'Fit Diagnostics'!$B$8))/(A74/'Fit Diagnostics'!$B$8))-EXP(-A74/'Fit Diagnostics'!$B$8))+'Fit Diagnostics'!$B$7*(((1-EXP(-A74/'Fit Diagnostics'!$B$9))/(A74/'Fit Diagnostics'!$B$9))-EXP(-A74/'Fit Diagnostics'!$B$9))</f>
        <v>4.603110201437656E-2</v>
      </c>
      <c r="C74" s="29">
        <f t="shared" si="1"/>
        <v>0.71460377930635188</v>
      </c>
    </row>
    <row r="75" spans="1:3" ht="15" customHeight="1" x14ac:dyDescent="0.25">
      <c r="A75" s="27">
        <v>7.4</v>
      </c>
      <c r="B75" s="28">
        <f>'Fit Diagnostics'!$B$4+'Fit Diagnostics'!$B$5*((1-EXP(-A75/'Fit Diagnostics'!$B$8))/(A75/'Fit Diagnostics'!$B$8))+'Fit Diagnostics'!$B$6*(((1-EXP(-A75/'Fit Diagnostics'!$B$8))/(A75/'Fit Diagnostics'!$B$8))-EXP(-A75/'Fit Diagnostics'!$B$8))+'Fit Diagnostics'!$B$7*(((1-EXP(-A75/'Fit Diagnostics'!$B$9))/(A75/'Fit Diagnostics'!$B$9))-EXP(-A75/'Fit Diagnostics'!$B$9))</f>
        <v>4.6080120741899135E-2</v>
      </c>
      <c r="C75" s="29">
        <f t="shared" si="1"/>
        <v>0.71106396137156858</v>
      </c>
    </row>
    <row r="76" spans="1:3" ht="15" customHeight="1" x14ac:dyDescent="0.25">
      <c r="A76" s="27">
        <v>7.5</v>
      </c>
      <c r="B76" s="28">
        <f>'Fit Diagnostics'!$B$4+'Fit Diagnostics'!$B$5*((1-EXP(-A76/'Fit Diagnostics'!$B$8))/(A76/'Fit Diagnostics'!$B$8))+'Fit Diagnostics'!$B$6*(((1-EXP(-A76/'Fit Diagnostics'!$B$8))/(A76/'Fit Diagnostics'!$B$8))-EXP(-A76/'Fit Diagnostics'!$B$8))+'Fit Diagnostics'!$B$7*(((1-EXP(-A76/'Fit Diagnostics'!$B$9))/(A76/'Fit Diagnostics'!$B$9))-EXP(-A76/'Fit Diagnostics'!$B$9))</f>
        <v>4.6130104617254676E-2</v>
      </c>
      <c r="C76" s="29">
        <f t="shared" si="1"/>
        <v>0.70752961999101271</v>
      </c>
    </row>
    <row r="77" spans="1:3" ht="15" customHeight="1" x14ac:dyDescent="0.25">
      <c r="A77" s="27">
        <v>7.6</v>
      </c>
      <c r="B77" s="28">
        <f>'Fit Diagnostics'!$B$4+'Fit Diagnostics'!$B$5*((1-EXP(-A77/'Fit Diagnostics'!$B$8))/(A77/'Fit Diagnostics'!$B$8))+'Fit Diagnostics'!$B$6*(((1-EXP(-A77/'Fit Diagnostics'!$B$8))/(A77/'Fit Diagnostics'!$B$8))-EXP(-A77/'Fit Diagnostics'!$B$8))+'Fit Diagnostics'!$B$7*(((1-EXP(-A77/'Fit Diagnostics'!$B$9))/(A77/'Fit Diagnostics'!$B$9))-EXP(-A77/'Fit Diagnostics'!$B$9))</f>
        <v>4.618105027152198E-2</v>
      </c>
      <c r="C77" s="29">
        <f t="shared" si="1"/>
        <v>0.704000662295723</v>
      </c>
    </row>
    <row r="78" spans="1:3" ht="15" customHeight="1" x14ac:dyDescent="0.25">
      <c r="A78" s="27">
        <v>7.7</v>
      </c>
      <c r="B78" s="28">
        <f>'Fit Diagnostics'!$B$4+'Fit Diagnostics'!$B$5*((1-EXP(-A78/'Fit Diagnostics'!$B$8))/(A78/'Fit Diagnostics'!$B$8))+'Fit Diagnostics'!$B$6*(((1-EXP(-A78/'Fit Diagnostics'!$B$8))/(A78/'Fit Diagnostics'!$B$8))-EXP(-A78/'Fit Diagnostics'!$B$8))+'Fit Diagnostics'!$B$7*(((1-EXP(-A78/'Fit Diagnostics'!$B$9))/(A78/'Fit Diagnostics'!$B$9))-EXP(-A78/'Fit Diagnostics'!$B$9))</f>
        <v>4.6232952338824684E-2</v>
      </c>
      <c r="C78" s="29">
        <f t="shared" si="1"/>
        <v>0.70047701010464969</v>
      </c>
    </row>
    <row r="79" spans="1:3" ht="15" customHeight="1" x14ac:dyDescent="0.25">
      <c r="A79" s="27">
        <v>7.8</v>
      </c>
      <c r="B79" s="28">
        <f>'Fit Diagnostics'!$B$4+'Fit Diagnostics'!$B$5*((1-EXP(-A79/'Fit Diagnostics'!$B$8))/(A79/'Fit Diagnostics'!$B$8))+'Fit Diagnostics'!$B$6*(((1-EXP(-A79/'Fit Diagnostics'!$B$8))/(A79/'Fit Diagnostics'!$B$8))-EXP(-A79/'Fit Diagnostics'!$B$8))+'Fit Diagnostics'!$B$7*(((1-EXP(-A79/'Fit Diagnostics'!$B$9))/(A79/'Fit Diagnostics'!$B$9))-EXP(-A79/'Fit Diagnostics'!$B$9))</f>
        <v>4.6285803585831245E-2</v>
      </c>
      <c r="C79" s="29">
        <f t="shared" si="1"/>
        <v>0.69695859960533291</v>
      </c>
    </row>
    <row r="80" spans="1:3" ht="15" customHeight="1" x14ac:dyDescent="0.25">
      <c r="A80" s="27">
        <v>7.9</v>
      </c>
      <c r="B80" s="28">
        <f>'Fit Diagnostics'!$B$4+'Fit Diagnostics'!$B$5*((1-EXP(-A80/'Fit Diagnostics'!$B$8))/(A80/'Fit Diagnostics'!$B$8))+'Fit Diagnostics'!$B$6*(((1-EXP(-A80/'Fit Diagnostics'!$B$8))/(A80/'Fit Diagnostics'!$B$8))-EXP(-A80/'Fit Diagnostics'!$B$8))+'Fit Diagnostics'!$B$7*(((1-EXP(-A80/'Fit Diagnostics'!$B$9))/(A80/'Fit Diagnostics'!$B$9))-EXP(-A80/'Fit Diagnostics'!$B$9))</f>
        <v>4.6339595035176318E-2</v>
      </c>
      <c r="C80" s="29">
        <f t="shared" si="1"/>
        <v>0.69344538101559583</v>
      </c>
    </row>
    <row r="81" spans="1:3" ht="15" customHeight="1" x14ac:dyDescent="0.25">
      <c r="A81" s="27">
        <v>8</v>
      </c>
      <c r="B81" s="28">
        <f>'Fit Diagnostics'!$B$4+'Fit Diagnostics'!$B$5*((1-EXP(-A81/'Fit Diagnostics'!$B$8))/(A81/'Fit Diagnostics'!$B$8))+'Fit Diagnostics'!$B$6*(((1-EXP(-A81/'Fit Diagnostics'!$B$8))/(A81/'Fit Diagnostics'!$B$8))-EXP(-A81/'Fit Diagnostics'!$B$8))+'Fit Diagnostics'!$B$7*(((1-EXP(-A81/'Fit Diagnostics'!$B$9))/(A81/'Fit Diagnostics'!$B$9))-EXP(-A81/'Fit Diagnostics'!$B$9))</f>
        <v>4.6394316083057496E-2</v>
      </c>
      <c r="C81" s="29">
        <f t="shared" si="1"/>
        <v>0.68993731822847382</v>
      </c>
    </row>
    <row r="82" spans="1:3" ht="15" customHeight="1" x14ac:dyDescent="0.25">
      <c r="A82" s="27">
        <v>8.1</v>
      </c>
      <c r="B82" s="28">
        <f>'Fit Diagnostics'!$B$4+'Fit Diagnostics'!$B$5*((1-EXP(-A82/'Fit Diagnostics'!$B$8))/(A82/'Fit Diagnostics'!$B$8))+'Fit Diagnostics'!$B$6*(((1-EXP(-A82/'Fit Diagnostics'!$B$8))/(A82/'Fit Diagnostics'!$B$8))-EXP(-A82/'Fit Diagnostics'!$B$8))+'Fit Diagnostics'!$B$7*(((1-EXP(-A82/'Fit Diagnostics'!$B$9))/(A82/'Fit Diagnostics'!$B$9))-EXP(-A82/'Fit Diagnostics'!$B$9))</f>
        <v>4.6449954611251648E-2</v>
      </c>
      <c r="C82" s="29">
        <f t="shared" si="1"/>
        <v>0.68643438844245053</v>
      </c>
    </row>
    <row r="83" spans="1:3" ht="15" customHeight="1" x14ac:dyDescent="0.25">
      <c r="A83" s="27">
        <v>8.1999999999999993</v>
      </c>
      <c r="B83" s="28">
        <f>'Fit Diagnostics'!$B$4+'Fit Diagnostics'!$B$5*((1-EXP(-A83/'Fit Diagnostics'!$B$8))/(A83/'Fit Diagnostics'!$B$8))+'Fit Diagnostics'!$B$6*(((1-EXP(-A83/'Fit Diagnostics'!$B$8))/(A83/'Fit Diagnostics'!$B$8))-EXP(-A83/'Fit Diagnostics'!$B$8))+'Fit Diagnostics'!$B$7*(((1-EXP(-A83/'Fit Diagnostics'!$B$9))/(A83/'Fit Diagnostics'!$B$9))-EXP(-A83/'Fit Diagnostics'!$B$9))</f>
        <v>4.6506497093785265E-2</v>
      </c>
      <c r="C83" s="29">
        <f t="shared" si="1"/>
        <v>0.68293658177894701</v>
      </c>
    </row>
    <row r="84" spans="1:3" ht="15" customHeight="1" x14ac:dyDescent="0.25">
      <c r="A84" s="27">
        <v>8.3000000000000007</v>
      </c>
      <c r="B84" s="28">
        <f>'Fit Diagnostics'!$B$4+'Fit Diagnostics'!$B$5*((1-EXP(-A84/'Fit Diagnostics'!$B$8))/(A84/'Fit Diagnostics'!$B$8))+'Fit Diagnostics'!$B$6*(((1-EXP(-A84/'Fit Diagnostics'!$B$8))/(A84/'Fit Diagnostics'!$B$8))-EXP(-A84/'Fit Diagnostics'!$B$8))+'Fit Diagnostics'!$B$7*(((1-EXP(-A84/'Fit Diagnostics'!$B$9))/(A84/'Fit Diagnostics'!$B$9))-EXP(-A84/'Fit Diagnostics'!$B$9))</f>
        <v>4.6563928698484885E-2</v>
      </c>
      <c r="C84" s="29">
        <f t="shared" si="1"/>
        <v>0.67944390088887474</v>
      </c>
    </row>
    <row r="85" spans="1:3" ht="15" customHeight="1" x14ac:dyDescent="0.25">
      <c r="A85" s="27">
        <v>8.4</v>
      </c>
      <c r="B85" s="28">
        <f>'Fit Diagnostics'!$B$4+'Fit Diagnostics'!$B$5*((1-EXP(-A85/'Fit Diagnostics'!$B$8))/(A85/'Fit Diagnostics'!$B$8))+'Fit Diagnostics'!$B$6*(((1-EXP(-A85/'Fit Diagnostics'!$B$8))/(A85/'Fit Diagnostics'!$B$8))-EXP(-A85/'Fit Diagnostics'!$B$8))+'Fit Diagnostics'!$B$7*(((1-EXP(-A85/'Fit Diagnostics'!$B$9))/(A85/'Fit Diagnostics'!$B$9))-EXP(-A85/'Fit Diagnostics'!$B$9))</f>
        <v>4.6622233383622716E-2</v>
      </c>
      <c r="C85" s="29">
        <f t="shared" si="1"/>
        <v>0.67595636054995933</v>
      </c>
    </row>
    <row r="86" spans="1:3" ht="15" customHeight="1" x14ac:dyDescent="0.25">
      <c r="A86" s="27">
        <v>8.5</v>
      </c>
      <c r="B86" s="28">
        <f>'Fit Diagnostics'!$B$4+'Fit Diagnostics'!$B$5*((1-EXP(-A86/'Fit Diagnostics'!$B$8))/(A86/'Fit Diagnostics'!$B$8))+'Fit Diagnostics'!$B$6*(((1-EXP(-A86/'Fit Diagnostics'!$B$8))/(A86/'Fit Diagnostics'!$B$8))-EXP(-A86/'Fit Diagnostics'!$B$8))+'Fit Diagnostics'!$B$7*(((1-EXP(-A86/'Fit Diagnostics'!$B$9))/(A86/'Fit Diagnostics'!$B$9))-EXP(-A86/'Fit Diagnostics'!$B$9))</f>
        <v>4.6681393989864962E-2</v>
      </c>
      <c r="C86" s="29">
        <f t="shared" si="1"/>
        <v>0.67247398725642349</v>
      </c>
    </row>
    <row r="87" spans="1:3" ht="15" customHeight="1" x14ac:dyDescent="0.25">
      <c r="A87" s="27">
        <v>8.6</v>
      </c>
      <c r="B87" s="28">
        <f>'Fit Diagnostics'!$B$4+'Fit Diagnostics'!$B$5*((1-EXP(-A87/'Fit Diagnostics'!$B$8))/(A87/'Fit Diagnostics'!$B$8))+'Fit Diagnostics'!$B$6*(((1-EXP(-A87/'Fit Diagnostics'!$B$8))/(A87/'Fit Diagnostics'!$B$8))-EXP(-A87/'Fit Diagnostics'!$B$8))+'Fit Diagnostics'!$B$7*(((1-EXP(-A87/'Fit Diagnostics'!$B$9))/(A87/'Fit Diagnostics'!$B$9))-EXP(-A87/'Fit Diagnostics'!$B$9))</f>
        <v>4.6741392327723397E-2</v>
      </c>
      <c r="C87" s="29">
        <f t="shared" si="1"/>
        <v>0.66899681880250461</v>
      </c>
    </row>
    <row r="88" spans="1:3" ht="15" customHeight="1" x14ac:dyDescent="0.25">
      <c r="A88" s="27">
        <v>8.6999999999999993</v>
      </c>
      <c r="B88" s="28">
        <f>'Fit Diagnostics'!$B$4+'Fit Diagnostics'!$B$5*((1-EXP(-A88/'Fit Diagnostics'!$B$8))/(A88/'Fit Diagnostics'!$B$8))+'Fit Diagnostics'!$B$6*(((1-EXP(-A88/'Fit Diagnostics'!$B$8))/(A88/'Fit Diagnostics'!$B$8))-EXP(-A88/'Fit Diagnostics'!$B$8))+'Fit Diagnostics'!$B$7*(((1-EXP(-A88/'Fit Diagnostics'!$B$9))/(A88/'Fit Diagnostics'!$B$9))-EXP(-A88/'Fit Diagnostics'!$B$9))</f>
        <v>4.680220926070075E-2</v>
      </c>
      <c r="C88" s="29">
        <f t="shared" si="1"/>
        <v>0.66552490386119634</v>
      </c>
    </row>
    <row r="89" spans="1:3" ht="15" customHeight="1" x14ac:dyDescent="0.25">
      <c r="A89" s="27">
        <v>8.8000000000000007</v>
      </c>
      <c r="B89" s="28">
        <f>'Fit Diagnostics'!$B$4+'Fit Diagnostics'!$B$5*((1-EXP(-A89/'Fit Diagnostics'!$B$8))/(A89/'Fit Diagnostics'!$B$8))+'Fit Diagnostics'!$B$6*(((1-EXP(-A89/'Fit Diagnostics'!$B$8))/(A89/'Fit Diagnostics'!$B$8))-EXP(-A89/'Fit Diagnostics'!$B$8))+'Fit Diagnostics'!$B$7*(((1-EXP(-A89/'Fit Diagnostics'!$B$9))/(A89/'Fit Diagnostics'!$B$9))-EXP(-A89/'Fit Diagnostics'!$B$9))</f>
        <v>4.6863824784313515E-2</v>
      </c>
      <c r="C89" s="29">
        <f t="shared" si="1"/>
        <v>0.66205830155950252</v>
      </c>
    </row>
    <row r="90" spans="1:3" ht="15" customHeight="1" x14ac:dyDescent="0.25">
      <c r="A90" s="27">
        <v>8.9</v>
      </c>
      <c r="B90" s="28">
        <f>'Fit Diagnostics'!$B$4+'Fit Diagnostics'!$B$5*((1-EXP(-A90/'Fit Diagnostics'!$B$8))/(A90/'Fit Diagnostics'!$B$8))+'Fit Diagnostics'!$B$6*(((1-EXP(-A90/'Fit Diagnostics'!$B$8))/(A90/'Fit Diagnostics'!$B$8))-EXP(-A90/'Fit Diagnostics'!$B$8))+'Fit Diagnostics'!$B$7*(((1-EXP(-A90/'Fit Diagnostics'!$B$9))/(A90/'Fit Diagnostics'!$B$9))-EXP(-A90/'Fit Diagnostics'!$B$9))</f>
        <v>4.692621810116878E-2</v>
      </c>
      <c r="C90" s="29">
        <f t="shared" si="1"/>
        <v>0.65859708105140402</v>
      </c>
    </row>
    <row r="91" spans="1:3" ht="15" customHeight="1" x14ac:dyDescent="0.25">
      <c r="A91" s="27">
        <v>9</v>
      </c>
      <c r="B91" s="28">
        <f>'Fit Diagnostics'!$B$4+'Fit Diagnostics'!$B$5*((1-EXP(-A91/'Fit Diagnostics'!$B$8))/(A91/'Fit Diagnostics'!$B$8))+'Fit Diagnostics'!$B$6*(((1-EXP(-A91/'Fit Diagnostics'!$B$8))/(A91/'Fit Diagnostics'!$B$8))-EXP(-A91/'Fit Diagnostics'!$B$8))+'Fit Diagnostics'!$B$7*(((1-EXP(-A91/'Fit Diagnostics'!$B$9))/(A91/'Fit Diagnostics'!$B$9))-EXP(-A91/'Fit Diagnostics'!$B$9))</f>
        <v>4.6989367692264507E-2</v>
      </c>
      <c r="C91" s="29">
        <f t="shared" si="1"/>
        <v>0.65514132108965262</v>
      </c>
    </row>
    <row r="92" spans="1:3" ht="15" customHeight="1" x14ac:dyDescent="0.25">
      <c r="A92" s="27">
        <v>9.1</v>
      </c>
      <c r="B92" s="28">
        <f>'Fit Diagnostics'!$B$4+'Fit Diagnostics'!$B$5*((1-EXP(-A92/'Fit Diagnostics'!$B$8))/(A92/'Fit Diagnostics'!$B$8))+'Fit Diagnostics'!$B$6*(((1-EXP(-A92/'Fit Diagnostics'!$B$8))/(A92/'Fit Diagnostics'!$B$8))-EXP(-A92/'Fit Diagnostics'!$B$8))+'Fit Diagnostics'!$B$7*(((1-EXP(-A92/'Fit Diagnostics'!$B$9))/(A92/'Fit Diagnostics'!$B$9))-EXP(-A92/'Fit Diagnostics'!$B$9))</f>
        <v>4.705325138467574E-2</v>
      </c>
      <c r="C92" s="29">
        <f t="shared" si="1"/>
        <v>0.65169110959742949</v>
      </c>
    </row>
    <row r="93" spans="1:3" ht="15" customHeight="1" x14ac:dyDescent="0.25">
      <c r="A93" s="27">
        <v>9.1999999999999993</v>
      </c>
      <c r="B93" s="28">
        <f>'Fit Diagnostics'!$B$4+'Fit Diagnostics'!$B$5*((1-EXP(-A93/'Fit Diagnostics'!$B$8))/(A93/'Fit Diagnostics'!$B$8))+'Fit Diagnostics'!$B$6*(((1-EXP(-A93/'Fit Diagnostics'!$B$8))/(A93/'Fit Diagnostics'!$B$8))-EXP(-A93/'Fit Diagnostics'!$B$8))+'Fit Diagnostics'!$B$7*(((1-EXP(-A93/'Fit Diagnostics'!$B$9))/(A93/'Fit Diagnostics'!$B$9))-EXP(-A93/'Fit Diagnostics'!$B$9))</f>
        <v>4.711784641578258E-2</v>
      </c>
      <c r="C93" s="29">
        <f t="shared" si="1"/>
        <v>0.64824654324083109</v>
      </c>
    </row>
    <row r="94" spans="1:3" ht="15" customHeight="1" x14ac:dyDescent="0.25">
      <c r="A94" s="27">
        <v>9.3000000000000007</v>
      </c>
      <c r="B94" s="28">
        <f>'Fit Diagnostics'!$B$4+'Fit Diagnostics'!$B$5*((1-EXP(-A94/'Fit Diagnostics'!$B$8))/(A94/'Fit Diagnostics'!$B$8))+'Fit Diagnostics'!$B$6*(((1-EXP(-A94/'Fit Diagnostics'!$B$8))/(A94/'Fit Diagnostics'!$B$8))-EXP(-A94/'Fit Diagnostics'!$B$8))+'Fit Diagnostics'!$B$7*(((1-EXP(-A94/'Fit Diagnostics'!$B$9))/(A94/'Fit Diagnostics'!$B$9))-EXP(-A94/'Fit Diagnostics'!$B$9))</f>
        <v>4.7183129494189777E-2</v>
      </c>
      <c r="C94" s="29">
        <f t="shared" si="1"/>
        <v>0.64480772700307043</v>
      </c>
    </row>
    <row r="95" spans="1:3" ht="15" customHeight="1" x14ac:dyDescent="0.25">
      <c r="A95" s="27">
        <v>9.4</v>
      </c>
      <c r="B95" s="28">
        <f>'Fit Diagnostics'!$B$4+'Fit Diagnostics'!$B$5*((1-EXP(-A95/'Fit Diagnostics'!$B$8))/(A95/'Fit Diagnostics'!$B$8))+'Fit Diagnostics'!$B$6*(((1-EXP(-A95/'Fit Diagnostics'!$B$8))/(A95/'Fit Diagnostics'!$B$8))-EXP(-A95/'Fit Diagnostics'!$B$8))+'Fit Diagnostics'!$B$7*(((1-EXP(-A95/'Fit Diagnostics'!$B$9))/(A95/'Fit Diagnostics'!$B$9))-EXP(-A95/'Fit Diagnostics'!$B$9))</f>
        <v>4.7249076857481073E-2</v>
      </c>
      <c r="C95" s="29">
        <f t="shared" si="1"/>
        <v>0.6413747737612211</v>
      </c>
    </row>
    <row r="96" spans="1:3" ht="15" customHeight="1" x14ac:dyDescent="0.25">
      <c r="A96" s="27">
        <v>9.5</v>
      </c>
      <c r="B96" s="28">
        <f>'Fit Diagnostics'!$B$4+'Fit Diagnostics'!$B$5*((1-EXP(-A96/'Fit Diagnostics'!$B$8))/(A96/'Fit Diagnostics'!$B$8))+'Fit Diagnostics'!$B$6*(((1-EXP(-A96/'Fit Diagnostics'!$B$8))/(A96/'Fit Diagnostics'!$B$8))-EXP(-A96/'Fit Diagnostics'!$B$8))+'Fit Diagnostics'!$B$7*(((1-EXP(-A96/'Fit Diagnostics'!$B$9))/(A96/'Fit Diagnostics'!$B$9))-EXP(-A96/'Fit Diagnostics'!$B$9))</f>
        <v>4.7315664326947324E-2</v>
      </c>
      <c r="C96" s="29">
        <f t="shared" si="1"/>
        <v>0.63794780386625449</v>
      </c>
    </row>
    <row r="97" spans="1:3" ht="15" customHeight="1" x14ac:dyDescent="0.25">
      <c r="A97" s="27">
        <v>9.6</v>
      </c>
      <c r="B97" s="28">
        <f>'Fit Diagnostics'!$B$4+'Fit Diagnostics'!$B$5*((1-EXP(-A97/'Fit Diagnostics'!$B$8))/(A97/'Fit Diagnostics'!$B$8))+'Fit Diagnostics'!$B$6*(((1-EXP(-A97/'Fit Diagnostics'!$B$8))/(A97/'Fit Diagnostics'!$B$8))-EXP(-A97/'Fit Diagnostics'!$B$8))+'Fit Diagnostics'!$B$7*(((1-EXP(-A97/'Fit Diagnostics'!$B$9))/(A97/'Fit Diagnostics'!$B$9))-EXP(-A97/'Fit Diagnostics'!$B$9))</f>
        <v>4.7382867359419489E-2</v>
      </c>
      <c r="C97" s="29">
        <f t="shared" si="1"/>
        <v>0.6345269447270786</v>
      </c>
    </row>
    <row r="98" spans="1:3" ht="15" customHeight="1" x14ac:dyDescent="0.25">
      <c r="A98" s="27">
        <v>9.6999999999999993</v>
      </c>
      <c r="B98" s="28">
        <f>'Fit Diagnostics'!$B$4+'Fit Diagnostics'!$B$5*((1-EXP(-A98/'Fit Diagnostics'!$B$8))/(A98/'Fit Diagnostics'!$B$8))+'Fit Diagnostics'!$B$6*(((1-EXP(-A98/'Fit Diagnostics'!$B$8))/(A98/'Fit Diagnostics'!$B$8))-EXP(-A98/'Fit Diagnostics'!$B$8))+'Fit Diagnostics'!$B$7*(((1-EXP(-A98/'Fit Diagnostics'!$B$9))/(A98/'Fit Diagnostics'!$B$9))-EXP(-A98/'Fit Diagnostics'!$B$9))</f>
        <v>4.7450661096334362E-2</v>
      </c>
      <c r="C98" s="29">
        <f t="shared" si="1"/>
        <v>0.631112330399212</v>
      </c>
    </row>
    <row r="99" spans="1:3" ht="15" customHeight="1" x14ac:dyDescent="0.25">
      <c r="A99" s="27">
        <v>9.8000000000000007</v>
      </c>
      <c r="B99" s="28">
        <f>'Fit Diagnostics'!$B$4+'Fit Diagnostics'!$B$5*((1-EXP(-A99/'Fit Diagnostics'!$B$8))/(A99/'Fit Diagnostics'!$B$8))+'Fit Diagnostics'!$B$6*(((1-EXP(-A99/'Fit Diagnostics'!$B$8))/(A99/'Fit Diagnostics'!$B$8))-EXP(-A99/'Fit Diagnostics'!$B$8))+'Fit Diagnostics'!$B$7*(((1-EXP(-A99/'Fit Diagnostics'!$B$9))/(A99/'Fit Diagnostics'!$B$9))-EXP(-A99/'Fit Diagnostics'!$B$9))</f>
        <v>4.7519020410153635E-2</v>
      </c>
      <c r="C99" s="29">
        <f t="shared" si="1"/>
        <v>0.62770410117868936</v>
      </c>
    </row>
    <row r="100" spans="1:3" ht="15" customHeight="1" x14ac:dyDescent="0.25">
      <c r="A100" s="27">
        <v>9.9</v>
      </c>
      <c r="B100" s="28">
        <f>'Fit Diagnostics'!$B$4+'Fit Diagnostics'!$B$5*((1-EXP(-A100/'Fit Diagnostics'!$B$8))/(A100/'Fit Diagnostics'!$B$8))+'Fit Diagnostics'!$B$6*(((1-EXP(-A100/'Fit Diagnostics'!$B$8))/(A100/'Fit Diagnostics'!$B$8))-EXP(-A100/'Fit Diagnostics'!$B$8))+'Fit Diagnostics'!$B$7*(((1-EXP(-A100/'Fit Diagnostics'!$B$9))/(A100/'Fit Diagnostics'!$B$9))-EXP(-A100/'Fit Diagnostics'!$B$9))</f>
        <v>4.7587919948254898E-2</v>
      </c>
      <c r="C100" s="29">
        <f t="shared" si="1"/>
        <v>0.6243024032017237</v>
      </c>
    </row>
    <row r="101" spans="1:3" ht="15" customHeight="1" x14ac:dyDescent="0.25">
      <c r="A101" s="27">
        <v>10</v>
      </c>
      <c r="B101" s="28">
        <f>'Fit Diagnostics'!$B$4+'Fit Diagnostics'!$B$5*((1-EXP(-A101/'Fit Diagnostics'!$B$8))/(A101/'Fit Diagnostics'!$B$8))+'Fit Diagnostics'!$B$6*(((1-EXP(-A101/'Fit Diagnostics'!$B$8))/(A101/'Fit Diagnostics'!$B$8))-EXP(-A101/'Fit Diagnostics'!$B$8))+'Fit Diagnostics'!$B$7*(((1-EXP(-A101/'Fit Diagnostics'!$B$9))/(A101/'Fit Diagnostics'!$B$9))-EXP(-A101/'Fit Diagnostics'!$B$9))</f>
        <v>4.7657334174404445E-2</v>
      </c>
      <c r="C101" s="29">
        <f t="shared" si="1"/>
        <v>0.6209073880506274</v>
      </c>
    </row>
    <row r="102" spans="1:3" ht="15" customHeight="1" x14ac:dyDescent="0.25">
      <c r="A102" s="27">
        <v>10.1</v>
      </c>
      <c r="B102" s="28">
        <f>'Fit Diagnostics'!$B$4+'Fit Diagnostics'!$B$5*((1-EXP(-A102/'Fit Diagnostics'!$B$8))/(A102/'Fit Diagnostics'!$B$8))+'Fit Diagnostics'!$B$6*(((1-EXP(-A102/'Fit Diagnostics'!$B$8))/(A102/'Fit Diagnostics'!$B$8))-EXP(-A102/'Fit Diagnostics'!$B$8))+'Fit Diagnostics'!$B$7*(((1-EXP(-A102/'Fit Diagnostics'!$B$9))/(A102/'Fit Diagnostics'!$B$9))-EXP(-A102/'Fit Diagnostics'!$B$9))</f>
        <v>4.7727237407922257E-2</v>
      </c>
      <c r="C102" s="29">
        <f t="shared" si="1"/>
        <v>0.61751921236641616</v>
      </c>
    </row>
    <row r="103" spans="1:3" ht="15" customHeight="1" x14ac:dyDescent="0.25">
      <c r="A103" s="27">
        <v>10.199999999999999</v>
      </c>
      <c r="B103" s="28">
        <f>'Fit Diagnostics'!$B$4+'Fit Diagnostics'!$B$5*((1-EXP(-A103/'Fit Diagnostics'!$B$8))/(A103/'Fit Diagnostics'!$B$8))+'Fit Diagnostics'!$B$6*(((1-EXP(-A103/'Fit Diagnostics'!$B$8))/(A103/'Fit Diagnostics'!$B$8))-EXP(-A103/'Fit Diagnostics'!$B$8))+'Fit Diagnostics'!$B$7*(((1-EXP(-A103/'Fit Diagnostics'!$B$9))/(A103/'Fit Diagnostics'!$B$9))-EXP(-A103/'Fit Diagnostics'!$B$9))</f>
        <v>4.7797603860638624E-2</v>
      </c>
      <c r="C103" s="29">
        <f t="shared" si="1"/>
        <v>0.61413803746851969</v>
      </c>
    </row>
    <row r="104" spans="1:3" ht="15" customHeight="1" x14ac:dyDescent="0.25">
      <c r="A104" s="27">
        <v>10.3</v>
      </c>
      <c r="B104" s="28">
        <f>'Fit Diagnostics'!$B$4+'Fit Diagnostics'!$B$5*((1-EXP(-A104/'Fit Diagnostics'!$B$8))/(A104/'Fit Diagnostics'!$B$8))+'Fit Diagnostics'!$B$6*(((1-EXP(-A104/'Fit Diagnostics'!$B$8))/(A104/'Fit Diagnostics'!$B$8))-EXP(-A104/'Fit Diagnostics'!$B$8))+'Fit Diagnostics'!$B$7*(((1-EXP(-A104/'Fit Diagnostics'!$B$9))/(A104/'Fit Diagnostics'!$B$9))-EXP(-A104/'Fit Diagnostics'!$B$9))</f>
        <v>4.7868407671744995E-2</v>
      </c>
      <c r="C104" s="29">
        <f t="shared" si="1"/>
        <v>0.61076402898193138</v>
      </c>
    </row>
    <row r="105" spans="1:3" ht="15" customHeight="1" x14ac:dyDescent="0.25">
      <c r="A105" s="27">
        <v>10.4</v>
      </c>
      <c r="B105" s="28">
        <f>'Fit Diagnostics'!$B$4+'Fit Diagnostics'!$B$5*((1-EXP(-A105/'Fit Diagnostics'!$B$8))/(A105/'Fit Diagnostics'!$B$8))+'Fit Diagnostics'!$B$6*(((1-EXP(-A105/'Fit Diagnostics'!$B$8))/(A105/'Fit Diagnostics'!$B$8))-EXP(-A105/'Fit Diagnostics'!$B$8))+'Fit Diagnostics'!$B$7*(((1-EXP(-A105/'Fit Diagnostics'!$B$9))/(A105/'Fit Diagnostics'!$B$9))-EXP(-A105/'Fit Diagnostics'!$B$9))</f>
        <v>4.793962294063138E-2</v>
      </c>
      <c r="C105" s="29">
        <f t="shared" si="1"/>
        <v>0.60739735647213655</v>
      </c>
    </row>
    <row r="106" spans="1:3" ht="15" customHeight="1" x14ac:dyDescent="0.25">
      <c r="A106" s="27">
        <v>10.5</v>
      </c>
      <c r="B106" s="28">
        <f>'Fit Diagnostics'!$B$4+'Fit Diagnostics'!$B$5*((1-EXP(-A106/'Fit Diagnostics'!$B$8))/(A106/'Fit Diagnostics'!$B$8))+'Fit Diagnostics'!$B$6*(((1-EXP(-A106/'Fit Diagnostics'!$B$8))/(A106/'Fit Diagnostics'!$B$8))-EXP(-A106/'Fit Diagnostics'!$B$8))+'Fit Diagnostics'!$B$7*(((1-EXP(-A106/'Fit Diagnostics'!$B$9))/(A106/'Fit Diagnostics'!$B$9))-EXP(-A106/'Fit Diagnostics'!$B$9))</f>
        <v>4.8011223757801785E-2</v>
      </c>
      <c r="C106" s="29">
        <f t="shared" si="1"/>
        <v>0.60403819308809581</v>
      </c>
    </row>
    <row r="107" spans="1:3" ht="15" customHeight="1" x14ac:dyDescent="0.25">
      <c r="A107" s="27">
        <v>10.6</v>
      </c>
      <c r="B107" s="28">
        <f>'Fit Diagnostics'!$B$4+'Fit Diagnostics'!$B$5*((1-EXP(-A107/'Fit Diagnostics'!$B$8))/(A107/'Fit Diagnostics'!$B$8))+'Fit Diagnostics'!$B$6*(((1-EXP(-A107/'Fit Diagnostics'!$B$8))/(A107/'Fit Diagnostics'!$B$8))-EXP(-A107/'Fit Diagnostics'!$B$8))+'Fit Diagnostics'!$B$7*(((1-EXP(-A107/'Fit Diagnostics'!$B$9))/(A107/'Fit Diagnostics'!$B$9))-EXP(-A107/'Fit Diagnostics'!$B$9))</f>
        <v>4.8083184233956522E-2</v>
      </c>
      <c r="C107" s="29">
        <f t="shared" si="1"/>
        <v>0.60068671521352368</v>
      </c>
    </row>
    <row r="108" spans="1:3" ht="15" customHeight="1" x14ac:dyDescent="0.25">
      <c r="A108" s="27">
        <v>10.7</v>
      </c>
      <c r="B108" s="28">
        <f>'Fit Diagnostics'!$B$4+'Fit Diagnostics'!$B$5*((1-EXP(-A108/'Fit Diagnostics'!$B$8))/(A108/'Fit Diagnostics'!$B$8))+'Fit Diagnostics'!$B$6*(((1-EXP(-A108/'Fit Diagnostics'!$B$8))/(A108/'Fit Diagnostics'!$B$8))-EXP(-A108/'Fit Diagnostics'!$B$8))+'Fit Diagnostics'!$B$7*(((1-EXP(-A108/'Fit Diagnostics'!$B$9))/(A108/'Fit Diagnostics'!$B$9))-EXP(-A108/'Fit Diagnostics'!$B$9))</f>
        <v>4.8155478527322278E-2</v>
      </c>
      <c r="C108" s="29">
        <f t="shared" si="1"/>
        <v>0.5973431021266975</v>
      </c>
    </row>
    <row r="109" spans="1:3" ht="15" customHeight="1" x14ac:dyDescent="0.25">
      <c r="A109" s="27">
        <v>10.8</v>
      </c>
      <c r="B109" s="28">
        <f>'Fit Diagnostics'!$B$4+'Fit Diagnostics'!$B$5*((1-EXP(-A109/'Fit Diagnostics'!$B$8))/(A109/'Fit Diagnostics'!$B$8))+'Fit Diagnostics'!$B$6*(((1-EXP(-A109/'Fit Diagnostics'!$B$8))/(A109/'Fit Diagnostics'!$B$8))-EXP(-A109/'Fit Diagnostics'!$B$8))+'Fit Diagnostics'!$B$7*(((1-EXP(-A109/'Fit Diagnostics'!$B$9))/(A109/'Fit Diagnostics'!$B$9))-EXP(-A109/'Fit Diagnostics'!$B$9))</f>
        <v>4.8228080869311851E-2</v>
      </c>
      <c r="C109" s="29">
        <f t="shared" si="1"/>
        <v>0.59400753566896836</v>
      </c>
    </row>
    <row r="110" spans="1:3" ht="15" customHeight="1" x14ac:dyDescent="0.25">
      <c r="A110" s="27">
        <v>10.9</v>
      </c>
      <c r="B110" s="28">
        <f>'Fit Diagnostics'!$B$4+'Fit Diagnostics'!$B$5*((1-EXP(-A110/'Fit Diagnostics'!$B$8))/(A110/'Fit Diagnostics'!$B$8))+'Fit Diagnostics'!$B$6*(((1-EXP(-A110/'Fit Diagnostics'!$B$8))/(A110/'Fit Diagnostics'!$B$8))-EXP(-A110/'Fit Diagnostics'!$B$8))+'Fit Diagnostics'!$B$7*(((1-EXP(-A110/'Fit Diagnostics'!$B$9))/(A110/'Fit Diagnostics'!$B$9))-EXP(-A110/'Fit Diagnostics'!$B$9))</f>
        <v>4.8300965588590677E-2</v>
      </c>
      <c r="C110" s="29">
        <f t="shared" si="1"/>
        <v>0.59068019992213328</v>
      </c>
    </row>
    <row r="111" spans="1:3" ht="15" customHeight="1" x14ac:dyDescent="0.25">
      <c r="A111" s="27">
        <v>11</v>
      </c>
      <c r="B111" s="28">
        <f>'Fit Diagnostics'!$B$4+'Fit Diagnostics'!$B$5*((1-EXP(-A111/'Fit Diagnostics'!$B$8))/(A111/'Fit Diagnostics'!$B$8))+'Fit Diagnostics'!$B$6*(((1-EXP(-A111/'Fit Diagnostics'!$B$8))/(A111/'Fit Diagnostics'!$B$8))-EXP(-A111/'Fit Diagnostics'!$B$8))+'Fit Diagnostics'!$B$7*(((1-EXP(-A111/'Fit Diagnostics'!$B$9))/(A111/'Fit Diagnostics'!$B$9))-EXP(-A111/'Fit Diagnostics'!$B$9))</f>
        <v>4.8374107133622432E-2</v>
      </c>
      <c r="C111" s="29">
        <f t="shared" si="1"/>
        <v>0.58736128089480233</v>
      </c>
    </row>
    <row r="112" spans="1:3" ht="15" customHeight="1" x14ac:dyDescent="0.25">
      <c r="A112" s="27">
        <v>11.1</v>
      </c>
      <c r="B112" s="28">
        <f>'Fit Diagnostics'!$B$4+'Fit Diagnostics'!$B$5*((1-EXP(-A112/'Fit Diagnostics'!$B$8))/(A112/'Fit Diagnostics'!$B$8))+'Fit Diagnostics'!$B$6*(((1-EXP(-A112/'Fit Diagnostics'!$B$8))/(A112/'Fit Diagnostics'!$B$8))-EXP(-A112/'Fit Diagnostics'!$B$8))+'Fit Diagnostics'!$B$7*(((1-EXP(-A112/'Fit Diagnostics'!$B$9))/(A112/'Fit Diagnostics'!$B$9))-EXP(-A112/'Fit Diagnostics'!$B$9))</f>
        <v>4.8447480093765649E-2</v>
      </c>
      <c r="C112" s="29">
        <f t="shared" si="1"/>
        <v>0.58405096621786201</v>
      </c>
    </row>
    <row r="113" spans="1:3" ht="15" customHeight="1" x14ac:dyDescent="0.25">
      <c r="A113" s="27">
        <v>11.2</v>
      </c>
      <c r="B113" s="28">
        <f>'Fit Diagnostics'!$B$4+'Fit Diagnostics'!$B$5*((1-EXP(-A113/'Fit Diagnostics'!$B$8))/(A113/'Fit Diagnostics'!$B$8))+'Fit Diagnostics'!$B$6*(((1-EXP(-A113/'Fit Diagnostics'!$B$8))/(A113/'Fit Diagnostics'!$B$8))-EXP(-A113/'Fit Diagnostics'!$B$8))+'Fit Diagnostics'!$B$7*(((1-EXP(-A113/'Fit Diagnostics'!$B$9))/(A113/'Fit Diagnostics'!$B$9))-EXP(-A113/'Fit Diagnostics'!$B$9))</f>
        <v>4.8521059218987653E-2</v>
      </c>
      <c r="C113" s="29">
        <f t="shared" si="1"/>
        <v>0.5807494448491195</v>
      </c>
    </row>
    <row r="114" spans="1:3" ht="15" customHeight="1" x14ac:dyDescent="0.25">
      <c r="A114" s="27">
        <v>11.3</v>
      </c>
      <c r="B114" s="28">
        <f>'Fit Diagnostics'!$B$4+'Fit Diagnostics'!$B$5*((1-EXP(-A114/'Fit Diagnostics'!$B$8))/(A114/'Fit Diagnostics'!$B$8))+'Fit Diagnostics'!$B$6*(((1-EXP(-A114/'Fit Diagnostics'!$B$8))/(A114/'Fit Diagnostics'!$B$8))-EXP(-A114/'Fit Diagnostics'!$B$8))+'Fit Diagnostics'!$B$7*(((1-EXP(-A114/'Fit Diagnostics'!$B$9))/(A114/'Fit Diagnostics'!$B$9))-EXP(-A114/'Fit Diagnostics'!$B$9))</f>
        <v>4.8594819438262299E-2</v>
      </c>
      <c r="C114" s="29">
        <f t="shared" si="1"/>
        <v>0.57745690678717743</v>
      </c>
    </row>
    <row r="115" spans="1:3" ht="15" customHeight="1" x14ac:dyDescent="0.25">
      <c r="A115" s="27">
        <v>11.4</v>
      </c>
      <c r="B115" s="28">
        <f>'Fit Diagnostics'!$B$4+'Fit Diagnostics'!$B$5*((1-EXP(-A115/'Fit Diagnostics'!$B$8))/(A115/'Fit Diagnostics'!$B$8))+'Fit Diagnostics'!$B$6*(((1-EXP(-A115/'Fit Diagnostics'!$B$8))/(A115/'Fit Diagnostics'!$B$8))-EXP(-A115/'Fit Diagnostics'!$B$8))+'Fit Diagnostics'!$B$7*(((1-EXP(-A115/'Fit Diagnostics'!$B$9))/(A115/'Fit Diagnostics'!$B$9))-EXP(-A115/'Fit Diagnostics'!$B$9))</f>
        <v>4.8668735876711812E-2</v>
      </c>
      <c r="C115" s="29">
        <f t="shared" si="1"/>
        <v>0.57417354279458654</v>
      </c>
    </row>
    <row r="116" spans="1:3" ht="15" customHeight="1" x14ac:dyDescent="0.25">
      <c r="A116" s="27">
        <v>11.5</v>
      </c>
      <c r="B116" s="28">
        <f>'Fit Diagnostics'!$B$4+'Fit Diagnostics'!$B$5*((1-EXP(-A116/'Fit Diagnostics'!$B$8))/(A116/'Fit Diagnostics'!$B$8))+'Fit Diagnostics'!$B$6*(((1-EXP(-A116/'Fit Diagnostics'!$B$8))/(A116/'Fit Diagnostics'!$B$8))-EXP(-A116/'Fit Diagnostics'!$B$8))+'Fit Diagnostics'!$B$7*(((1-EXP(-A116/'Fit Diagnostics'!$B$9))/(A116/'Fit Diagnostics'!$B$9))-EXP(-A116/'Fit Diagnostics'!$B$9))</f>
        <v>4.8742783871553869E-2</v>
      </c>
      <c r="C116" s="29">
        <f t="shared" si="1"/>
        <v>0.57089954413028299</v>
      </c>
    </row>
    <row r="117" spans="1:3" ht="15" customHeight="1" x14ac:dyDescent="0.25">
      <c r="A117" s="27">
        <v>11.6</v>
      </c>
      <c r="B117" s="28">
        <f>'Fit Diagnostics'!$B$4+'Fit Diagnostics'!$B$5*((1-EXP(-A117/'Fit Diagnostics'!$B$8))/(A117/'Fit Diagnostics'!$B$8))+'Fit Diagnostics'!$B$6*(((1-EXP(-A117/'Fit Diagnostics'!$B$8))/(A117/'Fit Diagnostics'!$B$8))-EXP(-A117/'Fit Diagnostics'!$B$8))+'Fit Diagnostics'!$B$7*(((1-EXP(-A117/'Fit Diagnostics'!$B$9))/(A117/'Fit Diagnostics'!$B$9))-EXP(-A117/'Fit Diagnostics'!$B$9))</f>
        <v>4.8816938986909704E-2</v>
      </c>
      <c r="C117" s="29">
        <f t="shared" si="1"/>
        <v>0.56763510229131686</v>
      </c>
    </row>
    <row r="118" spans="1:3" ht="15" customHeight="1" x14ac:dyDescent="0.25">
      <c r="A118" s="27">
        <v>11.7</v>
      </c>
      <c r="B118" s="28">
        <f>'Fit Diagnostics'!$B$4+'Fit Diagnostics'!$B$5*((1-EXP(-A118/'Fit Diagnostics'!$B$8))/(A118/'Fit Diagnostics'!$B$8))+'Fit Diagnostics'!$B$6*(((1-EXP(-A118/'Fit Diagnostics'!$B$8))/(A118/'Fit Diagnostics'!$B$8))-EXP(-A118/'Fit Diagnostics'!$B$8))+'Fit Diagnostics'!$B$7*(((1-EXP(-A118/'Fit Diagnostics'!$B$9))/(A118/'Fit Diagnostics'!$B$9))-EXP(-A118/'Fit Diagnostics'!$B$9))</f>
        <v>4.8891177027528841E-2</v>
      </c>
      <c r="C118" s="29">
        <f t="shared" si="1"/>
        <v>0.56438040876384654</v>
      </c>
    </row>
    <row r="119" spans="1:3" ht="15" customHeight="1" x14ac:dyDescent="0.25">
      <c r="A119" s="27">
        <v>11.8</v>
      </c>
      <c r="B119" s="28">
        <f>'Fit Diagnostics'!$B$4+'Fit Diagnostics'!$B$5*((1-EXP(-A119/'Fit Diagnostics'!$B$8))/(A119/'Fit Diagnostics'!$B$8))+'Fit Diagnostics'!$B$6*(((1-EXP(-A119/'Fit Diagnostics'!$B$8))/(A119/'Fit Diagnostics'!$B$8))-EXP(-A119/'Fit Diagnostics'!$B$8))+'Fit Diagnostics'!$B$7*(((1-EXP(-A119/'Fit Diagnostics'!$B$9))/(A119/'Fit Diagnostics'!$B$9))-EXP(-A119/'Fit Diagnostics'!$B$9))</f>
        <v>4.8965474051481751E-2</v>
      </c>
      <c r="C119" s="29">
        <f t="shared" si="1"/>
        <v>0.56113565478336969</v>
      </c>
    </row>
    <row r="120" spans="1:3" ht="15" customHeight="1" x14ac:dyDescent="0.25">
      <c r="A120" s="27">
        <v>11.9</v>
      </c>
      <c r="B120" s="28">
        <f>'Fit Diagnostics'!$B$4+'Fit Diagnostics'!$B$5*((1-EXP(-A120/'Fit Diagnostics'!$B$8))/(A120/'Fit Diagnostics'!$B$8))+'Fit Diagnostics'!$B$6*(((1-EXP(-A120/'Fit Diagnostics'!$B$8))/(A120/'Fit Diagnostics'!$B$8))-EXP(-A120/'Fit Diagnostics'!$B$8))+'Fit Diagnostics'!$B$7*(((1-EXP(-A120/'Fit Diagnostics'!$B$9))/(A120/'Fit Diagnostics'!$B$9))-EXP(-A120/'Fit Diagnostics'!$B$9))</f>
        <v>4.9039806381871498E-2</v>
      </c>
      <c r="C120" s="29">
        <f t="shared" si="1"/>
        <v>0.55790103110413625</v>
      </c>
    </row>
    <row r="121" spans="1:3" ht="15" customHeight="1" x14ac:dyDescent="0.25">
      <c r="A121" s="27">
        <v>12</v>
      </c>
      <c r="B121" s="28">
        <f>'Fit Diagnostics'!$B$4+'Fit Diagnostics'!$B$5*((1-EXP(-A121/'Fit Diagnostics'!$B$8))/(A121/'Fit Diagnostics'!$B$8))+'Fit Diagnostics'!$B$6*(((1-EXP(-A121/'Fit Diagnostics'!$B$8))/(A121/'Fit Diagnostics'!$B$8))-EXP(-A121/'Fit Diagnostics'!$B$8))+'Fit Diagnostics'!$B$7*(((1-EXP(-A121/'Fit Diagnostics'!$B$9))/(A121/'Fit Diagnostics'!$B$9))-EXP(-A121/'Fit Diagnostics'!$B$9))</f>
        <v>4.9114150617611159E-2</v>
      </c>
      <c r="C121" s="29">
        <f t="shared" si="1"/>
        <v>0.55467672777768517</v>
      </c>
    </row>
    <row r="122" spans="1:3" ht="15" customHeight="1" x14ac:dyDescent="0.25">
      <c r="A122" s="27">
        <v>12.1</v>
      </c>
      <c r="B122" s="28">
        <f>'Fit Diagnostics'!$B$4+'Fit Diagnostics'!$B$5*((1-EXP(-A122/'Fit Diagnostics'!$B$8))/(A122/'Fit Diagnostics'!$B$8))+'Fit Diagnostics'!$B$6*(((1-EXP(-A122/'Fit Diagnostics'!$B$8))/(A122/'Fit Diagnostics'!$B$8))-EXP(-A122/'Fit Diagnostics'!$B$8))+'Fit Diagnostics'!$B$7*(((1-EXP(-A122/'Fit Diagnostics'!$B$9))/(A122/'Fit Diagnostics'!$B$9))-EXP(-A122/'Fit Diagnostics'!$B$9))</f>
        <v>4.9188483643315087E-2</v>
      </c>
      <c r="C122" s="29">
        <f t="shared" si="1"/>
        <v>0.5514629339404159</v>
      </c>
    </row>
    <row r="123" spans="1:3" ht="15" customHeight="1" x14ac:dyDescent="0.25">
      <c r="A123" s="27">
        <v>12.2</v>
      </c>
      <c r="B123" s="28">
        <f>'Fit Diagnostics'!$B$4+'Fit Diagnostics'!$B$5*((1-EXP(-A123/'Fit Diagnostics'!$B$8))/(A123/'Fit Diagnostics'!$B$8))+'Fit Diagnostics'!$B$6*(((1-EXP(-A123/'Fit Diagnostics'!$B$8))/(A123/'Fit Diagnostics'!$B$8))-EXP(-A123/'Fit Diagnostics'!$B$8))+'Fit Diagnostics'!$B$7*(((1-EXP(-A123/'Fit Diagnostics'!$B$9))/(A123/'Fit Diagnostics'!$B$9))-EXP(-A123/'Fit Diagnostics'!$B$9))</f>
        <v>4.9262782638344521E-2</v>
      </c>
      <c r="C123" s="29">
        <f t="shared" si="1"/>
        <v>0.54825983761012664</v>
      </c>
    </row>
    <row r="124" spans="1:3" ht="15" customHeight="1" x14ac:dyDescent="0.25">
      <c r="A124" s="27">
        <v>12.3</v>
      </c>
      <c r="B124" s="28">
        <f>'Fit Diagnostics'!$B$4+'Fit Diagnostics'!$B$5*((1-EXP(-A124/'Fit Diagnostics'!$B$8))/(A124/'Fit Diagnostics'!$B$8))+'Fit Diagnostics'!$B$6*(((1-EXP(-A124/'Fit Diagnostics'!$B$8))/(A124/'Fit Diagnostics'!$B$8))-EXP(-A124/'Fit Diagnostics'!$B$8))+'Fit Diagnostics'!$B$7*(((1-EXP(-A124/'Fit Diagnostics'!$B$9))/(A124/'Fit Diagnostics'!$B$9))-EXP(-A124/'Fit Diagnostics'!$B$9))</f>
        <v>4.9337025085053589E-2</v>
      </c>
      <c r="C124" s="29">
        <f t="shared" si="1"/>
        <v>0.54506762549139565</v>
      </c>
    </row>
    <row r="125" spans="1:3" ht="15" customHeight="1" x14ac:dyDescent="0.25">
      <c r="A125" s="27">
        <v>12.4</v>
      </c>
      <c r="B125" s="28">
        <f>'Fit Diagnostics'!$B$4+'Fit Diagnostics'!$B$5*((1-EXP(-A125/'Fit Diagnostics'!$B$8))/(A125/'Fit Diagnostics'!$B$8))+'Fit Diagnostics'!$B$6*(((1-EXP(-A125/'Fit Diagnostics'!$B$8))/(A125/'Fit Diagnostics'!$B$8))-EXP(-A125/'Fit Diagnostics'!$B$8))+'Fit Diagnostics'!$B$7*(((1-EXP(-A125/'Fit Diagnostics'!$B$9))/(A125/'Fit Diagnostics'!$B$9))-EXP(-A125/'Fit Diagnostics'!$B$9))</f>
        <v>4.9411188776272749E-2</v>
      </c>
      <c r="C125" s="29">
        <f t="shared" si="1"/>
        <v>0.54188648278971496</v>
      </c>
    </row>
    <row r="126" spans="1:3" ht="15" customHeight="1" x14ac:dyDescent="0.25">
      <c r="A126" s="27">
        <v>12.5</v>
      </c>
      <c r="B126" s="28">
        <f>'Fit Diagnostics'!$B$4+'Fit Diagnostics'!$B$5*((1-EXP(-A126/'Fit Diagnostics'!$B$8))/(A126/'Fit Diagnostics'!$B$8))+'Fit Diagnostics'!$B$6*(((1-EXP(-A126/'Fit Diagnostics'!$B$8))/(A126/'Fit Diagnostics'!$B$8))-EXP(-A126/'Fit Diagnostics'!$B$8))+'Fit Diagnostics'!$B$7*(((1-EXP(-A126/'Fit Diagnostics'!$B$9))/(A126/'Fit Diagnostics'!$B$9))-EXP(-A126/'Fit Diagnostics'!$B$9))</f>
        <v>4.9485251822070087E-2</v>
      </c>
      <c r="C126" s="29">
        <f t="shared" si="1"/>
        <v>0.53871659303424568</v>
      </c>
    </row>
    <row r="127" spans="1:3" ht="15" customHeight="1" x14ac:dyDescent="0.25">
      <c r="A127" s="27">
        <v>12.6</v>
      </c>
      <c r="B127" s="28">
        <f>'Fit Diagnostics'!$B$4+'Fit Diagnostics'!$B$5*((1-EXP(-A127/'Fit Diagnostics'!$B$8))/(A127/'Fit Diagnostics'!$B$8))+'Fit Diagnostics'!$B$6*(((1-EXP(-A127/'Fit Diagnostics'!$B$8))/(A127/'Fit Diagnostics'!$B$8))-EXP(-A127/'Fit Diagnostics'!$B$8))+'Fit Diagnostics'!$B$7*(((1-EXP(-A127/'Fit Diagnostics'!$B$9))/(A127/'Fit Diagnostics'!$B$9))-EXP(-A127/'Fit Diagnostics'!$B$9))</f>
        <v>4.9559192655826478E-2</v>
      </c>
      <c r="C127" s="29">
        <f t="shared" si="1"/>
        <v>0.53555813790907369</v>
      </c>
    </row>
    <row r="128" spans="1:3" ht="15" customHeight="1" x14ac:dyDescent="0.25">
      <c r="A128" s="27">
        <v>12.7</v>
      </c>
      <c r="B128" s="28">
        <f>'Fit Diagnostics'!$B$4+'Fit Diagnostics'!$B$5*((1-EXP(-A128/'Fit Diagnostics'!$B$8))/(A128/'Fit Diagnostics'!$B$8))+'Fit Diagnostics'!$B$6*(((1-EXP(-A128/'Fit Diagnostics'!$B$8))/(A128/'Fit Diagnostics'!$B$8))-EXP(-A128/'Fit Diagnostics'!$B$8))+'Fit Diagnostics'!$B$7*(((1-EXP(-A128/'Fit Diagnostics'!$B$9))/(A128/'Fit Diagnostics'!$B$9))-EXP(-A128/'Fit Diagnostics'!$B$9))</f>
        <v>4.9632990039660513E-2</v>
      </c>
      <c r="C128" s="29">
        <f t="shared" si="1"/>
        <v>0.53241129709282453</v>
      </c>
    </row>
    <row r="129" spans="1:3" ht="15" customHeight="1" x14ac:dyDescent="0.25">
      <c r="A129" s="27">
        <v>12.8</v>
      </c>
      <c r="B129" s="28">
        <f>'Fit Diagnostics'!$B$4+'Fit Diagnostics'!$B$5*((1-EXP(-A129/'Fit Diagnostics'!$B$8))/(A129/'Fit Diagnostics'!$B$8))+'Fit Diagnostics'!$B$6*(((1-EXP(-A129/'Fit Diagnostics'!$B$8))/(A129/'Fit Diagnostics'!$B$8))-EXP(-A129/'Fit Diagnostics'!$B$8))+'Fit Diagnostics'!$B$7*(((1-EXP(-A129/'Fit Diagnostics'!$B$9))/(A129/'Fit Diagnostics'!$B$9))-EXP(-A129/'Fit Diagnostics'!$B$9))</f>
        <v>4.9706623069236164E-2</v>
      </c>
      <c r="C129" s="29">
        <f t="shared" si="1"/>
        <v>0.52927624810650198</v>
      </c>
    </row>
    <row r="130" spans="1:3" ht="15" customHeight="1" x14ac:dyDescent="0.25">
      <c r="A130" s="27">
        <v>12.9</v>
      </c>
      <c r="B130" s="28">
        <f>'Fit Diagnostics'!$B$4+'Fit Diagnostics'!$B$5*((1-EXP(-A130/'Fit Diagnostics'!$B$8))/(A130/'Fit Diagnostics'!$B$8))+'Fit Diagnostics'!$B$6*(((1-EXP(-A130/'Fit Diagnostics'!$B$8))/(A130/'Fit Diagnostics'!$B$8))-EXP(-A130/'Fit Diagnostics'!$B$8))+'Fit Diagnostics'!$B$7*(((1-EXP(-A130/'Fit Diagnostics'!$B$9))/(A130/'Fit Diagnostics'!$B$9))-EXP(-A130/'Fit Diagnostics'!$B$9))</f>
        <v>4.9780071177986204E-2</v>
      </c>
      <c r="C130" s="29">
        <f t="shared" ref="C130:C193" si="2">EXP(-B130*A130)</f>
        <v>0.52615316616939478</v>
      </c>
    </row>
    <row r="131" spans="1:3" ht="15" customHeight="1" x14ac:dyDescent="0.25">
      <c r="A131" s="27">
        <v>13</v>
      </c>
      <c r="B131" s="28">
        <f>'Fit Diagnostics'!$B$4+'Fit Diagnostics'!$B$5*((1-EXP(-A131/'Fit Diagnostics'!$B$8))/(A131/'Fit Diagnostics'!$B$8))+'Fit Diagnostics'!$B$6*(((1-EXP(-A131/'Fit Diagnostics'!$B$8))/(A131/'Fit Diagnostics'!$B$8))-EXP(-A131/'Fit Diagnostics'!$B$8))+'Fit Diagnostics'!$B$7*(((1-EXP(-A131/'Fit Diagnostics'!$B$9))/(A131/'Fit Diagnostics'!$B$9))-EXP(-A131/'Fit Diagnostics'!$B$9))</f>
        <v>4.9853314140781806E-2</v>
      </c>
      <c r="C131" s="29">
        <f t="shared" si="2"/>
        <v>0.52304222406290179</v>
      </c>
    </row>
    <row r="132" spans="1:3" ht="15" customHeight="1" x14ac:dyDescent="0.25">
      <c r="A132" s="27">
        <v>13.1</v>
      </c>
      <c r="B132" s="28">
        <f>'Fit Diagnostics'!$B$4+'Fit Diagnostics'!$B$5*((1-EXP(-A132/'Fit Diagnostics'!$B$8))/(A132/'Fit Diagnostics'!$B$8))+'Fit Diagnostics'!$B$6*(((1-EXP(-A132/'Fit Diagnostics'!$B$8))/(A132/'Fit Diagnostics'!$B$8))-EXP(-A132/'Fit Diagnostics'!$B$8))+'Fit Diagnostics'!$B$7*(((1-EXP(-A132/'Fit Diagnostics'!$B$9))/(A132/'Fit Diagnostics'!$B$9))-EXP(-A132/'Fit Diagnostics'!$B$9))</f>
        <v>4.9926332077078125E-2</v>
      </c>
      <c r="C132" s="29">
        <f t="shared" si="2"/>
        <v>0.51994359200211326</v>
      </c>
    </row>
    <row r="133" spans="1:3" ht="15" customHeight="1" x14ac:dyDescent="0.25">
      <c r="A133" s="27">
        <v>13.2</v>
      </c>
      <c r="B133" s="28">
        <f>'Fit Diagnostics'!$B$4+'Fit Diagnostics'!$B$5*((1-EXP(-A133/'Fit Diagnostics'!$B$8))/(A133/'Fit Diagnostics'!$B$8))+'Fit Diagnostics'!$B$6*(((1-EXP(-A133/'Fit Diagnostics'!$B$8))/(A133/'Fit Diagnostics'!$B$8))-EXP(-A133/'Fit Diagnostics'!$B$8))+'Fit Diagnostics'!$B$7*(((1-EXP(-A133/'Fit Diagnostics'!$B$9))/(A133/'Fit Diagnostics'!$B$9))-EXP(-A133/'Fit Diagnostics'!$B$9))</f>
        <v>4.9999105453563758E-2</v>
      </c>
      <c r="C133" s="29">
        <f t="shared" si="2"/>
        <v>0.5168574375149867</v>
      </c>
    </row>
    <row r="134" spans="1:3" ht="15" customHeight="1" x14ac:dyDescent="0.25">
      <c r="A134" s="27">
        <v>13.3</v>
      </c>
      <c r="B134" s="28">
        <f>'Fit Diagnostics'!$B$4+'Fit Diagnostics'!$B$5*((1-EXP(-A134/'Fit Diagnostics'!$B$8))/(A134/'Fit Diagnostics'!$B$8))+'Fit Diagnostics'!$B$6*(((1-EXP(-A134/'Fit Diagnostics'!$B$8))/(A134/'Fit Diagnostics'!$B$8))-EXP(-A134/'Fit Diagnostics'!$B$8))+'Fit Diagnostics'!$B$7*(((1-EXP(-A134/'Fit Diagnostics'!$B$9))/(A134/'Fit Diagnostics'!$B$9))-EXP(-A134/'Fit Diagnostics'!$B$9))</f>
        <v>5.0071615086341385E-2</v>
      </c>
      <c r="C134" s="29">
        <f t="shared" si="2"/>
        <v>0.51378392532894746</v>
      </c>
    </row>
    <row r="135" spans="1:3" ht="15" customHeight="1" x14ac:dyDescent="0.25">
      <c r="A135" s="27">
        <v>13.4</v>
      </c>
      <c r="B135" s="28">
        <f>'Fit Diagnostics'!$B$4+'Fit Diagnostics'!$B$5*((1-EXP(-A135/'Fit Diagnostics'!$B$8))/(A135/'Fit Diagnostics'!$B$8))+'Fit Diagnostics'!$B$6*(((1-EXP(-A135/'Fit Diagnostics'!$B$8))/(A135/'Fit Diagnostics'!$B$8))-EXP(-A135/'Fit Diagnostics'!$B$8))+'Fit Diagnostics'!$B$7*(((1-EXP(-A135/'Fit Diagnostics'!$B$9))/(A135/'Fit Diagnostics'!$B$9))-EXP(-A135/'Fit Diagnostics'!$B$9))</f>
        <v>5.014384214266486E-2</v>
      </c>
      <c r="C135" s="29">
        <f t="shared" si="2"/>
        <v>0.51072321726474645</v>
      </c>
    </row>
    <row r="136" spans="1:3" ht="15" customHeight="1" x14ac:dyDescent="0.25">
      <c r="A136" s="27">
        <v>13.5</v>
      </c>
      <c r="B136" s="28">
        <f>'Fit Diagnostics'!$B$4+'Fit Diagnostics'!$B$5*((1-EXP(-A136/'Fit Diagnostics'!$B$8))/(A136/'Fit Diagnostics'!$B$8))+'Fit Diagnostics'!$B$6*(((1-EXP(-A136/'Fit Diagnostics'!$B$8))/(A136/'Fit Diagnostics'!$B$8))-EXP(-A136/'Fit Diagnostics'!$B$8))+'Fit Diagnostics'!$B$7*(((1-EXP(-A136/'Fit Diagnostics'!$B$9))/(A136/'Fit Diagnostics'!$B$9))-EXP(-A136/'Fit Diagnostics'!$B$9))</f>
        <v>5.0215768142258421E-2</v>
      </c>
      <c r="C136" s="29">
        <f t="shared" si="2"/>
        <v>0.5076754721373945</v>
      </c>
    </row>
    <row r="137" spans="1:3" ht="15" customHeight="1" x14ac:dyDescent="0.25">
      <c r="A137" s="27">
        <v>13.6</v>
      </c>
      <c r="B137" s="28">
        <f>'Fit Diagnostics'!$B$4+'Fit Diagnostics'!$B$5*((1-EXP(-A137/'Fit Diagnostics'!$B$8))/(A137/'Fit Diagnostics'!$B$8))+'Fit Diagnostics'!$B$6*(((1-EXP(-A137/'Fit Diagnostics'!$B$8))/(A137/'Fit Diagnostics'!$B$8))-EXP(-A137/'Fit Diagnostics'!$B$8))+'Fit Diagnostics'!$B$7*(((1-EXP(-A137/'Fit Diagnostics'!$B$9))/(A137/'Fit Diagnostics'!$B$9))-EXP(-A137/'Fit Diagnostics'!$B$9))</f>
        <v>5.0287374958240066E-2</v>
      </c>
      <c r="C137" s="29">
        <f t="shared" si="2"/>
        <v>0.50464084566400569</v>
      </c>
    </row>
    <row r="138" spans="1:3" ht="15" customHeight="1" x14ac:dyDescent="0.25">
      <c r="A138" s="27">
        <v>13.7</v>
      </c>
      <c r="B138" s="28">
        <f>'Fit Diagnostics'!$B$4+'Fit Diagnostics'!$B$5*((1-EXP(-A138/'Fit Diagnostics'!$B$8))/(A138/'Fit Diagnostics'!$B$8))+'Fit Diagnostics'!$B$6*(((1-EXP(-A138/'Fit Diagnostics'!$B$8))/(A138/'Fit Diagnostics'!$B$8))-EXP(-A138/'Fit Diagnostics'!$B$8))+'Fit Diagnostics'!$B$7*(((1-EXP(-A138/'Fit Diagnostics'!$B$9))/(A138/'Fit Diagnostics'!$B$9))-EXP(-A138/'Fit Diagnostics'!$B$9))</f>
        <v>5.0358644817672681E-2</v>
      </c>
      <c r="C138" s="29">
        <f t="shared" si="2"/>
        <v>0.50161949037836662</v>
      </c>
    </row>
    <row r="139" spans="1:3" ht="15" customHeight="1" x14ac:dyDescent="0.25">
      <c r="A139" s="27">
        <v>13.8</v>
      </c>
      <c r="B139" s="28">
        <f>'Fit Diagnostics'!$B$4+'Fit Diagnostics'!$B$5*((1-EXP(-A139/'Fit Diagnostics'!$B$8))/(A139/'Fit Diagnostics'!$B$8))+'Fit Diagnostics'!$B$6*(((1-EXP(-A139/'Fit Diagnostics'!$B$8))/(A139/'Fit Diagnostics'!$B$8))-EXP(-A139/'Fit Diagnostics'!$B$8))+'Fit Diagnostics'!$B$7*(((1-EXP(-A139/'Fit Diagnostics'!$B$9))/(A139/'Fit Diagnostics'!$B$9))-EXP(-A139/'Fit Diagnostics'!$B$9))</f>
        <v>5.0429560301764528E-2</v>
      </c>
      <c r="C139" s="29">
        <f t="shared" si="2"/>
        <v>0.4986115555520485</v>
      </c>
    </row>
    <row r="140" spans="1:3" ht="15" customHeight="1" x14ac:dyDescent="0.25">
      <c r="A140" s="27">
        <v>13.9</v>
      </c>
      <c r="B140" s="28">
        <f>'Fit Diagnostics'!$B$4+'Fit Diagnostics'!$B$5*((1-EXP(-A140/'Fit Diagnostics'!$B$8))/(A140/'Fit Diagnostics'!$B$8))+'Fit Diagnostics'!$B$6*(((1-EXP(-A140/'Fit Diagnostics'!$B$8))/(A140/'Fit Diagnostics'!$B$8))-EXP(-A140/'Fit Diagnostics'!$B$8))+'Fit Diagnostics'!$B$7*(((1-EXP(-A140/'Fit Diagnostics'!$B$9))/(A140/'Fit Diagnostics'!$B$9))-EXP(-A140/'Fit Diagnostics'!$B$9))</f>
        <v>5.0500104345738137E-2</v>
      </c>
      <c r="C140" s="29">
        <f t="shared" si="2"/>
        <v>0.49561718712189351</v>
      </c>
    </row>
    <row r="141" spans="1:3" ht="15" customHeight="1" x14ac:dyDescent="0.25">
      <c r="A141" s="27">
        <v>14</v>
      </c>
      <c r="B141" s="28">
        <f>'Fit Diagnostics'!$B$4+'Fit Diagnostics'!$B$5*((1-EXP(-A141/'Fit Diagnostics'!$B$8))/(A141/'Fit Diagnostics'!$B$8))+'Fit Diagnostics'!$B$6*(((1-EXP(-A141/'Fit Diagnostics'!$B$8))/(A141/'Fit Diagnostics'!$B$8))-EXP(-A141/'Fit Diagnostics'!$B$8))+'Fit Diagnostics'!$B$7*(((1-EXP(-A141/'Fit Diagnostics'!$B$9))/(A141/'Fit Diagnostics'!$B$9))-EXP(-A141/'Fit Diagnostics'!$B$9))</f>
        <v>5.0570260238389071E-2</v>
      </c>
      <c r="C141" s="29">
        <f t="shared" si="2"/>
        <v>0.49263652762367932</v>
      </c>
    </row>
    <row r="142" spans="1:3" ht="15" customHeight="1" x14ac:dyDescent="0.25">
      <c r="A142" s="27">
        <v>14.1</v>
      </c>
      <c r="B142" s="28">
        <f>'Fit Diagnostics'!$B$4+'Fit Diagnostics'!$B$5*((1-EXP(-A142/'Fit Diagnostics'!$B$8))/(A142/'Fit Diagnostics'!$B$8))+'Fit Diagnostics'!$B$6*(((1-EXP(-A142/'Fit Diagnostics'!$B$8))/(A142/'Fit Diagnostics'!$B$8))-EXP(-A142/'Fit Diagnostics'!$B$8))+'Fit Diagnostics'!$B$7*(((1-EXP(-A142/'Fit Diagnostics'!$B$9))/(A142/'Fit Diagnostics'!$B$9))-EXP(-A142/'Fit Diagnostics'!$B$9))</f>
        <v>5.0640011621351955E-2</v>
      </c>
      <c r="C142" s="29">
        <f t="shared" si="2"/>
        <v>0.48966971613179072</v>
      </c>
    </row>
    <row r="143" spans="1:3" ht="15" customHeight="1" x14ac:dyDescent="0.25">
      <c r="A143" s="27">
        <v>14.2</v>
      </c>
      <c r="B143" s="28">
        <f>'Fit Diagnostics'!$B$4+'Fit Diagnostics'!$B$5*((1-EXP(-A143/'Fit Diagnostics'!$B$8))/(A143/'Fit Diagnostics'!$B$8))+'Fit Diagnostics'!$B$6*(((1-EXP(-A143/'Fit Diagnostics'!$B$8))/(A143/'Fit Diagnostics'!$B$8))-EXP(-A143/'Fit Diagnostics'!$B$8))+'Fit Diagnostics'!$B$7*(((1-EXP(-A143/'Fit Diagnostics'!$B$9))/(A143/'Fit Diagnostics'!$B$9))-EXP(-A143/'Fit Diagnostics'!$B$9))</f>
        <v>5.0709342488091683E-2</v>
      </c>
      <c r="C143" s="29">
        <f t="shared" si="2"/>
        <v>0.48671688820471465</v>
      </c>
    </row>
    <row r="144" spans="1:3" ht="15" customHeight="1" x14ac:dyDescent="0.25">
      <c r="A144" s="27">
        <v>14.3</v>
      </c>
      <c r="B144" s="28">
        <f>'Fit Diagnostics'!$B$4+'Fit Diagnostics'!$B$5*((1-EXP(-A144/'Fit Diagnostics'!$B$8))/(A144/'Fit Diagnostics'!$B$8))+'Fit Diagnostics'!$B$6*(((1-EXP(-A144/'Fit Diagnostics'!$B$8))/(A144/'Fit Diagnostics'!$B$8))-EXP(-A144/'Fit Diagnostics'!$B$8))+'Fit Diagnostics'!$B$7*(((1-EXP(-A144/'Fit Diagnostics'!$B$9))/(A144/'Fit Diagnostics'!$B$9))-EXP(-A144/'Fit Diagnostics'!$B$9))</f>
        <v>5.0778237182637721E-2</v>
      </c>
      <c r="C144" s="29">
        <f t="shared" si="2"/>
        <v>0.48377817583617222</v>
      </c>
    </row>
    <row r="145" spans="1:3" ht="15" customHeight="1" x14ac:dyDescent="0.25">
      <c r="A145" s="27">
        <v>14.4</v>
      </c>
      <c r="B145" s="28">
        <f>'Fit Diagnostics'!$B$4+'Fit Diagnostics'!$B$5*((1-EXP(-A145/'Fit Diagnostics'!$B$8))/(A145/'Fit Diagnostics'!$B$8))+'Fit Diagnostics'!$B$6*(((1-EXP(-A145/'Fit Diagnostics'!$B$8))/(A145/'Fit Diagnostics'!$B$8))-EXP(-A145/'Fit Diagnostics'!$B$8))+'Fit Diagnostics'!$B$7*(((1-EXP(-A145/'Fit Diagnostics'!$B$9))/(A145/'Fit Diagnostics'!$B$9))-EXP(-A145/'Fit Diagnostics'!$B$9))</f>
        <v>5.0846680398076161E-2</v>
      </c>
      <c r="C145" s="29">
        <f t="shared" si="2"/>
        <v>0.48085370741171768</v>
      </c>
    </row>
    <row r="146" spans="1:3" ht="15" customHeight="1" x14ac:dyDescent="0.25">
      <c r="A146" s="27">
        <v>14.5</v>
      </c>
      <c r="B146" s="28">
        <f>'Fit Diagnostics'!$B$4+'Fit Diagnostics'!$B$5*((1-EXP(-A146/'Fit Diagnostics'!$B$8))/(A146/'Fit Diagnostics'!$B$8))+'Fit Diagnostics'!$B$6*(((1-EXP(-A146/'Fit Diagnostics'!$B$8))/(A146/'Fit Diagnostics'!$B$8))-EXP(-A146/'Fit Diagnostics'!$B$8))+'Fit Diagnostics'!$B$7*(((1-EXP(-A146/'Fit Diagnostics'!$B$9))/(A146/'Fit Diagnostics'!$B$9))-EXP(-A146/'Fit Diagnostics'!$B$9))</f>
        <v>5.0914657174817191E-2</v>
      </c>
      <c r="C146" s="29">
        <f t="shared" si="2"/>
        <v>0.47794360767060828</v>
      </c>
    </row>
    <row r="147" spans="1:3" ht="15" customHeight="1" x14ac:dyDescent="0.25">
      <c r="A147" s="27">
        <v>14.6</v>
      </c>
      <c r="B147" s="28">
        <f>'Fit Diagnostics'!$B$4+'Fit Diagnostics'!$B$5*((1-EXP(-A147/'Fit Diagnostics'!$B$8))/(A147/'Fit Diagnostics'!$B$8))+'Fit Diagnostics'!$B$6*(((1-EXP(-A147/'Fit Diagnostics'!$B$8))/(A147/'Fit Diagnostics'!$B$8))-EXP(-A147/'Fit Diagnostics'!$B$8))+'Fit Diagnostics'!$B$7*(((1-EXP(-A147/'Fit Diagnostics'!$B$9))/(A147/'Fit Diagnostics'!$B$9))-EXP(-A147/'Fit Diagnostics'!$B$9))</f>
        <v>5.0982152898650074E-2</v>
      </c>
      <c r="C147" s="29">
        <f t="shared" si="2"/>
        <v>0.47504799767278688</v>
      </c>
    </row>
    <row r="148" spans="1:3" ht="15" customHeight="1" x14ac:dyDescent="0.25">
      <c r="A148" s="27">
        <v>14.7</v>
      </c>
      <c r="B148" s="28">
        <f>'Fit Diagnostics'!$B$4+'Fit Diagnostics'!$B$5*((1-EXP(-A148/'Fit Diagnostics'!$B$8))/(A148/'Fit Diagnostics'!$B$8))+'Fit Diagnostics'!$B$6*(((1-EXP(-A148/'Fit Diagnostics'!$B$8))/(A148/'Fit Diagnostics'!$B$8))-EXP(-A148/'Fit Diagnostics'!$B$8))+'Fit Diagnostics'!$B$7*(((1-EXP(-A148/'Fit Diagnostics'!$B$9))/(A148/'Fit Diagnostics'!$B$9))-EXP(-A148/'Fit Diagnostics'!$B$9))</f>
        <v>5.1049153298601775E-2</v>
      </c>
      <c r="C148" s="29">
        <f t="shared" si="2"/>
        <v>0.472166994770784</v>
      </c>
    </row>
    <row r="149" spans="1:3" ht="15" customHeight="1" x14ac:dyDescent="0.25">
      <c r="A149" s="27">
        <v>14.8</v>
      </c>
      <c r="B149" s="28">
        <f>'Fit Diagnostics'!$B$4+'Fit Diagnostics'!$B$5*((1-EXP(-A149/'Fit Diagnostics'!$B$8))/(A149/'Fit Diagnostics'!$B$8))+'Fit Diagnostics'!$B$6*(((1-EXP(-A149/'Fit Diagnostics'!$B$8))/(A149/'Fit Diagnostics'!$B$8))-EXP(-A149/'Fit Diagnostics'!$B$8))+'Fit Diagnostics'!$B$7*(((1-EXP(-A149/'Fit Diagnostics'!$B$9))/(A149/'Fit Diagnostics'!$B$9))-EXP(-A149/'Fit Diagnostics'!$B$9))</f>
        <v>5.1115644444612036E-2</v>
      </c>
      <c r="C149" s="29">
        <f t="shared" si="2"/>
        <v>0.46930071258636818</v>
      </c>
    </row>
    <row r="150" spans="1:3" ht="15" customHeight="1" x14ac:dyDescent="0.25">
      <c r="A150" s="27">
        <v>14.9</v>
      </c>
      <c r="B150" s="28">
        <f>'Fit Diagnostics'!$B$4+'Fit Diagnostics'!$B$5*((1-EXP(-A150/'Fit Diagnostics'!$B$8))/(A150/'Fit Diagnostics'!$B$8))+'Fit Diagnostics'!$B$6*(((1-EXP(-A150/'Fit Diagnostics'!$B$8))/(A150/'Fit Diagnostics'!$B$8))-EXP(-A150/'Fit Diagnostics'!$B$8))+'Fit Diagnostics'!$B$7*(((1-EXP(-A150/'Fit Diagnostics'!$B$9))/(A150/'Fit Diagnostics'!$B$9))-EXP(-A150/'Fit Diagnostics'!$B$9))</f>
        <v>5.1181612745037006E-2</v>
      </c>
      <c r="C150" s="29">
        <f t="shared" si="2"/>
        <v>0.46644926099177664</v>
      </c>
    </row>
    <row r="151" spans="1:3" ht="15" customHeight="1" x14ac:dyDescent="0.25">
      <c r="A151" s="27">
        <v>15</v>
      </c>
      <c r="B151" s="28">
        <f>'Fit Diagnostics'!$B$4+'Fit Diagnostics'!$B$5*((1-EXP(-A151/'Fit Diagnostics'!$B$8))/(A151/'Fit Diagnostics'!$B$8))+'Fit Diagnostics'!$B$6*(((1-EXP(-A151/'Fit Diagnostics'!$B$8))/(A151/'Fit Diagnostics'!$B$8))-EXP(-A151/'Fit Diagnostics'!$B$8))+'Fit Diagnostics'!$B$7*(((1-EXP(-A151/'Fit Diagnostics'!$B$9))/(A151/'Fit Diagnostics'!$B$9))-EXP(-A151/'Fit Diagnostics'!$B$9))</f>
        <v>5.1247044943994582E-2</v>
      </c>
      <c r="C151" s="29">
        <f t="shared" si="2"/>
        <v>0.46361274609534547</v>
      </c>
    </row>
    <row r="152" spans="1:3" ht="15" customHeight="1" x14ac:dyDescent="0.25">
      <c r="A152" s="27">
        <v>15.1</v>
      </c>
      <c r="B152" s="28">
        <f>'Fit Diagnostics'!$B$4+'Fit Diagnostics'!$B$5*((1-EXP(-A152/'Fit Diagnostics'!$B$8))/(A152/'Fit Diagnostics'!$B$8))+'Fit Diagnostics'!$B$6*(((1-EXP(-A152/'Fit Diagnostics'!$B$8))/(A152/'Fit Diagnostics'!$B$8))-EXP(-A152/'Fit Diagnostics'!$B$8))+'Fit Diagnostics'!$B$7*(((1-EXP(-A152/'Fit Diagnostics'!$B$9))/(A152/'Fit Diagnostics'!$B$9))-EXP(-A152/'Fit Diagnostics'!$B$9))</f>
        <v>5.1311928118561959E-2</v>
      </c>
      <c r="C152" s="29">
        <f t="shared" si="2"/>
        <v>0.46079127023137928</v>
      </c>
    </row>
    <row r="153" spans="1:3" ht="15" customHeight="1" x14ac:dyDescent="0.25">
      <c r="A153" s="27">
        <v>15.2</v>
      </c>
      <c r="B153" s="28">
        <f>'Fit Diagnostics'!$B$4+'Fit Diagnostics'!$B$5*((1-EXP(-A153/'Fit Diagnostics'!$B$8))/(A153/'Fit Diagnostics'!$B$8))+'Fit Diagnostics'!$B$6*(((1-EXP(-A153/'Fit Diagnostics'!$B$8))/(A153/'Fit Diagnostics'!$B$8))-EXP(-A153/'Fit Diagnostics'!$B$8))+'Fit Diagnostics'!$B$7*(((1-EXP(-A153/'Fit Diagnostics'!$B$9))/(A153/'Fit Diagnostics'!$B$9))-EXP(-A153/'Fit Diagnostics'!$B$9))</f>
        <v>5.1376249675837642E-2</v>
      </c>
      <c r="C153" s="29">
        <f t="shared" si="2"/>
        <v>0.45798493195408302</v>
      </c>
    </row>
    <row r="154" spans="1:3" ht="15" customHeight="1" x14ac:dyDescent="0.25">
      <c r="A154" s="27">
        <v>15.3</v>
      </c>
      <c r="B154" s="28">
        <f>'Fit Diagnostics'!$B$4+'Fit Diagnostics'!$B$5*((1-EXP(-A154/'Fit Diagnostics'!$B$8))/(A154/'Fit Diagnostics'!$B$8))+'Fit Diagnostics'!$B$6*(((1-EXP(-A154/'Fit Diagnostics'!$B$8))/(A154/'Fit Diagnostics'!$B$8))-EXP(-A154/'Fit Diagnostics'!$B$8))+'Fit Diagnostics'!$B$7*(((1-EXP(-A154/'Fit Diagnostics'!$B$9))/(A154/'Fit Diagnostics'!$B$9))-EXP(-A154/'Fit Diagnostics'!$B$9))</f>
        <v>5.1439997349877184E-2</v>
      </c>
      <c r="C154" s="29">
        <f t="shared" si="2"/>
        <v>0.45519382603540026</v>
      </c>
    </row>
    <row r="155" spans="1:3" ht="15" customHeight="1" x14ac:dyDescent="0.25">
      <c r="A155" s="27">
        <v>15.4</v>
      </c>
      <c r="B155" s="28">
        <f>'Fit Diagnostics'!$B$4+'Fit Diagnostics'!$B$5*((1-EXP(-A155/'Fit Diagnostics'!$B$8))/(A155/'Fit Diagnostics'!$B$8))+'Fit Diagnostics'!$B$6*(((1-EXP(-A155/'Fit Diagnostics'!$B$8))/(A155/'Fit Diagnostics'!$B$8))-EXP(-A155/'Fit Diagnostics'!$B$8))+'Fit Diagnostics'!$B$7*(((1-EXP(-A155/'Fit Diagnostics'!$B$9))/(A155/'Fit Diagnostics'!$B$9))-EXP(-A155/'Fit Diagnostics'!$B$9))</f>
        <v>5.1503159198513275E-2</v>
      </c>
      <c r="C155" s="29">
        <f t="shared" si="2"/>
        <v>0.45241804346659176</v>
      </c>
    </row>
    <row r="156" spans="1:3" ht="15" customHeight="1" x14ac:dyDescent="0.25">
      <c r="A156" s="27">
        <v>15.5</v>
      </c>
      <c r="B156" s="28">
        <f>'Fit Diagnostics'!$B$4+'Fit Diagnostics'!$B$5*((1-EXP(-A156/'Fit Diagnostics'!$B$8))/(A156/'Fit Diagnostics'!$B$8))+'Fit Diagnostics'!$B$6*(((1-EXP(-A156/'Fit Diagnostics'!$B$8))/(A156/'Fit Diagnostics'!$B$8))-EXP(-A156/'Fit Diagnostics'!$B$8))+'Fit Diagnostics'!$B$7*(((1-EXP(-A156/'Fit Diagnostics'!$B$9))/(A156/'Fit Diagnostics'!$B$9))-EXP(-A156/'Fit Diagnostics'!$B$9))</f>
        <v>5.1565723600069835E-2</v>
      </c>
      <c r="C156" s="29">
        <f t="shared" si="2"/>
        <v>0.44965767146339192</v>
      </c>
    </row>
    <row r="157" spans="1:3" ht="15" customHeight="1" x14ac:dyDescent="0.25">
      <c r="A157" s="27">
        <v>15.6</v>
      </c>
      <c r="B157" s="28">
        <f>'Fit Diagnostics'!$B$4+'Fit Diagnostics'!$B$5*((1-EXP(-A157/'Fit Diagnostics'!$B$8))/(A157/'Fit Diagnostics'!$B$8))+'Fit Diagnostics'!$B$6*(((1-EXP(-A157/'Fit Diagnostics'!$B$8))/(A157/'Fit Diagnostics'!$B$8))-EXP(-A157/'Fit Diagnostics'!$B$8))+'Fit Diagnostics'!$B$7*(((1-EXP(-A157/'Fit Diagnostics'!$B$9))/(A157/'Fit Diagnostics'!$B$9))-EXP(-A157/'Fit Diagnostics'!$B$9))</f>
        <v>5.1627679249978228E-2</v>
      </c>
      <c r="C157" s="29">
        <f t="shared" si="2"/>
        <v>0.44691279347459528</v>
      </c>
    </row>
    <row r="158" spans="1:3" ht="15" customHeight="1" x14ac:dyDescent="0.25">
      <c r="A158" s="27">
        <v>15.7</v>
      </c>
      <c r="B158" s="28">
        <f>'Fit Diagnostics'!$B$4+'Fit Diagnostics'!$B$5*((1-EXP(-A158/'Fit Diagnostics'!$B$8))/(A158/'Fit Diagnostics'!$B$8))+'Fit Diagnostics'!$B$6*(((1-EXP(-A158/'Fit Diagnostics'!$B$8))/(A158/'Fit Diagnostics'!$B$8))-EXP(-A158/'Fit Diagnostics'!$B$8))+'Fit Diagnostics'!$B$7*(((1-EXP(-A158/'Fit Diagnostics'!$B$9))/(A158/'Fit Diagnostics'!$B$9))-EXP(-A158/'Fit Diagnostics'!$B$9))</f>
        <v>5.1689015157305632E-2</v>
      </c>
      <c r="C158" s="29">
        <f t="shared" si="2"/>
        <v>0.44418348919390688</v>
      </c>
    </row>
    <row r="159" spans="1:3" ht="15" customHeight="1" x14ac:dyDescent="0.25">
      <c r="A159" s="27">
        <v>15.8</v>
      </c>
      <c r="B159" s="28">
        <f>'Fit Diagnostics'!$B$4+'Fit Diagnostics'!$B$5*((1-EXP(-A159/'Fit Diagnostics'!$B$8))/(A159/'Fit Diagnostics'!$B$8))+'Fit Diagnostics'!$B$6*(((1-EXP(-A159/'Fit Diagnostics'!$B$8))/(A159/'Fit Diagnostics'!$B$8))-EXP(-A159/'Fit Diagnostics'!$B$8))+'Fit Diagnostics'!$B$7*(((1-EXP(-A159/'Fit Diagnostics'!$B$9))/(A159/'Fit Diagnostics'!$B$9))-EXP(-A159/'Fit Diagnostics'!$B$9))</f>
        <v>5.1749720641201494E-2</v>
      </c>
      <c r="C159" s="29">
        <f t="shared" si="2"/>
        <v>0.44146983457492289</v>
      </c>
    </row>
    <row r="160" spans="1:3" ht="15" customHeight="1" x14ac:dyDescent="0.25">
      <c r="A160" s="27">
        <v>15.9</v>
      </c>
      <c r="B160" s="28">
        <f>'Fit Diagnostics'!$B$4+'Fit Diagnostics'!$B$5*((1-EXP(-A160/'Fit Diagnostics'!$B$8))/(A160/'Fit Diagnostics'!$B$8))+'Fit Diagnostics'!$B$6*(((1-EXP(-A160/'Fit Diagnostics'!$B$8))/(A160/'Fit Diagnostics'!$B$8))-EXP(-A160/'Fit Diagnostics'!$B$8))+'Fit Diagnostics'!$B$7*(((1-EXP(-A160/'Fit Diagnostics'!$B$9))/(A160/'Fit Diagnostics'!$B$9))-EXP(-A160/'Fit Diagnostics'!$B$9))</f>
        <v>5.1809785327272359E-2</v>
      </c>
      <c r="C160" s="29">
        <f t="shared" si="2"/>
        <v>0.43877190184907483</v>
      </c>
    </row>
    <row r="161" spans="1:3" ht="15" customHeight="1" x14ac:dyDescent="0.25">
      <c r="A161" s="27">
        <v>16</v>
      </c>
      <c r="B161" s="28">
        <f>'Fit Diagnostics'!$B$4+'Fit Diagnostics'!$B$5*((1-EXP(-A161/'Fit Diagnostics'!$B$8))/(A161/'Fit Diagnostics'!$B$8))+'Fit Diagnostics'!$B$6*(((1-EXP(-A161/'Fit Diagnostics'!$B$8))/(A161/'Fit Diagnostics'!$B$8))-EXP(-A161/'Fit Diagnostics'!$B$8))+'Fit Diagnostics'!$B$7*(((1-EXP(-A161/'Fit Diagnostics'!$B$9))/(A161/'Fit Diagnostics'!$B$9))-EXP(-A161/'Fit Diagnostics'!$B$9))</f>
        <v>5.1869199143890508E-2</v>
      </c>
      <c r="C161" s="29">
        <f t="shared" si="2"/>
        <v>0.43608975954640694</v>
      </c>
    </row>
    <row r="162" spans="1:3" ht="15" customHeight="1" x14ac:dyDescent="0.25">
      <c r="A162" s="27">
        <v>16.100000000000001</v>
      </c>
      <c r="B162" s="28">
        <f>'Fit Diagnostics'!$B$4+'Fit Diagnostics'!$B$5*((1-EXP(-A162/'Fit Diagnostics'!$B$8))/(A162/'Fit Diagnostics'!$B$8))+'Fit Diagnostics'!$B$6*(((1-EXP(-A162/'Fit Diagnostics'!$B$8))/(A162/'Fit Diagnostics'!$B$8))-EXP(-A162/'Fit Diagnostics'!$B$8))+'Fit Diagnostics'!$B$7*(((1-EXP(-A162/'Fit Diagnostics'!$B$9))/(A162/'Fit Diagnostics'!$B$9))-EXP(-A162/'Fit Diagnostics'!$B$9))</f>
        <v>5.192795231844409E-2</v>
      </c>
      <c r="C162" s="29">
        <f t="shared" si="2"/>
        <v>0.43342347251904056</v>
      </c>
    </row>
    <row r="163" spans="1:3" ht="15" customHeight="1" x14ac:dyDescent="0.25">
      <c r="A163" s="27">
        <v>16.2</v>
      </c>
      <c r="B163" s="28">
        <f>'Fit Diagnostics'!$B$4+'Fit Diagnostics'!$B$5*((1-EXP(-A163/'Fit Diagnostics'!$B$8))/(A163/'Fit Diagnostics'!$B$8))+'Fit Diagnostics'!$B$6*(((1-EXP(-A163/'Fit Diagnostics'!$B$8))/(A163/'Fit Diagnostics'!$B$8))-EXP(-A163/'Fit Diagnostics'!$B$8))+'Fit Diagnostics'!$B$7*(((1-EXP(-A163/'Fit Diagnostics'!$B$9))/(A163/'Fit Diagnostics'!$B$9))-EXP(-A163/'Fit Diagnostics'!$B$9))</f>
        <v>5.1986035373535008E-2</v>
      </c>
      <c r="C163" s="29">
        <f t="shared" si="2"/>
        <v>0.43077310196718921</v>
      </c>
    </row>
    <row r="164" spans="1:3" ht="15" customHeight="1" x14ac:dyDescent="0.25">
      <c r="A164" s="27">
        <v>16.3</v>
      </c>
      <c r="B164" s="28">
        <f>'Fit Diagnostics'!$B$4+'Fit Diagnostics'!$B$5*((1-EXP(-A164/'Fit Diagnostics'!$B$8))/(A164/'Fit Diagnostics'!$B$8))+'Fit Diagnostics'!$B$6*(((1-EXP(-A164/'Fit Diagnostics'!$B$8))/(A164/'Fit Diagnostics'!$B$8))-EXP(-A164/'Fit Diagnostics'!$B$8))+'Fit Diagnostics'!$B$7*(((1-EXP(-A164/'Fit Diagnostics'!$B$9))/(A164/'Fit Diagnostics'!$B$9))-EXP(-A164/'Fit Diagnostics'!$B$9))</f>
        <v>5.2043439123131419E-2</v>
      </c>
      <c r="C164" s="29">
        <f t="shared" si="2"/>
        <v>0.42813870546758565</v>
      </c>
    </row>
    <row r="165" spans="1:3" ht="15" customHeight="1" x14ac:dyDescent="0.25">
      <c r="A165" s="27">
        <v>16.399999999999999</v>
      </c>
      <c r="B165" s="28">
        <f>'Fit Diagnostics'!$B$4+'Fit Diagnostics'!$B$5*((1-EXP(-A165/'Fit Diagnostics'!$B$8))/(A165/'Fit Diagnostics'!$B$8))+'Fit Diagnostics'!$B$6*(((1-EXP(-A165/'Fit Diagnostics'!$B$8))/(A165/'Fit Diagnostics'!$B$8))-EXP(-A165/'Fit Diagnostics'!$B$8))+'Fit Diagnostics'!$B$7*(((1-EXP(-A165/'Fit Diagnostics'!$B$9))/(A165/'Fit Diagnostics'!$B$9))-EXP(-A165/'Fit Diagnostics'!$B$9))</f>
        <v>5.2100154668680142E-2</v>
      </c>
      <c r="C165" s="29">
        <f t="shared" si="2"/>
        <v>0.42552033700419523</v>
      </c>
    </row>
    <row r="166" spans="1:3" ht="15" customHeight="1" x14ac:dyDescent="0.25">
      <c r="A166" s="27">
        <v>16.5</v>
      </c>
      <c r="B166" s="28">
        <f>'Fit Diagnostics'!$B$4+'Fit Diagnostics'!$B$5*((1-EXP(-A166/'Fit Diagnostics'!$B$8))/(A166/'Fit Diagnostics'!$B$8))+'Fit Diagnostics'!$B$6*(((1-EXP(-A166/'Fit Diagnostics'!$B$8))/(A166/'Fit Diagnostics'!$B$8))-EXP(-A166/'Fit Diagnostics'!$B$8))+'Fit Diagnostics'!$B$7*(((1-EXP(-A166/'Fit Diagnostics'!$B$9))/(A166/'Fit Diagnostics'!$B$9))-EXP(-A166/'Fit Diagnostics'!$B$9))</f>
        <v>5.2156173395184746E-2</v>
      </c>
      <c r="C166" s="29">
        <f t="shared" si="2"/>
        <v>0.42291804700108382</v>
      </c>
    </row>
    <row r="167" spans="1:3" ht="15" customHeight="1" x14ac:dyDescent="0.25">
      <c r="A167" s="27">
        <v>16.600000000000001</v>
      </c>
      <c r="B167" s="28">
        <f>'Fit Diagnostics'!$B$4+'Fit Diagnostics'!$B$5*((1-EXP(-A167/'Fit Diagnostics'!$B$8))/(A167/'Fit Diagnostics'!$B$8))+'Fit Diagnostics'!$B$6*(((1-EXP(-A167/'Fit Diagnostics'!$B$8))/(A167/'Fit Diagnostics'!$B$8))-EXP(-A167/'Fit Diagnostics'!$B$8))+'Fit Diagnostics'!$B$7*(((1-EXP(-A167/'Fit Diagnostics'!$B$9))/(A167/'Fit Diagnostics'!$B$9))-EXP(-A167/'Fit Diagnostics'!$B$9))</f>
        <v>5.2211486967254819E-2</v>
      </c>
      <c r="C167" s="29">
        <f t="shared" si="2"/>
        <v>0.42033188235731744</v>
      </c>
    </row>
    <row r="168" spans="1:3" ht="15" customHeight="1" x14ac:dyDescent="0.25">
      <c r="A168" s="27">
        <v>16.7</v>
      </c>
      <c r="B168" s="28">
        <f>'Fit Diagnostics'!$B$4+'Fit Diagnostics'!$B$5*((1-EXP(-A168/'Fit Diagnostics'!$B$8))/(A168/'Fit Diagnostics'!$B$8))+'Fit Diagnostics'!$B$6*(((1-EXP(-A168/'Fit Diagnostics'!$B$8))/(A168/'Fit Diagnostics'!$B$8))-EXP(-A168/'Fit Diagnostics'!$B$8))+'Fit Diagnostics'!$B$7*(((1-EXP(-A168/'Fit Diagnostics'!$B$9))/(A168/'Fit Diagnostics'!$B$9))-EXP(-A168/'Fit Diagnostics'!$B$9))</f>
        <v>5.2266087325130994E-2</v>
      </c>
      <c r="C168" s="29">
        <f t="shared" si="2"/>
        <v>0.41776188648377266</v>
      </c>
    </row>
    <row r="169" spans="1:3" ht="15" customHeight="1" x14ac:dyDescent="0.25">
      <c r="A169" s="27">
        <v>16.8</v>
      </c>
      <c r="B169" s="28">
        <f>'Fit Diagnostics'!$B$4+'Fit Diagnostics'!$B$5*((1-EXP(-A169/'Fit Diagnostics'!$B$8))/(A169/'Fit Diagnostics'!$B$8))+'Fit Diagnostics'!$B$6*(((1-EXP(-A169/'Fit Diagnostics'!$B$8))/(A169/'Fit Diagnostics'!$B$8))-EXP(-A169/'Fit Diagnostics'!$B$8))+'Fit Diagnostics'!$B$7*(((1-EXP(-A169/'Fit Diagnostics'!$B$9))/(A169/'Fit Diagnostics'!$B$9))-EXP(-A169/'Fit Diagnostics'!$B$9))</f>
        <v>5.2319966680691339E-2</v>
      </c>
      <c r="C169" s="29">
        <f t="shared" si="2"/>
        <v>0.4152080993417353</v>
      </c>
    </row>
    <row r="170" spans="1:3" ht="15" customHeight="1" x14ac:dyDescent="0.25">
      <c r="A170" s="27">
        <v>16.899999999999999</v>
      </c>
      <c r="B170" s="28">
        <f>'Fit Diagnostics'!$B$4+'Fit Diagnostics'!$B$5*((1-EXP(-A170/'Fit Diagnostics'!$B$8))/(A170/'Fit Diagnostics'!$B$8))+'Fit Diagnostics'!$B$6*(((1-EXP(-A170/'Fit Diagnostics'!$B$8))/(A170/'Fit Diagnostics'!$B$8))-EXP(-A170/'Fit Diagnostics'!$B$8))+'Fit Diagnostics'!$B$7*(((1-EXP(-A170/'Fit Diagnostics'!$B$9))/(A170/'Fit Diagnostics'!$B$9))-EXP(-A170/'Fit Diagnostics'!$B$9))</f>
        <v>5.2373117513442369E-2</v>
      </c>
      <c r="C170" s="29">
        <f t="shared" si="2"/>
        <v>0.41267055748318188</v>
      </c>
    </row>
    <row r="171" spans="1:3" ht="15" customHeight="1" x14ac:dyDescent="0.25">
      <c r="A171" s="27">
        <v>17</v>
      </c>
      <c r="B171" s="28">
        <f>'Fit Diagnostics'!$B$4+'Fit Diagnostics'!$B$5*((1-EXP(-A171/'Fit Diagnostics'!$B$8))/(A171/'Fit Diagnostics'!$B$8))+'Fit Diagnostics'!$B$6*(((1-EXP(-A171/'Fit Diagnostics'!$B$8))/(A171/'Fit Diagnostics'!$B$8))-EXP(-A171/'Fit Diagnostics'!$B$8))+'Fit Diagnostics'!$B$7*(((1-EXP(-A171/'Fit Diagnostics'!$B$9))/(A171/'Fit Diagnostics'!$B$9))-EXP(-A171/'Fit Diagnostics'!$B$9))</f>
        <v>5.2425532566499802E-2</v>
      </c>
      <c r="C171" s="29">
        <f t="shared" si="2"/>
        <v>0.41014929409262429</v>
      </c>
    </row>
    <row r="172" spans="1:3" ht="15" customHeight="1" x14ac:dyDescent="0.25">
      <c r="A172" s="27">
        <v>17.100000000000001</v>
      </c>
      <c r="B172" s="28">
        <f>'Fit Diagnostics'!$B$4+'Fit Diagnostics'!$B$5*((1-EXP(-A172/'Fit Diagnostics'!$B$8))/(A172/'Fit Diagnostics'!$B$8))+'Fit Diagnostics'!$B$6*(((1-EXP(-A172/'Fit Diagnostics'!$B$8))/(A172/'Fit Diagnostics'!$B$8))-EXP(-A172/'Fit Diagnostics'!$B$8))+'Fit Diagnostics'!$B$7*(((1-EXP(-A172/'Fit Diagnostics'!$B$9))/(A172/'Fit Diagnostics'!$B$9))-EXP(-A172/'Fit Diagnostics'!$B$9))</f>
        <v>5.2477204842562887E-2</v>
      </c>
      <c r="C172" s="29">
        <f t="shared" si="2"/>
        <v>0.4076443390304138</v>
      </c>
    </row>
    <row r="173" spans="1:3" ht="15" customHeight="1" x14ac:dyDescent="0.25">
      <c r="A173" s="27">
        <v>17.2</v>
      </c>
      <c r="B173" s="28">
        <f>'Fit Diagnostics'!$B$4+'Fit Diagnostics'!$B$5*((1-EXP(-A173/'Fit Diagnostics'!$B$8))/(A173/'Fit Diagnostics'!$B$8))+'Fit Diagnostics'!$B$6*(((1-EXP(-A173/'Fit Diagnostics'!$B$8))/(A173/'Fit Diagnostics'!$B$8))-EXP(-A173/'Fit Diagnostics'!$B$8))+'Fit Diagnostics'!$B$7*(((1-EXP(-A173/'Fit Diagnostics'!$B$9))/(A173/'Fit Diagnostics'!$B$9))-EXP(-A173/'Fit Diagnostics'!$B$9))</f>
        <v>5.2528127599885836E-2</v>
      </c>
      <c r="C173" s="29">
        <f t="shared" si="2"/>
        <v>0.40515571887739893</v>
      </c>
    </row>
    <row r="174" spans="1:3" ht="15" customHeight="1" x14ac:dyDescent="0.25">
      <c r="A174" s="27">
        <v>17.3</v>
      </c>
      <c r="B174" s="28">
        <f>'Fit Diagnostics'!$B$4+'Fit Diagnostics'!$B$5*((1-EXP(-A174/'Fit Diagnostics'!$B$8))/(A174/'Fit Diagnostics'!$B$8))+'Fit Diagnostics'!$B$6*(((1-EXP(-A174/'Fit Diagnostics'!$B$8))/(A174/'Fit Diagnostics'!$B$8))-EXP(-A174/'Fit Diagnostics'!$B$8))+'Fit Diagnostics'!$B$7*(((1-EXP(-A174/'Fit Diagnostics'!$B$9))/(A174/'Fit Diagnostics'!$B$9))-EXP(-A174/'Fit Diagnostics'!$B$9))</f>
        <v>5.2578294348250343E-2</v>
      </c>
      <c r="C174" s="29">
        <f t="shared" si="2"/>
        <v>0.40268345698083408</v>
      </c>
    </row>
    <row r="175" spans="1:3" ht="15" customHeight="1" x14ac:dyDescent="0.25">
      <c r="A175" s="27">
        <v>17.399999999999999</v>
      </c>
      <c r="B175" s="28">
        <f>'Fit Diagnostics'!$B$4+'Fit Diagnostics'!$B$5*((1-EXP(-A175/'Fit Diagnostics'!$B$8))/(A175/'Fit Diagnostics'!$B$8))+'Fit Diagnostics'!$B$6*(((1-EXP(-A175/'Fit Diagnostics'!$B$8))/(A175/'Fit Diagnostics'!$B$8))-EXP(-A175/'Fit Diagnostics'!$B$8))+'Fit Diagnostics'!$B$7*(((1-EXP(-A175/'Fit Diagnostics'!$B$9))/(A175/'Fit Diagnostics'!$B$9))-EXP(-A175/'Fit Diagnostics'!$B$9))</f>
        <v>5.2627698844941312E-2</v>
      </c>
      <c r="C175" s="29">
        <f t="shared" si="2"/>
        <v>0.40022757350145011</v>
      </c>
    </row>
    <row r="176" spans="1:3" ht="15" customHeight="1" x14ac:dyDescent="0.25">
      <c r="A176" s="27">
        <v>17.5</v>
      </c>
      <c r="B176" s="28">
        <f>'Fit Diagnostics'!$B$4+'Fit Diagnostics'!$B$5*((1-EXP(-A176/'Fit Diagnostics'!$B$8))/(A176/'Fit Diagnostics'!$B$8))+'Fit Diagnostics'!$B$6*(((1-EXP(-A176/'Fit Diagnostics'!$B$8))/(A176/'Fit Diagnostics'!$B$8))-EXP(-A176/'Fit Diagnostics'!$B$8))+'Fit Diagnostics'!$B$7*(((1-EXP(-A176/'Fit Diagnostics'!$B$9))/(A176/'Fit Diagnostics'!$B$9))-EXP(-A176/'Fit Diagnostics'!$B$9))</f>
        <v>5.2676335090731267E-2</v>
      </c>
      <c r="C176" s="29">
        <f t="shared" si="2"/>
        <v>0.39778808546157357</v>
      </c>
    </row>
    <row r="177" spans="1:3" ht="15" customHeight="1" x14ac:dyDescent="0.25">
      <c r="A177" s="27">
        <v>17.600000000000001</v>
      </c>
      <c r="B177" s="28">
        <f>'Fit Diagnostics'!$B$4+'Fit Diagnostics'!$B$5*((1-EXP(-A177/'Fit Diagnostics'!$B$8))/(A177/'Fit Diagnostics'!$B$8))+'Fit Diagnostics'!$B$6*(((1-EXP(-A177/'Fit Diagnostics'!$B$8))/(A177/'Fit Diagnostics'!$B$8))-EXP(-A177/'Fit Diagnostics'!$B$8))+'Fit Diagnostics'!$B$7*(((1-EXP(-A177/'Fit Diagnostics'!$B$9))/(A177/'Fit Diagnostics'!$B$9))-EXP(-A177/'Fit Diagnostics'!$B$9))</f>
        <v>5.2724197325873155E-2</v>
      </c>
      <c r="C177" s="29">
        <f t="shared" si="2"/>
        <v>0.39536500679422826</v>
      </c>
    </row>
    <row r="178" spans="1:3" ht="15" customHeight="1" x14ac:dyDescent="0.25">
      <c r="A178" s="27">
        <v>17.7</v>
      </c>
      <c r="B178" s="28">
        <f>'Fit Diagnostics'!$B$4+'Fit Diagnostics'!$B$5*((1-EXP(-A178/'Fit Diagnostics'!$B$8))/(A178/'Fit Diagnostics'!$B$8))+'Fit Diagnostics'!$B$6*(((1-EXP(-A178/'Fit Diagnostics'!$B$8))/(A178/'Fit Diagnostics'!$B$8))-EXP(-A178/'Fit Diagnostics'!$B$8))+'Fit Diagnostics'!$B$7*(((1-EXP(-A178/'Fit Diagnostics'!$B$9))/(A178/'Fit Diagnostics'!$B$9))-EXP(-A178/'Fit Diagnostics'!$B$9))</f>
        <v>5.2771280026108133E-2</v>
      </c>
      <c r="C178" s="29">
        <f t="shared" si="2"/>
        <v>0.39295834839310173</v>
      </c>
    </row>
    <row r="179" spans="1:3" ht="15" customHeight="1" x14ac:dyDescent="0.25">
      <c r="A179" s="27">
        <v>17.8</v>
      </c>
      <c r="B179" s="28">
        <f>'Fit Diagnostics'!$B$4+'Fit Diagnostics'!$B$5*((1-EXP(-A179/'Fit Diagnostics'!$B$8))/(A179/'Fit Diagnostics'!$B$8))+'Fit Diagnostics'!$B$6*(((1-EXP(-A179/'Fit Diagnostics'!$B$8))/(A179/'Fit Diagnostics'!$B$8))-EXP(-A179/'Fit Diagnostics'!$B$8))+'Fit Diagnostics'!$B$7*(((1-EXP(-A179/'Fit Diagnostics'!$B$9))/(A179/'Fit Diagnostics'!$B$9))-EXP(-A179/'Fit Diagnostics'!$B$9))</f>
        <v>5.2817577898686789E-2</v>
      </c>
      <c r="C179" s="29">
        <f t="shared" si="2"/>
        <v>0.39056811816332188</v>
      </c>
    </row>
    <row r="180" spans="1:3" ht="15" customHeight="1" x14ac:dyDescent="0.25">
      <c r="A180" s="27">
        <v>17.899999999999999</v>
      </c>
      <c r="B180" s="28">
        <f>'Fit Diagnostics'!$B$4+'Fit Diagnostics'!$B$5*((1-EXP(-A180/'Fit Diagnostics'!$B$8))/(A180/'Fit Diagnostics'!$B$8))+'Fit Diagnostics'!$B$6*(((1-EXP(-A180/'Fit Diagnostics'!$B$8))/(A180/'Fit Diagnostics'!$B$8))-EXP(-A180/'Fit Diagnostics'!$B$8))+'Fit Diagnostics'!$B$7*(((1-EXP(-A180/'Fit Diagnostics'!$B$9))/(A180/'Fit Diagnostics'!$B$9))-EXP(-A180/'Fit Diagnostics'!$B$9))</f>
        <v>5.2863085878410147E-2</v>
      </c>
      <c r="C180" s="29">
        <f t="shared" si="2"/>
        <v>0.38819432107293328</v>
      </c>
    </row>
    <row r="181" spans="1:3" ht="15" customHeight="1" x14ac:dyDescent="0.25">
      <c r="A181" s="27">
        <v>18</v>
      </c>
      <c r="B181" s="28">
        <f>'Fit Diagnostics'!$B$4+'Fit Diagnostics'!$B$5*((1-EXP(-A181/'Fit Diagnostics'!$B$8))/(A181/'Fit Diagnostics'!$B$8))+'Fit Diagnostics'!$B$6*(((1-EXP(-A181/'Fit Diagnostics'!$B$8))/(A181/'Fit Diagnostics'!$B$8))-EXP(-A181/'Fit Diagnostics'!$B$8))+'Fit Diagnostics'!$B$7*(((1-EXP(-A181/'Fit Diagnostics'!$B$9))/(A181/'Fit Diagnostics'!$B$9))-EXP(-A181/'Fit Diagnostics'!$B$9))</f>
        <v>5.2907799123689335E-2</v>
      </c>
      <c r="C181" s="29">
        <f t="shared" si="2"/>
        <v>0.38583695920501793</v>
      </c>
    </row>
    <row r="182" spans="1:3" ht="15" customHeight="1" x14ac:dyDescent="0.25">
      <c r="A182" s="27">
        <v>18.100000000000001</v>
      </c>
      <c r="B182" s="28">
        <f>'Fit Diagnostics'!$B$4+'Fit Diagnostics'!$B$5*((1-EXP(-A182/'Fit Diagnostics'!$B$8))/(A182/'Fit Diagnostics'!$B$8))+'Fit Diagnostics'!$B$6*(((1-EXP(-A182/'Fit Diagnostics'!$B$8))/(A182/'Fit Diagnostics'!$B$8))-EXP(-A182/'Fit Diagnostics'!$B$8))+'Fit Diagnostics'!$B$7*(((1-EXP(-A182/'Fit Diagnostics'!$B$9))/(A182/'Fit Diagnostics'!$B$9))-EXP(-A182/'Fit Diagnostics'!$B$9))</f>
        <v>5.2951713012629034E-2</v>
      </c>
      <c r="C182" s="29">
        <f t="shared" si="2"/>
        <v>0.38349603181036346</v>
      </c>
    </row>
    <row r="183" spans="1:3" ht="15" customHeight="1" x14ac:dyDescent="0.25">
      <c r="A183" s="27">
        <v>18.2</v>
      </c>
      <c r="B183" s="28">
        <f>'Fit Diagnostics'!$B$4+'Fit Diagnostics'!$B$5*((1-EXP(-A183/'Fit Diagnostics'!$B$8))/(A183/'Fit Diagnostics'!$B$8))+'Fit Diagnostics'!$B$6*(((1-EXP(-A183/'Fit Diagnostics'!$B$8))/(A183/'Fit Diagnostics'!$B$8))-EXP(-A183/'Fit Diagnostics'!$B$8))+'Fit Diagnostics'!$B$7*(((1-EXP(-A183/'Fit Diagnostics'!$B$9))/(A183/'Fit Diagnostics'!$B$9))-EXP(-A183/'Fit Diagnostics'!$B$9))</f>
        <v>5.2994823139133881E-2</v>
      </c>
      <c r="C183" s="29">
        <f t="shared" si="2"/>
        <v>0.38117153536062459</v>
      </c>
    </row>
    <row r="184" spans="1:3" ht="15" customHeight="1" x14ac:dyDescent="0.25">
      <c r="A184" s="27">
        <v>18.3</v>
      </c>
      <c r="B184" s="28">
        <f>'Fit Diagnostics'!$B$4+'Fit Diagnostics'!$B$5*((1-EXP(-A184/'Fit Diagnostics'!$B$8))/(A184/'Fit Diagnostics'!$B$8))+'Fit Diagnostics'!$B$6*(((1-EXP(-A184/'Fit Diagnostics'!$B$8))/(A184/'Fit Diagnostics'!$B$8))-EXP(-A184/'Fit Diagnostics'!$B$8))+'Fit Diagnostics'!$B$7*(((1-EXP(-A184/'Fit Diagnostics'!$B$9))/(A184/'Fit Diagnostics'!$B$9))-EXP(-A184/'Fit Diagnostics'!$B$9))</f>
        <v>5.303712530904213E-2</v>
      </c>
      <c r="C184" s="29">
        <f t="shared" si="2"/>
        <v>0.37886346360189072</v>
      </c>
    </row>
    <row r="185" spans="1:3" ht="15" customHeight="1" x14ac:dyDescent="0.25">
      <c r="A185" s="27">
        <v>18.399999999999999</v>
      </c>
      <c r="B185" s="28">
        <f>'Fit Diagnostics'!$B$4+'Fit Diagnostics'!$B$5*((1-EXP(-A185/'Fit Diagnostics'!$B$8))/(A185/'Fit Diagnostics'!$B$8))+'Fit Diagnostics'!$B$6*(((1-EXP(-A185/'Fit Diagnostics'!$B$8))/(A185/'Fit Diagnostics'!$B$8))-EXP(-A185/'Fit Diagnostics'!$B$8))+'Fit Diagnostics'!$B$7*(((1-EXP(-A185/'Fit Diagnostics'!$B$9))/(A185/'Fit Diagnostics'!$B$9))-EXP(-A185/'Fit Diagnostics'!$B$9))</f>
        <v>5.3078615536286511E-2</v>
      </c>
      <c r="C185" s="29">
        <f t="shared" si="2"/>
        <v>0.37657180760860443</v>
      </c>
    </row>
    <row r="186" spans="1:3" ht="15" customHeight="1" x14ac:dyDescent="0.25">
      <c r="A186" s="27">
        <v>18.5</v>
      </c>
      <c r="B186" s="28">
        <f>'Fit Diagnostics'!$B$4+'Fit Diagnostics'!$B$5*((1-EXP(-A186/'Fit Diagnostics'!$B$8))/(A186/'Fit Diagnostics'!$B$8))+'Fit Diagnostics'!$B$6*(((1-EXP(-A186/'Fit Diagnostics'!$B$8))/(A186/'Fit Diagnostics'!$B$8))-EXP(-A186/'Fit Diagnostics'!$B$8))+'Fit Diagnostics'!$B$7*(((1-EXP(-A186/'Fit Diagnostics'!$B$9))/(A186/'Fit Diagnostics'!$B$9))-EXP(-A186/'Fit Diagnostics'!$B$9))</f>
        <v>5.3119290039084707E-2</v>
      </c>
      <c r="C186" s="29">
        <f t="shared" si="2"/>
        <v>0.37429655583775945</v>
      </c>
    </row>
    <row r="187" spans="1:3" ht="15" customHeight="1" x14ac:dyDescent="0.25">
      <c r="A187" s="27">
        <v>18.600000000000001</v>
      </c>
      <c r="B187" s="28">
        <f>'Fit Diagnostics'!$B$4+'Fit Diagnostics'!$B$5*((1-EXP(-A187/'Fit Diagnostics'!$B$8))/(A187/'Fit Diagnostics'!$B$8))+'Fit Diagnostics'!$B$6*(((1-EXP(-A187/'Fit Diagnostics'!$B$8))/(A187/'Fit Diagnostics'!$B$8))-EXP(-A187/'Fit Diagnostics'!$B$8))+'Fit Diagnostics'!$B$7*(((1-EXP(-A187/'Fit Diagnostics'!$B$9))/(A187/'Fit Diagnostics'!$B$9))-EXP(-A187/'Fit Diagnostics'!$B$9))</f>
        <v>5.3159145236160853E-2</v>
      </c>
      <c r="C187" s="29">
        <f t="shared" si="2"/>
        <v>0.37203769418331784</v>
      </c>
    </row>
    <row r="188" spans="1:3" ht="15" customHeight="1" x14ac:dyDescent="0.25">
      <c r="A188" s="27">
        <v>18.7</v>
      </c>
      <c r="B188" s="28">
        <f>'Fit Diagnostics'!$B$4+'Fit Diagnostics'!$B$5*((1-EXP(-A188/'Fit Diagnostics'!$B$8))/(A188/'Fit Diagnostics'!$B$8))+'Fit Diagnostics'!$B$6*(((1-EXP(-A188/'Fit Diagnostics'!$B$8))/(A188/'Fit Diagnostics'!$B$8))-EXP(-A188/'Fit Diagnostics'!$B$8))+'Fit Diagnostics'!$B$7*(((1-EXP(-A188/'Fit Diagnostics'!$B$9))/(A188/'Fit Diagnostics'!$B$9))-EXP(-A188/'Fit Diagnostics'!$B$9))</f>
        <v>5.3198177742999134E-2</v>
      </c>
      <c r="C188" s="29">
        <f t="shared" si="2"/>
        <v>0.36979520603078769</v>
      </c>
    </row>
    <row r="189" spans="1:3" ht="15" customHeight="1" x14ac:dyDescent="0.25">
      <c r="A189" s="27">
        <v>18.8</v>
      </c>
      <c r="B189" s="28">
        <f>'Fit Diagnostics'!$B$4+'Fit Diagnostics'!$B$5*((1-EXP(-A189/'Fit Diagnostics'!$B$8))/(A189/'Fit Diagnostics'!$B$8))+'Fit Diagnostics'!$B$6*(((1-EXP(-A189/'Fit Diagnostics'!$B$8))/(A189/'Fit Diagnostics'!$B$8))-EXP(-A189/'Fit Diagnostics'!$B$8))+'Fit Diagnostics'!$B$7*(((1-EXP(-A189/'Fit Diagnostics'!$B$9))/(A189/'Fit Diagnostics'!$B$9))-EXP(-A189/'Fit Diagnostics'!$B$9))</f>
        <v>5.3236384368130815E-2</v>
      </c>
      <c r="C189" s="29">
        <f t="shared" si="2"/>
        <v>0.36756907231190383</v>
      </c>
    </row>
    <row r="190" spans="1:3" ht="15" customHeight="1" x14ac:dyDescent="0.25">
      <c r="A190" s="27">
        <v>18.899999999999999</v>
      </c>
      <c r="B190" s="28">
        <f>'Fit Diagnostics'!$B$4+'Fit Diagnostics'!$B$5*((1-EXP(-A190/'Fit Diagnostics'!$B$8))/(A190/'Fit Diagnostics'!$B$8))+'Fit Diagnostics'!$B$6*(((1-EXP(-A190/'Fit Diagnostics'!$B$8))/(A190/'Fit Diagnostics'!$B$8))-EXP(-A190/'Fit Diagnostics'!$B$8))+'Fit Diagnostics'!$B$7*(((1-EXP(-A190/'Fit Diagnostics'!$B$9))/(A190/'Fit Diagnostics'!$B$9))-EXP(-A190/'Fit Diagnostics'!$B$9))</f>
        <v>5.3273762109456474E-2</v>
      </c>
      <c r="C190" s="29">
        <f t="shared" si="2"/>
        <v>0.36535927155935455</v>
      </c>
    </row>
    <row r="191" spans="1:3" ht="15" customHeight="1" x14ac:dyDescent="0.25">
      <c r="A191" s="27">
        <v>19</v>
      </c>
      <c r="B191" s="28">
        <f>'Fit Diagnostics'!$B$4+'Fit Diagnostics'!$B$5*((1-EXP(-A191/'Fit Diagnostics'!$B$8))/(A191/'Fit Diagnostics'!$B$8))+'Fit Diagnostics'!$B$6*(((1-EXP(-A191/'Fit Diagnostics'!$B$8))/(A191/'Fit Diagnostics'!$B$8))-EXP(-A191/'Fit Diagnostics'!$B$8))+'Fit Diagnostics'!$B$7*(((1-EXP(-A191/'Fit Diagnostics'!$B$9))/(A191/'Fit Diagnostics'!$B$9))-EXP(-A191/'Fit Diagnostics'!$B$9))</f>
        <v>5.3310308150603426E-2</v>
      </c>
      <c r="C191" s="29">
        <f t="shared" si="2"/>
        <v>0.3631657799615074</v>
      </c>
    </row>
    <row r="192" spans="1:3" ht="15" customHeight="1" x14ac:dyDescent="0.25">
      <c r="A192" s="27">
        <v>19.100000000000001</v>
      </c>
      <c r="B192" s="28">
        <f>'Fit Diagnostics'!$B$4+'Fit Diagnostics'!$B$5*((1-EXP(-A192/'Fit Diagnostics'!$B$8))/(A192/'Fit Diagnostics'!$B$8))+'Fit Diagnostics'!$B$6*(((1-EXP(-A192/'Fit Diagnostics'!$B$8))/(A192/'Fit Diagnostics'!$B$8))-EXP(-A192/'Fit Diagnostics'!$B$8))+'Fit Diagnostics'!$B$7*(((1-EXP(-A192/'Fit Diagnostics'!$B$9))/(A192/'Fit Diagnostics'!$B$9))-EXP(-A192/'Fit Diagnostics'!$B$9))</f>
        <v>5.3346019857319647E-2</v>
      </c>
      <c r="C192" s="29">
        <f t="shared" si="2"/>
        <v>0.36098857141708429</v>
      </c>
    </row>
    <row r="193" spans="1:3" ht="15" customHeight="1" x14ac:dyDescent="0.25">
      <c r="A193" s="27">
        <v>19.2</v>
      </c>
      <c r="B193" s="28">
        <f>'Fit Diagnostics'!$B$4+'Fit Diagnostics'!$B$5*((1-EXP(-A193/'Fit Diagnostics'!$B$8))/(A193/'Fit Diagnostics'!$B$8))+'Fit Diagnostics'!$B$6*(((1-EXP(-A193/'Fit Diagnostics'!$B$8))/(A193/'Fit Diagnostics'!$B$8))-EXP(-A193/'Fit Diagnostics'!$B$8))+'Fit Diagnostics'!$B$7*(((1-EXP(-A193/'Fit Diagnostics'!$B$9))/(A193/'Fit Diagnostics'!$B$9))-EXP(-A193/'Fit Diagnostics'!$B$9))</f>
        <v>5.3380894773906312E-2</v>
      </c>
      <c r="C193" s="29">
        <f t="shared" si="2"/>
        <v>0.35882761758972936</v>
      </c>
    </row>
    <row r="194" spans="1:3" ht="15" customHeight="1" x14ac:dyDescent="0.25">
      <c r="A194" s="27">
        <v>19.3</v>
      </c>
      <c r="B194" s="28">
        <f>'Fit Diagnostics'!$B$4+'Fit Diagnostics'!$B$5*((1-EXP(-A194/'Fit Diagnostics'!$B$8))/(A194/'Fit Diagnostics'!$B$8))+'Fit Diagnostics'!$B$6*(((1-EXP(-A194/'Fit Diagnostics'!$B$8))/(A194/'Fit Diagnostics'!$B$8))-EXP(-A194/'Fit Diagnostics'!$B$8))+'Fit Diagnostics'!$B$7*(((1-EXP(-A194/'Fit Diagnostics'!$B$9))/(A194/'Fit Diagnostics'!$B$9))-EXP(-A194/'Fit Diagnostics'!$B$9))</f>
        <v>5.3414930619687113E-2</v>
      </c>
      <c r="C194" s="29">
        <f t="shared" ref="C194:C257" si="3">EXP(-B194*A194)</f>
        <v>0.35668288796244224</v>
      </c>
    </row>
    <row r="195" spans="1:3" ht="15" customHeight="1" x14ac:dyDescent="0.25">
      <c r="A195" s="27">
        <v>19.399999999999999</v>
      </c>
      <c r="B195" s="28">
        <f>'Fit Diagnostics'!$B$4+'Fit Diagnostics'!$B$5*((1-EXP(-A195/'Fit Diagnostics'!$B$8))/(A195/'Fit Diagnostics'!$B$8))+'Fit Diagnostics'!$B$6*(((1-EXP(-A195/'Fit Diagnostics'!$B$8))/(A195/'Fit Diagnostics'!$B$8))-EXP(-A195/'Fit Diagnostics'!$B$8))+'Fit Diagnostics'!$B$7*(((1-EXP(-A195/'Fit Diagnostics'!$B$9))/(A195/'Fit Diagnostics'!$B$9))-EXP(-A195/'Fit Diagnostics'!$B$9))</f>
        <v>5.3448125285518316E-2</v>
      </c>
      <c r="C195" s="29">
        <f t="shared" si="3"/>
        <v>0.35455434989181384</v>
      </c>
    </row>
    <row r="196" spans="1:3" ht="15" customHeight="1" x14ac:dyDescent="0.25">
      <c r="A196" s="27">
        <v>19.5</v>
      </c>
      <c r="B196" s="28">
        <f>'Fit Diagnostics'!$B$4+'Fit Diagnostics'!$B$5*((1-EXP(-A196/'Fit Diagnostics'!$B$8))/(A196/'Fit Diagnostics'!$B$8))+'Fit Diagnostics'!$B$6*(((1-EXP(-A196/'Fit Diagnostics'!$B$8))/(A196/'Fit Diagnostics'!$B$8))-EXP(-A196/'Fit Diagnostics'!$B$8))+'Fit Diagnostics'!$B$7*(((1-EXP(-A196/'Fit Diagnostics'!$B$9))/(A196/'Fit Diagnostics'!$B$9))-EXP(-A196/'Fit Diagnostics'!$B$9))</f>
        <v>5.3480476830337055E-2</v>
      </c>
      <c r="C196" s="29">
        <f t="shared" si="3"/>
        <v>0.35244196866204325</v>
      </c>
    </row>
    <row r="197" spans="1:3" ht="15" customHeight="1" x14ac:dyDescent="0.25">
      <c r="A197" s="27">
        <v>19.600000000000001</v>
      </c>
      <c r="B197" s="28">
        <f>'Fit Diagnostics'!$B$4+'Fit Diagnostics'!$B$5*((1-EXP(-A197/'Fit Diagnostics'!$B$8))/(A197/'Fit Diagnostics'!$B$8))+'Fit Diagnostics'!$B$6*(((1-EXP(-A197/'Fit Diagnostics'!$B$8))/(A197/'Fit Diagnostics'!$B$8))-EXP(-A197/'Fit Diagnostics'!$B$8))+'Fit Diagnostics'!$B$7*(((1-EXP(-A197/'Fit Diagnostics'!$B$9))/(A197/'Fit Diagnostics'!$B$9))-EXP(-A197/'Fit Diagnostics'!$B$9))</f>
        <v>5.3511983477750984E-2</v>
      </c>
      <c r="C197" s="29">
        <f t="shared" si="3"/>
        <v>0.35034570753868238</v>
      </c>
    </row>
    <row r="198" spans="1:3" ht="15" customHeight="1" x14ac:dyDescent="0.25">
      <c r="A198" s="27">
        <v>19.7</v>
      </c>
      <c r="B198" s="28">
        <f>'Fit Diagnostics'!$B$4+'Fit Diagnostics'!$B$5*((1-EXP(-A198/'Fit Diagnostics'!$B$8))/(A198/'Fit Diagnostics'!$B$8))+'Fit Diagnostics'!$B$6*(((1-EXP(-A198/'Fit Diagnostics'!$B$8))/(A198/'Fit Diagnostics'!$B$8))-EXP(-A198/'Fit Diagnostics'!$B$8))+'Fit Diagnostics'!$B$7*(((1-EXP(-A198/'Fit Diagnostics'!$B$9))/(A198/'Fit Diagnostics'!$B$9))-EXP(-A198/'Fit Diagnostics'!$B$9))</f>
        <v>5.354264361266823E-2</v>
      </c>
      <c r="C198" s="29">
        <f t="shared" si="3"/>
        <v>0.3482655278220812</v>
      </c>
    </row>
    <row r="199" spans="1:3" ht="15" customHeight="1" x14ac:dyDescent="0.25">
      <c r="A199" s="27">
        <v>19.8</v>
      </c>
      <c r="B199" s="28">
        <f>'Fit Diagnostics'!$B$4+'Fit Diagnostics'!$B$5*((1-EXP(-A199/'Fit Diagnostics'!$B$8))/(A199/'Fit Diagnostics'!$B$8))+'Fit Diagnostics'!$B$6*(((1-EXP(-A199/'Fit Diagnostics'!$B$8))/(A199/'Fit Diagnostics'!$B$8))-EXP(-A199/'Fit Diagnostics'!$B$8))+'Fit Diagnostics'!$B$7*(((1-EXP(-A199/'Fit Diagnostics'!$B$9))/(A199/'Fit Diagnostics'!$B$9))-EXP(-A199/'Fit Diagnostics'!$B$9))</f>
        <v>5.3572455777968417E-2</v>
      </c>
      <c r="C199" s="29">
        <f t="shared" si="3"/>
        <v>0.34620138890049695</v>
      </c>
    </row>
    <row r="200" spans="1:3" ht="15" customHeight="1" x14ac:dyDescent="0.25">
      <c r="A200" s="27">
        <v>19.899999999999999</v>
      </c>
      <c r="B200" s="28">
        <f>'Fit Diagnostics'!$B$4+'Fit Diagnostics'!$B$5*((1-EXP(-A200/'Fit Diagnostics'!$B$8))/(A200/'Fit Diagnostics'!$B$8))+'Fit Diagnostics'!$B$6*(((1-EXP(-A200/'Fit Diagnostics'!$B$8))/(A200/'Fit Diagnostics'!$B$8))-EXP(-A200/'Fit Diagnostics'!$B$8))+'Fit Diagnostics'!$B$7*(((1-EXP(-A200/'Fit Diagnostics'!$B$9))/(A200/'Fit Diagnostics'!$B$9))-EXP(-A200/'Fit Diagnostics'!$B$9))</f>
        <v>5.3601418671215734E-2</v>
      </c>
      <c r="C200" s="29">
        <f t="shared" si="3"/>
        <v>0.34415324830283317</v>
      </c>
    </row>
    <row r="201" spans="1:3" ht="15" customHeight="1" x14ac:dyDescent="0.25">
      <c r="A201" s="27">
        <v>20</v>
      </c>
      <c r="B201" s="28">
        <f>'Fit Diagnostics'!$B$4+'Fit Diagnostics'!$B$5*((1-EXP(-A201/'Fit Diagnostics'!$B$8))/(A201/'Fit Diagnostics'!$B$8))+'Fit Diagnostics'!$B$6*(((1-EXP(-A201/'Fit Diagnostics'!$B$8))/(A201/'Fit Diagnostics'!$B$8))-EXP(-A201/'Fit Diagnostics'!$B$8))+'Fit Diagnostics'!$B$7*(((1-EXP(-A201/'Fit Diagnostics'!$B$9))/(A201/'Fit Diagnostics'!$B$9))-EXP(-A201/'Fit Diagnostics'!$B$9))</f>
        <v>5.3629531141413861E-2</v>
      </c>
      <c r="C201" s="29">
        <f t="shared" si="3"/>
        <v>0.34212106175097784</v>
      </c>
    </row>
    <row r="202" spans="1:3" ht="15" customHeight="1" x14ac:dyDescent="0.25">
      <c r="A202" s="27">
        <v>20.100000000000001</v>
      </c>
      <c r="B202" s="28">
        <f>'Fit Diagnostics'!$B$4+'Fit Diagnostics'!$B$5*((1-EXP(-A202/'Fit Diagnostics'!$B$8))/(A202/'Fit Diagnostics'!$B$8))+'Fit Diagnostics'!$B$6*(((1-EXP(-A202/'Fit Diagnostics'!$B$8))/(A202/'Fit Diagnostics'!$B$8))-EXP(-A202/'Fit Diagnostics'!$B$8))+'Fit Diagnostics'!$B$7*(((1-EXP(-A202/'Fit Diagnostics'!$B$9))/(A202/'Fit Diagnostics'!$B$9))-EXP(-A202/'Fit Diagnostics'!$B$9))</f>
        <v>5.3656792185802486E-2</v>
      </c>
      <c r="C202" s="29">
        <f t="shared" si="3"/>
        <v>0.34010478321172044</v>
      </c>
    </row>
    <row r="203" spans="1:3" ht="15" customHeight="1" x14ac:dyDescent="0.25">
      <c r="A203" s="27">
        <v>20.2</v>
      </c>
      <c r="B203" s="28">
        <f>'Fit Diagnostics'!$B$4+'Fit Diagnostics'!$B$5*((1-EXP(-A203/'Fit Diagnostics'!$B$8))/(A203/'Fit Diagnostics'!$B$8))+'Fit Diagnostics'!$B$6*(((1-EXP(-A203/'Fit Diagnostics'!$B$8))/(A203/'Fit Diagnostics'!$B$8))-EXP(-A203/'Fit Diagnostics'!$B$8))+'Fit Diagnostics'!$B$7*(((1-EXP(-A203/'Fit Diagnostics'!$B$9))/(A203/'Fit Diagnostics'!$B$9))-EXP(-A203/'Fit Diagnostics'!$B$9))</f>
        <v>5.3683200946697159E-2</v>
      </c>
      <c r="C203" s="29">
        <f t="shared" si="3"/>
        <v>0.33810436494820528</v>
      </c>
    </row>
    <row r="204" spans="1:3" ht="15" customHeight="1" x14ac:dyDescent="0.25">
      <c r="A204" s="27">
        <v>20.3</v>
      </c>
      <c r="B204" s="28">
        <f>'Fit Diagnostics'!$B$4+'Fit Diagnostics'!$B$5*((1-EXP(-A204/'Fit Diagnostics'!$B$8))/(A204/'Fit Diagnostics'!$B$8))+'Fit Diagnostics'!$B$6*(((1-EXP(-A204/'Fit Diagnostics'!$B$8))/(A204/'Fit Diagnostics'!$B$8))-EXP(-A204/'Fit Diagnostics'!$B$8))+'Fit Diagnostics'!$B$7*(((1-EXP(-A204/'Fit Diagnostics'!$B$9))/(A204/'Fit Diagnostics'!$B$9))-EXP(-A204/'Fit Diagnostics'!$B$9))</f>
        <v>5.3708756708371233E-2</v>
      </c>
      <c r="C204" s="29">
        <f t="shared" si="3"/>
        <v>0.33611975757091017</v>
      </c>
    </row>
    <row r="205" spans="1:3" ht="15" customHeight="1" x14ac:dyDescent="0.25">
      <c r="A205" s="27">
        <v>20.399999999999999</v>
      </c>
      <c r="B205" s="28">
        <f>'Fit Diagnostics'!$B$4+'Fit Diagnostics'!$B$5*((1-EXP(-A205/'Fit Diagnostics'!$B$8))/(A205/'Fit Diagnostics'!$B$8))+'Fit Diagnostics'!$B$6*(((1-EXP(-A205/'Fit Diagnostics'!$B$8))/(A205/'Fit Diagnostics'!$B$8))-EXP(-A205/'Fit Diagnostics'!$B$8))+'Fit Diagnostics'!$B$7*(((1-EXP(-A205/'Fit Diagnostics'!$B$9))/(A205/'Fit Diagnostics'!$B$9))-EXP(-A205/'Fit Diagnostics'!$B$9))</f>
        <v>5.3733458893980415E-2</v>
      </c>
      <c r="C205" s="29">
        <f t="shared" si="3"/>
        <v>0.33415091008812192</v>
      </c>
    </row>
    <row r="206" spans="1:3" ht="15" customHeight="1" x14ac:dyDescent="0.25">
      <c r="A206" s="27">
        <v>20.5</v>
      </c>
      <c r="B206" s="28">
        <f>'Fit Diagnostics'!$B$4+'Fit Diagnostics'!$B$5*((1-EXP(-A206/'Fit Diagnostics'!$B$8))/(A206/'Fit Diagnostics'!$B$8))+'Fit Diagnostics'!$B$6*(((1-EXP(-A206/'Fit Diagnostics'!$B$8))/(A206/'Fit Diagnostics'!$B$8))-EXP(-A206/'Fit Diagnostics'!$B$8))+'Fit Diagnostics'!$B$7*(((1-EXP(-A206/'Fit Diagnostics'!$B$9))/(A206/'Fit Diagnostics'!$B$9))-EXP(-A206/'Fit Diagnostics'!$B$9))</f>
        <v>5.375730706253061E-2</v>
      </c>
      <c r="C206" s="29">
        <f t="shared" si="3"/>
        <v>0.3321977699558829</v>
      </c>
    </row>
    <row r="207" spans="1:3" ht="15" customHeight="1" x14ac:dyDescent="0.25">
      <c r="A207" s="27">
        <v>20.6</v>
      </c>
      <c r="B207" s="28">
        <f>'Fit Diagnostics'!$B$4+'Fit Diagnostics'!$B$5*((1-EXP(-A207/'Fit Diagnostics'!$B$8))/(A207/'Fit Diagnostics'!$B$8))+'Fit Diagnostics'!$B$6*(((1-EXP(-A207/'Fit Diagnostics'!$B$8))/(A207/'Fit Diagnostics'!$B$8))-EXP(-A207/'Fit Diagnostics'!$B$8))+'Fit Diagnostics'!$B$7*(((1-EXP(-A207/'Fit Diagnostics'!$B$9))/(A207/'Fit Diagnostics'!$B$9))-EXP(-A207/'Fit Diagnostics'!$B$9))</f>
        <v>5.3780300905888E-2</v>
      </c>
      <c r="C207" s="29">
        <f t="shared" si="3"/>
        <v>0.33026028312739636</v>
      </c>
    </row>
    <row r="208" spans="1:3" ht="15" customHeight="1" x14ac:dyDescent="0.25">
      <c r="A208" s="27">
        <v>20.7</v>
      </c>
      <c r="B208" s="28">
        <f>'Fit Diagnostics'!$B$4+'Fit Diagnostics'!$B$5*((1-EXP(-A208/'Fit Diagnostics'!$B$8))/(A208/'Fit Diagnostics'!$B$8))+'Fit Diagnostics'!$B$6*(((1-EXP(-A208/'Fit Diagnostics'!$B$8))/(A208/'Fit Diagnostics'!$B$8))-EXP(-A208/'Fit Diagnostics'!$B$8))+'Fit Diagnostics'!$B$7*(((1-EXP(-A208/'Fit Diagnostics'!$B$9))/(A208/'Fit Diagnostics'!$B$9))-EXP(-A208/'Fit Diagnostics'!$B$9))</f>
        <v>5.3802440245832625E-2</v>
      </c>
      <c r="C208" s="29">
        <f t="shared" si="3"/>
        <v>0.32833839410186211</v>
      </c>
    </row>
    <row r="209" spans="1:3" ht="15" customHeight="1" x14ac:dyDescent="0.25">
      <c r="A209" s="27">
        <v>20.8</v>
      </c>
      <c r="B209" s="28">
        <f>'Fit Diagnostics'!$B$4+'Fit Diagnostics'!$B$5*((1-EXP(-A209/'Fit Diagnostics'!$B$8))/(A209/'Fit Diagnostics'!$B$8))+'Fit Diagnostics'!$B$6*(((1-EXP(-A209/'Fit Diagnostics'!$B$8))/(A209/'Fit Diagnostics'!$B$8))-EXP(-A209/'Fit Diagnostics'!$B$8))+'Fit Diagnostics'!$B$7*(((1-EXP(-A209/'Fit Diagnostics'!$B$9))/(A209/'Fit Diagnostics'!$B$9))-EXP(-A209/'Fit Diagnostics'!$B$9))</f>
        <v>5.3823725031154471E-2</v>
      </c>
      <c r="C209" s="29">
        <f t="shared" si="3"/>
        <v>0.32643204597273262</v>
      </c>
    </row>
    <row r="210" spans="1:3" ht="15" customHeight="1" x14ac:dyDescent="0.25">
      <c r="A210" s="27">
        <v>20.9</v>
      </c>
      <c r="B210" s="28">
        <f>'Fit Diagnostics'!$B$4+'Fit Diagnostics'!$B$5*((1-EXP(-A210/'Fit Diagnostics'!$B$8))/(A210/'Fit Diagnostics'!$B$8))+'Fit Diagnostics'!$B$6*(((1-EXP(-A210/'Fit Diagnostics'!$B$8))/(A210/'Fit Diagnostics'!$B$8))-EXP(-A210/'Fit Diagnostics'!$B$8))+'Fit Diagnostics'!$B$7*(((1-EXP(-A210/'Fit Diagnostics'!$B$9))/(A210/'Fit Diagnostics'!$B$9))-EXP(-A210/'Fit Diagnostics'!$B$9))</f>
        <v>5.3844155334792108E-2</v>
      </c>
      <c r="C210" s="29">
        <f t="shared" si="3"/>
        <v>0.32454118047537234</v>
      </c>
    </row>
    <row r="211" spans="1:3" ht="15" customHeight="1" x14ac:dyDescent="0.25">
      <c r="A211" s="27">
        <v>21</v>
      </c>
      <c r="B211" s="28">
        <f>'Fit Diagnostics'!$B$4+'Fit Diagnostics'!$B$5*((1-EXP(-A211/'Fit Diagnostics'!$B$8))/(A211/'Fit Diagnostics'!$B$8))+'Fit Diagnostics'!$B$6*(((1-EXP(-A211/'Fit Diagnostics'!$B$8))/(A211/'Fit Diagnostics'!$B$8))-EXP(-A211/'Fit Diagnostics'!$B$8))+'Fit Diagnostics'!$B$7*(((1-EXP(-A211/'Fit Diagnostics'!$B$9))/(A211/'Fit Diagnostics'!$B$9))-EXP(-A211/'Fit Diagnostics'!$B$9))</f>
        <v>5.3863731351014542E-2</v>
      </c>
      <c r="C211" s="29">
        <f t="shared" si="3"/>
        <v>0.32266573803409926</v>
      </c>
    </row>
    <row r="212" spans="1:3" ht="15" customHeight="1" x14ac:dyDescent="0.25">
      <c r="A212" s="27">
        <v>21.1</v>
      </c>
      <c r="B212" s="28">
        <f>'Fit Diagnostics'!$B$4+'Fit Diagnostics'!$B$5*((1-EXP(-A212/'Fit Diagnostics'!$B$8))/(A212/'Fit Diagnostics'!$B$8))+'Fit Diagnostics'!$B$6*(((1-EXP(-A212/'Fit Diagnostics'!$B$8))/(A212/'Fit Diagnostics'!$B$8))-EXP(-A212/'Fit Diagnostics'!$B$8))+'Fit Diagnostics'!$B$7*(((1-EXP(-A212/'Fit Diagnostics'!$B$9))/(A212/'Fit Diagnostics'!$B$9))-EXP(-A212/'Fit Diagnostics'!$B$9))</f>
        <v>5.3882453392645233E-2</v>
      </c>
      <c r="C212" s="29">
        <f t="shared" si="3"/>
        <v>0.32080565780860371</v>
      </c>
    </row>
    <row r="213" spans="1:3" ht="15" customHeight="1" x14ac:dyDescent="0.25">
      <c r="A213" s="27">
        <v>21.2</v>
      </c>
      <c r="B213" s="28">
        <f>'Fit Diagnostics'!$B$4+'Fit Diagnostics'!$B$5*((1-EXP(-A213/'Fit Diagnostics'!$B$8))/(A213/'Fit Diagnostics'!$B$8))+'Fit Diagnostics'!$B$6*(((1-EXP(-A213/'Fit Diagnostics'!$B$8))/(A213/'Fit Diagnostics'!$B$8))-EXP(-A213/'Fit Diagnostics'!$B$8))+'Fit Diagnostics'!$B$7*(((1-EXP(-A213/'Fit Diagnostics'!$B$9))/(A213/'Fit Diagnostics'!$B$9))-EXP(-A213/'Fit Diagnostics'!$B$9))</f>
        <v>5.3900321888328773E-2</v>
      </c>
      <c r="C213" s="29">
        <f t="shared" si="3"/>
        <v>0.31896087773972576</v>
      </c>
    </row>
    <row r="214" spans="1:3" ht="15" customHeight="1" x14ac:dyDescent="0.25">
      <c r="A214" s="27">
        <v>21.3</v>
      </c>
      <c r="B214" s="28">
        <f>'Fit Diagnostics'!$B$4+'Fit Diagnostics'!$B$5*((1-EXP(-A214/'Fit Diagnostics'!$B$8))/(A214/'Fit Diagnostics'!$B$8))+'Fit Diagnostics'!$B$6*(((1-EXP(-A214/'Fit Diagnostics'!$B$8))/(A214/'Fit Diagnostics'!$B$8))-EXP(-A214/'Fit Diagnostics'!$B$8))+'Fit Diagnostics'!$B$7*(((1-EXP(-A214/'Fit Diagnostics'!$B$9))/(A214/'Fit Diagnostics'!$B$9))-EXP(-A214/'Fit Diagnostics'!$B$9))</f>
        <v>5.3917337379839329E-2</v>
      </c>
      <c r="C214" s="29">
        <f t="shared" si="3"/>
        <v>0.31713133459458515</v>
      </c>
    </row>
    <row r="215" spans="1:3" ht="15" customHeight="1" x14ac:dyDescent="0.25">
      <c r="A215" s="27">
        <v>21.4</v>
      </c>
      <c r="B215" s="28">
        <f>'Fit Diagnostics'!$B$4+'Fit Diagnostics'!$B$5*((1-EXP(-A215/'Fit Diagnostics'!$B$8))/(A215/'Fit Diagnostics'!$B$8))+'Fit Diagnostics'!$B$6*(((1-EXP(-A215/'Fit Diagnostics'!$B$8))/(A215/'Fit Diagnostics'!$B$8))-EXP(-A215/'Fit Diagnostics'!$B$8))+'Fit Diagnostics'!$B$7*(((1-EXP(-A215/'Fit Diagnostics'!$B$9))/(A215/'Fit Diagnostics'!$B$9))-EXP(-A215/'Fit Diagnostics'!$B$9))</f>
        <v>5.3933500519432027E-2</v>
      </c>
      <c r="C215" s="29">
        <f t="shared" si="3"/>
        <v>0.3153169640110457</v>
      </c>
    </row>
    <row r="216" spans="1:3" ht="15" customHeight="1" x14ac:dyDescent="0.25">
      <c r="A216" s="27">
        <v>21.5</v>
      </c>
      <c r="B216" s="28">
        <f>'Fit Diagnostics'!$B$4+'Fit Diagnostics'!$B$5*((1-EXP(-A216/'Fit Diagnostics'!$B$8))/(A216/'Fit Diagnostics'!$B$8))+'Fit Diagnostics'!$B$6*(((1-EXP(-A216/'Fit Diagnostics'!$B$8))/(A216/'Fit Diagnostics'!$B$8))-EXP(-A216/'Fit Diagnostics'!$B$8))+'Fit Diagnostics'!$B$7*(((1-EXP(-A216/'Fit Diagnostics'!$B$9))/(A216/'Fit Diagnostics'!$B$9))-EXP(-A216/'Fit Diagnostics'!$B$9))</f>
        <v>5.3948812067234869E-2</v>
      </c>
      <c r="C216" s="29">
        <f t="shared" si="3"/>
        <v>0.31351770054151923</v>
      </c>
    </row>
    <row r="217" spans="1:3" ht="15" customHeight="1" x14ac:dyDescent="0.25">
      <c r="A217" s="27">
        <v>21.6</v>
      </c>
      <c r="B217" s="28">
        <f>'Fit Diagnostics'!$B$4+'Fit Diagnostics'!$B$5*((1-EXP(-A217/'Fit Diagnostics'!$B$8))/(A217/'Fit Diagnostics'!$B$8))+'Fit Diagnostics'!$B$6*(((1-EXP(-A217/'Fit Diagnostics'!$B$8))/(A217/'Fit Diagnostics'!$B$8))-EXP(-A217/'Fit Diagnostics'!$B$8))+'Fit Diagnostics'!$B$7*(((1-EXP(-A217/'Fit Diagnostics'!$B$9))/(A217/'Fit Diagnostics'!$B$9))-EXP(-A217/'Fit Diagnostics'!$B$9))</f>
        <v>5.3963272888683619E-2</v>
      </c>
      <c r="C217" s="29">
        <f t="shared" si="3"/>
        <v>0.31173347769608267</v>
      </c>
    </row>
    <row r="218" spans="1:3" ht="15" customHeight="1" x14ac:dyDescent="0.25">
      <c r="A218" s="27">
        <v>21.7</v>
      </c>
      <c r="B218" s="28">
        <f>'Fit Diagnostics'!$B$4+'Fit Diagnostics'!$B$5*((1-EXP(-A218/'Fit Diagnostics'!$B$8))/(A218/'Fit Diagnostics'!$B$8))+'Fit Diagnostics'!$B$6*(((1-EXP(-A218/'Fit Diagnostics'!$B$8))/(A218/'Fit Diagnostics'!$B$8))-EXP(-A218/'Fit Diagnostics'!$B$8))+'Fit Diagnostics'!$B$7*(((1-EXP(-A218/'Fit Diagnostics'!$B$9))/(A218/'Fit Diagnostics'!$B$9))-EXP(-A218/'Fit Diagnostics'!$B$9))</f>
        <v>5.3976883951996957E-2</v>
      </c>
      <c r="C218" s="29">
        <f t="shared" si="3"/>
        <v>0.30996422798491896</v>
      </c>
    </row>
    <row r="219" spans="1:3" ht="15" customHeight="1" x14ac:dyDescent="0.25">
      <c r="A219" s="27">
        <v>21.8</v>
      </c>
      <c r="B219" s="28">
        <f>'Fit Diagnostics'!$B$4+'Fit Diagnostics'!$B$5*((1-EXP(-A219/'Fit Diagnostics'!$B$8))/(A219/'Fit Diagnostics'!$B$8))+'Fit Diagnostics'!$B$6*(((1-EXP(-A219/'Fit Diagnostics'!$B$8))/(A219/'Fit Diagnostics'!$B$8))-EXP(-A219/'Fit Diagnostics'!$B$8))+'Fit Diagnostics'!$B$7*(((1-EXP(-A219/'Fit Diagnostics'!$B$9))/(A219/'Fit Diagnostics'!$B$9))-EXP(-A219/'Fit Diagnostics'!$B$9))</f>
        <v>5.3989646325692711E-2</v>
      </c>
      <c r="C219" s="29">
        <f t="shared" si="3"/>
        <v>0.30820988296006713</v>
      </c>
    </row>
    <row r="220" spans="1:3" ht="15" customHeight="1" x14ac:dyDescent="0.25">
      <c r="A220" s="27">
        <v>21.9</v>
      </c>
      <c r="B220" s="28">
        <f>'Fit Diagnostics'!$B$4+'Fit Diagnostics'!$B$5*((1-EXP(-A220/'Fit Diagnostics'!$B$8))/(A220/'Fit Diagnostics'!$B$8))+'Fit Diagnostics'!$B$6*(((1-EXP(-A220/'Fit Diagnostics'!$B$8))/(A220/'Fit Diagnostics'!$B$8))-EXP(-A220/'Fit Diagnostics'!$B$8))+'Fit Diagnostics'!$B$7*(((1-EXP(-A220/'Fit Diagnostics'!$B$9))/(A220/'Fit Diagnostics'!$B$9))-EXP(-A220/'Fit Diagnostics'!$B$9))</f>
        <v>5.4001561176145726E-2</v>
      </c>
      <c r="C220" s="29">
        <f t="shared" si="3"/>
        <v>0.30647037325647242</v>
      </c>
    </row>
    <row r="221" spans="1:3" ht="15" customHeight="1" x14ac:dyDescent="0.25">
      <c r="A221" s="27">
        <v>22</v>
      </c>
      <c r="B221" s="28">
        <f>'Fit Diagnostics'!$B$4+'Fit Diagnostics'!$B$5*((1-EXP(-A221/'Fit Diagnostics'!$B$8))/(A221/'Fit Diagnostics'!$B$8))+'Fit Diagnostics'!$B$6*(((1-EXP(-A221/'Fit Diagnostics'!$B$8))/(A221/'Fit Diagnostics'!$B$8))-EXP(-A221/'Fit Diagnostics'!$B$8))+'Fit Diagnostics'!$B$7*(((1-EXP(-A221/'Fit Diagnostics'!$B$9))/(A221/'Fit Diagnostics'!$B$9))-EXP(-A221/'Fit Diagnostics'!$B$9))</f>
        <v>5.401262976518504E-2</v>
      </c>
      <c r="C221" s="29">
        <f t="shared" si="3"/>
        <v>0.30474562863234433</v>
      </c>
    </row>
    <row r="222" spans="1:3" ht="15" customHeight="1" x14ac:dyDescent="0.25">
      <c r="A222" s="27">
        <v>22.1</v>
      </c>
      <c r="B222" s="28">
        <f>'Fit Diagnostics'!$B$4+'Fit Diagnostics'!$B$5*((1-EXP(-A222/'Fit Diagnostics'!$B$8))/(A222/'Fit Diagnostics'!$B$8))+'Fit Diagnostics'!$B$6*(((1-EXP(-A222/'Fit Diagnostics'!$B$8))/(A222/'Fit Diagnostics'!$B$8))-EXP(-A222/'Fit Diagnostics'!$B$8))+'Fit Diagnostics'!$B$7*(((1-EXP(-A222/'Fit Diagnostics'!$B$9))/(A222/'Fit Diagnostics'!$B$9))-EXP(-A222/'Fit Diagnostics'!$B$9))</f>
        <v>5.4022853447731674E-2</v>
      </c>
      <c r="C222" s="29">
        <f t="shared" si="3"/>
        <v>0.3030355780088097</v>
      </c>
    </row>
    <row r="223" spans="1:3" ht="15" customHeight="1" x14ac:dyDescent="0.25">
      <c r="A223" s="27">
        <v>22.2</v>
      </c>
      <c r="B223" s="28">
        <f>'Fit Diagnostics'!$B$4+'Fit Diagnostics'!$B$5*((1-EXP(-A223/'Fit Diagnostics'!$B$8))/(A223/'Fit Diagnostics'!$B$8))+'Fit Diagnostics'!$B$6*(((1-EXP(-A223/'Fit Diagnostics'!$B$8))/(A223/'Fit Diagnostics'!$B$8))-EXP(-A223/'Fit Diagnostics'!$B$8))+'Fit Diagnostics'!$B$7*(((1-EXP(-A223/'Fit Diagnostics'!$B$9))/(A223/'Fit Diagnostics'!$B$9))-EXP(-A223/'Fit Diagnostics'!$B$9))</f>
        <v>5.4032233669476383E-2</v>
      </c>
      <c r="C223" s="29">
        <f t="shared" si="3"/>
        <v>0.30134014950885923</v>
      </c>
    </row>
    <row r="224" spans="1:3" ht="15" customHeight="1" x14ac:dyDescent="0.25">
      <c r="A224" s="27">
        <v>22.3</v>
      </c>
      <c r="B224" s="28">
        <f>'Fit Diagnostics'!$B$4+'Fit Diagnostics'!$B$5*((1-EXP(-A224/'Fit Diagnostics'!$B$8))/(A224/'Fit Diagnostics'!$B$8))+'Fit Diagnostics'!$B$6*(((1-EXP(-A224/'Fit Diagnostics'!$B$8))/(A224/'Fit Diagnostics'!$B$8))-EXP(-A224/'Fit Diagnostics'!$B$8))+'Fit Diagnostics'!$B$7*(((1-EXP(-A224/'Fit Diagnostics'!$B$9))/(A224/'Fit Diagnostics'!$B$9))-EXP(-A224/'Fit Diagnostics'!$B$9))</f>
        <v>5.4040771964596022E-2</v>
      </c>
      <c r="C224" s="29">
        <f t="shared" si="3"/>
        <v>0.29965927049559299</v>
      </c>
    </row>
    <row r="225" spans="1:3" ht="15" customHeight="1" x14ac:dyDescent="0.25">
      <c r="A225" s="27">
        <v>22.4</v>
      </c>
      <c r="B225" s="28">
        <f>'Fit Diagnostics'!$B$4+'Fit Diagnostics'!$B$5*((1-EXP(-A225/'Fit Diagnostics'!$B$8))/(A225/'Fit Diagnostics'!$B$8))+'Fit Diagnostics'!$B$6*(((1-EXP(-A225/'Fit Diagnostics'!$B$8))/(A225/'Fit Diagnostics'!$B$8))-EXP(-A225/'Fit Diagnostics'!$B$8))+'Fit Diagnostics'!$B$7*(((1-EXP(-A225/'Fit Diagnostics'!$B$9))/(A225/'Fit Diagnostics'!$B$9))-EXP(-A225/'Fit Diagnostics'!$B$9))</f>
        <v>5.4048469953509592E-2</v>
      </c>
      <c r="C225" s="29">
        <f t="shared" si="3"/>
        <v>0.29799286760975446</v>
      </c>
    </row>
    <row r="226" spans="1:3" ht="15" customHeight="1" x14ac:dyDescent="0.25">
      <c r="A226" s="27">
        <v>22.5</v>
      </c>
      <c r="B226" s="28">
        <f>'Fit Diagnostics'!$B$4+'Fit Diagnostics'!$B$5*((1-EXP(-A226/'Fit Diagnostics'!$B$8))/(A226/'Fit Diagnostics'!$B$8))+'Fit Diagnostics'!$B$6*(((1-EXP(-A226/'Fit Diagnostics'!$B$8))/(A226/'Fit Diagnostics'!$B$8))-EXP(-A226/'Fit Diagnostics'!$B$8))+'Fit Diagnostics'!$B$7*(((1-EXP(-A226/'Fit Diagnostics'!$B$9))/(A226/'Fit Diagnostics'!$B$9))-EXP(-A226/'Fit Diagnostics'!$B$9))</f>
        <v>5.4055329340672753E-2</v>
      </c>
      <c r="C226" s="29">
        <f t="shared" si="3"/>
        <v>0.29634086680655797</v>
      </c>
    </row>
    <row r="227" spans="1:3" ht="15" customHeight="1" x14ac:dyDescent="0.25">
      <c r="A227" s="27">
        <v>22.6</v>
      </c>
      <c r="B227" s="28">
        <f>'Fit Diagnostics'!$B$4+'Fit Diagnostics'!$B$5*((1-EXP(-A227/'Fit Diagnostics'!$B$8))/(A227/'Fit Diagnostics'!$B$8))+'Fit Diagnostics'!$B$6*(((1-EXP(-A227/'Fit Diagnostics'!$B$8))/(A227/'Fit Diagnostics'!$B$8))-EXP(-A227/'Fit Diagnostics'!$B$8))+'Fit Diagnostics'!$B$7*(((1-EXP(-A227/'Fit Diagnostics'!$B$9))/(A227/'Fit Diagnostics'!$B$9))-EXP(-A227/'Fit Diagnostics'!$B$9))</f>
        <v>5.406135191241046E-2</v>
      </c>
      <c r="C227" s="29">
        <f t="shared" si="3"/>
        <v>0.29470319339180978</v>
      </c>
    </row>
    <row r="228" spans="1:3" ht="15" customHeight="1" x14ac:dyDescent="0.25">
      <c r="A228" s="27">
        <v>22.7</v>
      </c>
      <c r="B228" s="28">
        <f>'Fit Diagnostics'!$B$4+'Fit Diagnostics'!$B$5*((1-EXP(-A228/'Fit Diagnostics'!$B$8))/(A228/'Fit Diagnostics'!$B$8))+'Fit Diagnostics'!$B$6*(((1-EXP(-A228/'Fit Diagnostics'!$B$8))/(A228/'Fit Diagnostics'!$B$8))-EXP(-A228/'Fit Diagnostics'!$B$8))+'Fit Diagnostics'!$B$7*(((1-EXP(-A228/'Fit Diagnostics'!$B$9))/(A228/'Fit Diagnostics'!$B$9))-EXP(-A228/'Fit Diagnostics'!$B$9))</f>
        <v>5.4066539534787655E-2</v>
      </c>
      <c r="C228" s="29">
        <f t="shared" si="3"/>
        <v>0.29307977205732211</v>
      </c>
    </row>
    <row r="229" spans="1:3" ht="15" customHeight="1" x14ac:dyDescent="0.25">
      <c r="A229" s="27">
        <v>22.8</v>
      </c>
      <c r="B229" s="28">
        <f>'Fit Diagnostics'!$B$4+'Fit Diagnostics'!$B$5*((1-EXP(-A229/'Fit Diagnostics'!$B$8))/(A229/'Fit Diagnostics'!$B$8))+'Fit Diagnostics'!$B$6*(((1-EXP(-A229/'Fit Diagnostics'!$B$8))/(A229/'Fit Diagnostics'!$B$8))-EXP(-A229/'Fit Diagnostics'!$B$8))+'Fit Diagnostics'!$B$7*(((1-EXP(-A229/'Fit Diagnostics'!$B$9))/(A229/'Fit Diagnostics'!$B$9))-EXP(-A229/'Fit Diagnostics'!$B$9))</f>
        <v>5.4070894151517016E-2</v>
      </c>
      <c r="C229" s="29">
        <f t="shared" si="3"/>
        <v>0.29147052691562397</v>
      </c>
    </row>
    <row r="230" spans="1:3" ht="15" customHeight="1" x14ac:dyDescent="0.25">
      <c r="A230" s="27">
        <v>22.9</v>
      </c>
      <c r="B230" s="28">
        <f>'Fit Diagnostics'!$B$4+'Fit Diagnostics'!$B$5*((1-EXP(-A230/'Fit Diagnostics'!$B$8))/(A230/'Fit Diagnostics'!$B$8))+'Fit Diagnostics'!$B$6*(((1-EXP(-A230/'Fit Diagnostics'!$B$8))/(A230/'Fit Diagnostics'!$B$8))-EXP(-A230/'Fit Diagnostics'!$B$8))+'Fit Diagnostics'!$B$7*(((1-EXP(-A230/'Fit Diagnostics'!$B$9))/(A230/'Fit Diagnostics'!$B$9))-EXP(-A230/'Fit Diagnostics'!$B$9))</f>
        <v>5.4074417781904208E-2</v>
      </c>
      <c r="C230" s="29">
        <f t="shared" si="3"/>
        <v>0.28987538153396814</v>
      </c>
    </row>
    <row r="231" spans="1:3" ht="15" customHeight="1" x14ac:dyDescent="0.25">
      <c r="A231" s="27">
        <v>23</v>
      </c>
      <c r="B231" s="28">
        <f>'Fit Diagnostics'!$B$4+'Fit Diagnostics'!$B$5*((1-EXP(-A231/'Fit Diagnostics'!$B$8))/(A231/'Fit Diagnostics'!$B$8))+'Fit Diagnostics'!$B$6*(((1-EXP(-A231/'Fit Diagnostics'!$B$8))/(A231/'Fit Diagnostics'!$B$8))-EXP(-A231/'Fit Diagnostics'!$B$8))+'Fit Diagnostics'!$B$7*(((1-EXP(-A231/'Fit Diagnostics'!$B$9))/(A231/'Fit Diagnostics'!$B$9))-EXP(-A231/'Fit Diagnostics'!$B$9))</f>
        <v>5.4077112518829525E-2</v>
      </c>
      <c r="C231" s="29">
        <f t="shared" si="3"/>
        <v>0.28829425896763788</v>
      </c>
    </row>
    <row r="232" spans="1:3" ht="15" customHeight="1" x14ac:dyDescent="0.25">
      <c r="A232" s="27">
        <v>23.1</v>
      </c>
      <c r="B232" s="28">
        <f>'Fit Diagnostics'!$B$4+'Fit Diagnostics'!$B$5*((1-EXP(-A232/'Fit Diagnostics'!$B$8))/(A232/'Fit Diagnostics'!$B$8))+'Fit Diagnostics'!$B$6*(((1-EXP(-A232/'Fit Diagnostics'!$B$8))/(A232/'Fit Diagnostics'!$B$8))-EXP(-A232/'Fit Diagnostics'!$B$8))+'Fit Diagnostics'!$B$7*(((1-EXP(-A232/'Fit Diagnostics'!$B$9))/(A232/'Fit Diagnostics'!$B$9))-EXP(-A232/'Fit Diagnostics'!$B$9))</f>
        <v>5.4078980526765678E-2</v>
      </c>
      <c r="C232" s="29">
        <f t="shared" si="3"/>
        <v>0.28672708179255924</v>
      </c>
    </row>
    <row r="233" spans="1:3" ht="15" customHeight="1" x14ac:dyDescent="0.25">
      <c r="A233" s="27">
        <v>23.2</v>
      </c>
      <c r="B233" s="28">
        <f>'Fit Diagnostics'!$B$4+'Fit Diagnostics'!$B$5*((1-EXP(-A233/'Fit Diagnostics'!$B$8))/(A233/'Fit Diagnostics'!$B$8))+'Fit Diagnostics'!$B$6*(((1-EXP(-A233/'Fit Diagnostics'!$B$8))/(A233/'Fit Diagnostics'!$B$8))-EXP(-A233/'Fit Diagnostics'!$B$8))+'Fit Diagnostics'!$B$7*(((1-EXP(-A233/'Fit Diagnostics'!$B$9))/(A233/'Fit Diagnostics'!$B$9))-EXP(-A233/'Fit Diagnostics'!$B$9))</f>
        <v>5.4080024039831573E-2</v>
      </c>
      <c r="C233" s="29">
        <f t="shared" si="3"/>
        <v>0.28517377213721723</v>
      </c>
    </row>
    <row r="234" spans="1:3" ht="15" customHeight="1" x14ac:dyDescent="0.25">
      <c r="A234" s="27">
        <v>23.3</v>
      </c>
      <c r="B234" s="28">
        <f>'Fit Diagnostics'!$B$4+'Fit Diagnostics'!$B$5*((1-EXP(-A234/'Fit Diagnostics'!$B$8))/(A234/'Fit Diagnostics'!$B$8))+'Fit Diagnostics'!$B$6*(((1-EXP(-A234/'Fit Diagnostics'!$B$8))/(A234/'Fit Diagnostics'!$B$8))-EXP(-A234/'Fit Diagnostics'!$B$8))+'Fit Diagnostics'!$B$7*(((1-EXP(-A234/'Fit Diagnostics'!$B$9))/(A234/'Fit Diagnostics'!$B$9))-EXP(-A234/'Fit Diagnostics'!$B$9))</f>
        <v>5.4080245359880978E-2</v>
      </c>
      <c r="C234" s="29">
        <f t="shared" si="3"/>
        <v>0.28363425171388701</v>
      </c>
    </row>
    <row r="235" spans="1:3" ht="15" customHeight="1" x14ac:dyDescent="0.25">
      <c r="A235" s="27">
        <v>23.4</v>
      </c>
      <c r="B235" s="28">
        <f>'Fit Diagnostics'!$B$4+'Fit Diagnostics'!$B$5*((1-EXP(-A235/'Fit Diagnostics'!$B$8))/(A235/'Fit Diagnostics'!$B$8))+'Fit Diagnostics'!$B$6*(((1-EXP(-A235/'Fit Diagnostics'!$B$8))/(A235/'Fit Diagnostics'!$B$8))-EXP(-A235/'Fit Diagnostics'!$B$8))+'Fit Diagnostics'!$B$7*(((1-EXP(-A235/'Fit Diagnostics'!$B$9))/(A235/'Fit Diagnostics'!$B$9))-EXP(-A235/'Fit Diagnostics'!$B$9))</f>
        <v>5.4079646854626712E-2</v>
      </c>
      <c r="C235" s="29">
        <f t="shared" si="3"/>
        <v>0.28210844184917616</v>
      </c>
    </row>
    <row r="236" spans="1:3" ht="15" customHeight="1" x14ac:dyDescent="0.25">
      <c r="A236" s="27">
        <v>23.5</v>
      </c>
      <c r="B236" s="28">
        <f>'Fit Diagnostics'!$B$4+'Fit Diagnostics'!$B$5*((1-EXP(-A236/'Fit Diagnostics'!$B$8))/(A236/'Fit Diagnostics'!$B$8))+'Fit Diagnostics'!$B$6*(((1-EXP(-A236/'Fit Diagnostics'!$B$8))/(A236/'Fit Diagnostics'!$B$8))-EXP(-A236/'Fit Diagnostics'!$B$8))+'Fit Diagnostics'!$B$7*(((1-EXP(-A236/'Fit Diagnostics'!$B$9))/(A236/'Fit Diagnostics'!$B$9))-EXP(-A236/'Fit Diagnostics'!$B$9))</f>
        <v>5.4078230955798924E-2</v>
      </c>
      <c r="C236" s="29">
        <f t="shared" si="3"/>
        <v>0.28059626351388983</v>
      </c>
    </row>
    <row r="237" spans="1:3" ht="15" customHeight="1" x14ac:dyDescent="0.25">
      <c r="A237" s="27">
        <v>23.6</v>
      </c>
      <c r="B237" s="28">
        <f>'Fit Diagnostics'!$B$4+'Fit Diagnostics'!$B$5*((1-EXP(-A237/'Fit Diagnostics'!$B$8))/(A237/'Fit Diagnostics'!$B$8))+'Fit Diagnostics'!$B$6*(((1-EXP(-A237/'Fit Diagnostics'!$B$8))/(A237/'Fit Diagnostics'!$B$8))-EXP(-A237/'Fit Diagnostics'!$B$8))+'Fit Diagnostics'!$B$7*(((1-EXP(-A237/'Fit Diagnostics'!$B$9))/(A237/'Fit Diagnostics'!$B$9))-EXP(-A237/'Fit Diagnostics'!$B$9))</f>
        <v>5.4076000157337364E-2</v>
      </c>
      <c r="C237" s="29">
        <f t="shared" si="3"/>
        <v>0.27909763735222187</v>
      </c>
    </row>
    <row r="238" spans="1:3" ht="15" customHeight="1" x14ac:dyDescent="0.25">
      <c r="A238" s="27">
        <v>23.7</v>
      </c>
      <c r="B238" s="28">
        <f>'Fit Diagnostics'!$B$4+'Fit Diagnostics'!$B$5*((1-EXP(-A238/'Fit Diagnostics'!$B$8))/(A238/'Fit Diagnostics'!$B$8))+'Fit Diagnostics'!$B$6*(((1-EXP(-A238/'Fit Diagnostics'!$B$8))/(A238/'Fit Diagnostics'!$B$8))-EXP(-A238/'Fit Diagnostics'!$B$8))+'Fit Diagnostics'!$B$7*(((1-EXP(-A238/'Fit Diagnostics'!$B$9))/(A238/'Fit Diagnostics'!$B$9))-EXP(-A238/'Fit Diagnostics'!$B$9))</f>
        <v>5.4072957013617376E-2</v>
      </c>
      <c r="C238" s="29">
        <f t="shared" si="3"/>
        <v>0.27761248371027608</v>
      </c>
    </row>
    <row r="239" spans="1:3" ht="15" customHeight="1" x14ac:dyDescent="0.25">
      <c r="A239" s="27">
        <v>23.8</v>
      </c>
      <c r="B239" s="28">
        <f>'Fit Diagnostics'!$B$4+'Fit Diagnostics'!$B$5*((1-EXP(-A239/'Fit Diagnostics'!$B$8))/(A239/'Fit Diagnostics'!$B$8))+'Fit Diagnostics'!$B$6*(((1-EXP(-A239/'Fit Diagnostics'!$B$8))/(A239/'Fit Diagnostics'!$B$8))-EXP(-A239/'Fit Diagnostics'!$B$8))+'Fit Diagnostics'!$B$7*(((1-EXP(-A239/'Fit Diagnostics'!$B$9))/(A239/'Fit Diagnostics'!$B$9))-EXP(-A239/'Fit Diagnostics'!$B$9))</f>
        <v>5.4069104137709156E-2</v>
      </c>
      <c r="C239" s="29">
        <f t="shared" si="3"/>
        <v>0.27614072266392414</v>
      </c>
    </row>
    <row r="240" spans="1:3" ht="15" customHeight="1" x14ac:dyDescent="0.25">
      <c r="A240" s="27">
        <v>23.9</v>
      </c>
      <c r="B240" s="28">
        <f>'Fit Diagnostics'!$B$4+'Fit Diagnostics'!$B$5*((1-EXP(-A240/'Fit Diagnostics'!$B$8))/(A240/'Fit Diagnostics'!$B$8))+'Fit Diagnostics'!$B$6*(((1-EXP(-A240/'Fit Diagnostics'!$B$8))/(A240/'Fit Diagnostics'!$B$8))-EXP(-A240/'Fit Diagnostics'!$B$8))+'Fit Diagnostics'!$B$7*(((1-EXP(-A240/'Fit Diagnostics'!$B$9))/(A240/'Fit Diagnostics'!$B$9))-EXP(-A240/'Fit Diagnostics'!$B$9))</f>
        <v>5.4064444199669284E-2</v>
      </c>
      <c r="C240" s="29">
        <f t="shared" si="3"/>
        <v>0.27468227404600937</v>
      </c>
    </row>
    <row r="241" spans="1:3" ht="15" customHeight="1" x14ac:dyDescent="0.25">
      <c r="A241" s="27">
        <v>24</v>
      </c>
      <c r="B241" s="28">
        <f>'Fit Diagnostics'!$B$4+'Fit Diagnostics'!$B$5*((1-EXP(-A241/'Fit Diagnostics'!$B$8))/(A241/'Fit Diagnostics'!$B$8))+'Fit Diagnostics'!$B$6*(((1-EXP(-A241/'Fit Diagnostics'!$B$8))/(A241/'Fit Diagnostics'!$B$8))-EXP(-A241/'Fit Diagnostics'!$B$8))+'Fit Diagnostics'!$B$7*(((1-EXP(-A241/'Fit Diagnostics'!$B$9))/(A241/'Fit Diagnostics'!$B$9))-EXP(-A241/'Fit Diagnostics'!$B$9))</f>
        <v>5.4058979924864935E-2</v>
      </c>
      <c r="C241" s="29">
        <f t="shared" si="3"/>
        <v>0.27323705747289773</v>
      </c>
    </row>
    <row r="242" spans="1:3" ht="15" customHeight="1" x14ac:dyDescent="0.25">
      <c r="A242" s="27">
        <v>24.1</v>
      </c>
      <c r="B242" s="28">
        <f>'Fit Diagnostics'!$B$4+'Fit Diagnostics'!$B$5*((1-EXP(-A242/'Fit Diagnostics'!$B$8))/(A242/'Fit Diagnostics'!$B$8))+'Fit Diagnostics'!$B$6*(((1-EXP(-A242/'Fit Diagnostics'!$B$8))/(A242/'Fit Diagnostics'!$B$8))-EXP(-A242/'Fit Diagnostics'!$B$8))+'Fit Diagnostics'!$B$7*(((1-EXP(-A242/'Fit Diagnostics'!$B$9))/(A242/'Fit Diagnostics'!$B$9))-EXP(-A242/'Fit Diagnostics'!$B$9))</f>
        <v>5.4052714092329812E-2</v>
      </c>
      <c r="C242" s="29">
        <f t="shared" si="3"/>
        <v>0.27180499237038602</v>
      </c>
    </row>
    <row r="243" spans="1:3" ht="15" customHeight="1" x14ac:dyDescent="0.25">
      <c r="A243" s="27">
        <v>24.2</v>
      </c>
      <c r="B243" s="28">
        <f>'Fit Diagnostics'!$B$4+'Fit Diagnostics'!$B$5*((1-EXP(-A243/'Fit Diagnostics'!$B$8))/(A243/'Fit Diagnostics'!$B$8))+'Fit Diagnostics'!$B$6*(((1-EXP(-A243/'Fit Diagnostics'!$B$8))/(A243/'Fit Diagnostics'!$B$8))-EXP(-A243/'Fit Diagnostics'!$B$8))+'Fit Diagnostics'!$B$7*(((1-EXP(-A243/'Fit Diagnostics'!$B$9))/(A243/'Fit Diagnostics'!$B$9))-EXP(-A243/'Fit Diagnostics'!$B$9))</f>
        <v>5.4045649533151302E-2</v>
      </c>
      <c r="C243" s="29">
        <f t="shared" si="3"/>
        <v>0.27038599799897456</v>
      </c>
    </row>
    <row r="244" spans="1:3" ht="15" customHeight="1" x14ac:dyDescent="0.25">
      <c r="A244" s="27">
        <v>24.3</v>
      </c>
      <c r="B244" s="28">
        <f>'Fit Diagnostics'!$B$4+'Fit Diagnostics'!$B$5*((1-EXP(-A244/'Fit Diagnostics'!$B$8))/(A244/'Fit Diagnostics'!$B$8))+'Fit Diagnostics'!$B$6*(((1-EXP(-A244/'Fit Diagnostics'!$B$8))/(A244/'Fit Diagnostics'!$B$8))-EXP(-A244/'Fit Diagnostics'!$B$8))+'Fit Diagnostics'!$B$7*(((1-EXP(-A244/'Fit Diagnostics'!$B$9))/(A244/'Fit Diagnostics'!$B$9))-EXP(-A244/'Fit Diagnostics'!$B$9))</f>
        <v>5.4037789128888396E-2</v>
      </c>
      <c r="C244" s="29">
        <f t="shared" si="3"/>
        <v>0.26897999347851159</v>
      </c>
    </row>
    <row r="245" spans="1:3" ht="15" customHeight="1" x14ac:dyDescent="0.25">
      <c r="A245" s="27">
        <v>24.4</v>
      </c>
      <c r="B245" s="28">
        <f>'Fit Diagnostics'!$B$4+'Fit Diagnostics'!$B$5*((1-EXP(-A245/'Fit Diagnostics'!$B$8))/(A245/'Fit Diagnostics'!$B$8))+'Fit Diagnostics'!$B$6*(((1-EXP(-A245/'Fit Diagnostics'!$B$8))/(A245/'Fit Diagnostics'!$B$8))-EXP(-A245/'Fit Diagnostics'!$B$8))+'Fit Diagnostics'!$B$7*(((1-EXP(-A245/'Fit Diagnostics'!$B$9))/(A245/'Fit Diagnostics'!$B$9))-EXP(-A245/'Fit Diagnostics'!$B$9))</f>
        <v>5.402913581002055E-2</v>
      </c>
      <c r="C245" s="29">
        <f t="shared" si="3"/>
        <v>0.26758689781221334</v>
      </c>
    </row>
    <row r="246" spans="1:3" ht="15" customHeight="1" x14ac:dyDescent="0.25">
      <c r="A246" s="27">
        <v>24.5</v>
      </c>
      <c r="B246" s="28">
        <f>'Fit Diagnostics'!$B$4+'Fit Diagnostics'!$B$5*((1-EXP(-A246/'Fit Diagnostics'!$B$8))/(A246/'Fit Diagnostics'!$B$8))+'Fit Diagnostics'!$B$6*(((1-EXP(-A246/'Fit Diagnostics'!$B$8))/(A246/'Fit Diagnostics'!$B$8))-EXP(-A246/'Fit Diagnostics'!$B$8))+'Fit Diagnostics'!$B$7*(((1-EXP(-A246/'Fit Diagnostics'!$B$9))/(A246/'Fit Diagnostics'!$B$9))-EXP(-A246/'Fit Diagnostics'!$B$9))</f>
        <v>5.4019692554426305E-2</v>
      </c>
      <c r="C246" s="29">
        <f t="shared" si="3"/>
        <v>0.26620662991007082</v>
      </c>
    </row>
    <row r="247" spans="1:3" ht="15" customHeight="1" x14ac:dyDescent="0.25">
      <c r="A247" s="27">
        <v>24.6</v>
      </c>
      <c r="B247" s="28">
        <f>'Fit Diagnostics'!$B$4+'Fit Diagnostics'!$B$5*((1-EXP(-A247/'Fit Diagnostics'!$B$8))/(A247/'Fit Diagnostics'!$B$8))+'Fit Diagnostics'!$B$6*(((1-EXP(-A247/'Fit Diagnostics'!$B$8))/(A247/'Fit Diagnostics'!$B$8))-EXP(-A247/'Fit Diagnostics'!$B$8))+'Fit Diagnostics'!$B$7*(((1-EXP(-A247/'Fit Diagnostics'!$B$9))/(A247/'Fit Diagnostics'!$B$9))-EXP(-A247/'Fit Diagnostics'!$B$9))</f>
        <v>5.4009462385891466E-2</v>
      </c>
      <c r="C247" s="29">
        <f t="shared" si="3"/>
        <v>0.26483910861165172</v>
      </c>
    </row>
    <row r="248" spans="1:3" ht="15" customHeight="1" x14ac:dyDescent="0.25">
      <c r="A248" s="27">
        <v>24.7</v>
      </c>
      <c r="B248" s="28">
        <f>'Fit Diagnostics'!$B$4+'Fit Diagnostics'!$B$5*((1-EXP(-A248/'Fit Diagnostics'!$B$8))/(A248/'Fit Diagnostics'!$B$8))+'Fit Diagnostics'!$B$6*(((1-EXP(-A248/'Fit Diagnostics'!$B$8))/(A248/'Fit Diagnostics'!$B$8))-EXP(-A248/'Fit Diagnostics'!$B$8))+'Fit Diagnostics'!$B$7*(((1-EXP(-A248/'Fit Diagnostics'!$B$9))/(A248/'Fit Diagnostics'!$B$9))-EXP(-A248/'Fit Diagnostics'!$B$9))</f>
        <v>5.3998448372646356E-2</v>
      </c>
      <c r="C248" s="29">
        <f t="shared" si="3"/>
        <v>0.26348425270830328</v>
      </c>
    </row>
    <row r="249" spans="1:3" ht="15" customHeight="1" x14ac:dyDescent="0.25">
      <c r="A249" s="27">
        <v>24.8</v>
      </c>
      <c r="B249" s="28">
        <f>'Fit Diagnostics'!$B$4+'Fit Diagnostics'!$B$5*((1-EXP(-A249/'Fit Diagnostics'!$B$8))/(A249/'Fit Diagnostics'!$B$8))+'Fit Diagnostics'!$B$6*(((1-EXP(-A249/'Fit Diagnostics'!$B$8))/(A249/'Fit Diagnostics'!$B$8))-EXP(-A249/'Fit Diagnostics'!$B$8))+'Fit Diagnostics'!$B$7*(((1-EXP(-A249/'Fit Diagnostics'!$B$9))/(A249/'Fit Diagnostics'!$B$9))-EXP(-A249/'Fit Diagnostics'!$B$9))</f>
        <v>5.3986653625932086E-2</v>
      </c>
      <c r="C249" s="29">
        <f t="shared" si="3"/>
        <v>0.26214198096476332</v>
      </c>
    </row>
    <row r="250" spans="1:3" ht="15" customHeight="1" x14ac:dyDescent="0.25">
      <c r="A250" s="27">
        <v>24.9</v>
      </c>
      <c r="B250" s="28">
        <f>'Fit Diagnostics'!$B$4+'Fit Diagnostics'!$B$5*((1-EXP(-A250/'Fit Diagnostics'!$B$8))/(A250/'Fit Diagnostics'!$B$8))+'Fit Diagnostics'!$B$6*(((1-EXP(-A250/'Fit Diagnostics'!$B$8))/(A250/'Fit Diagnostics'!$B$8))-EXP(-A250/'Fit Diagnostics'!$B$8))+'Fit Diagnostics'!$B$7*(((1-EXP(-A250/'Fit Diagnostics'!$B$9))/(A250/'Fit Diagnostics'!$B$9))-EXP(-A250/'Fit Diagnostics'!$B$9))</f>
        <v>5.397408129859467E-2</v>
      </c>
      <c r="C250" s="29">
        <f t="shared" si="3"/>
        <v>0.26081221214019207</v>
      </c>
    </row>
    <row r="251" spans="1:3" ht="15" customHeight="1" x14ac:dyDescent="0.25">
      <c r="A251" s="27">
        <v>25</v>
      </c>
      <c r="B251" s="28">
        <f>'Fit Diagnostics'!$B$4+'Fit Diagnostics'!$B$5*((1-EXP(-A251/'Fit Diagnostics'!$B$8))/(A251/'Fit Diagnostics'!$B$8))+'Fit Diagnostics'!$B$6*(((1-EXP(-A251/'Fit Diagnostics'!$B$8))/(A251/'Fit Diagnostics'!$B$8))-EXP(-A251/'Fit Diagnostics'!$B$8))+'Fit Diagnostics'!$B$7*(((1-EXP(-A251/'Fit Diagnostics'!$B$9))/(A251/'Fit Diagnostics'!$B$9))-EXP(-A251/'Fit Diagnostics'!$B$9))</f>
        <v>5.3960734583707495E-2</v>
      </c>
      <c r="C251" s="29">
        <f t="shared" si="3"/>
        <v>0.25949486500862623</v>
      </c>
    </row>
    <row r="252" spans="1:3" ht="15" customHeight="1" x14ac:dyDescent="0.25">
      <c r="A252" s="27">
        <v>25.1</v>
      </c>
      <c r="B252" s="28">
        <f>'Fit Diagnostics'!$B$4+'Fit Diagnostics'!$B$5*((1-EXP(-A252/'Fit Diagnostics'!$B$8))/(A252/'Fit Diagnostics'!$B$8))+'Fit Diagnostics'!$B$6*(((1-EXP(-A252/'Fit Diagnostics'!$B$8))/(A252/'Fit Diagnostics'!$B$8))-EXP(-A252/'Fit Diagnostics'!$B$8))+'Fit Diagnostics'!$B$7*(((1-EXP(-A252/'Fit Diagnostics'!$B$9))/(A252/'Fit Diagnostics'!$B$9))-EXP(-A252/'Fit Diagnostics'!$B$9))</f>
        <v>5.3946616713220798E-2</v>
      </c>
      <c r="C252" s="29">
        <f t="shared" si="3"/>
        <v>0.25818985837887115</v>
      </c>
    </row>
    <row r="253" spans="1:3" ht="15" customHeight="1" x14ac:dyDescent="0.25">
      <c r="A253" s="27">
        <v>25.2</v>
      </c>
      <c r="B253" s="28">
        <f>'Fit Diagnostics'!$B$4+'Fit Diagnostics'!$B$5*((1-EXP(-A253/'Fit Diagnostics'!$B$8))/(A253/'Fit Diagnostics'!$B$8))+'Fit Diagnostics'!$B$6*(((1-EXP(-A253/'Fit Diagnostics'!$B$8))/(A253/'Fit Diagnostics'!$B$8))-EXP(-A253/'Fit Diagnostics'!$B$8))+'Fit Diagnostics'!$B$7*(((1-EXP(-A253/'Fit Diagnostics'!$B$9))/(A253/'Fit Diagnostics'!$B$9))-EXP(-A253/'Fit Diagnostics'!$B$9))</f>
        <v>5.3931730956638099E-2</v>
      </c>
      <c r="C253" s="29">
        <f t="shared" si="3"/>
        <v>0.25689711111383512</v>
      </c>
    </row>
    <row r="254" spans="1:3" ht="15" customHeight="1" x14ac:dyDescent="0.25">
      <c r="A254" s="27">
        <v>25.3</v>
      </c>
      <c r="B254" s="28">
        <f>'Fit Diagnostics'!$B$4+'Fit Diagnostics'!$B$5*((1-EXP(-A254/'Fit Diagnostics'!$B$8))/(A254/'Fit Diagnostics'!$B$8))+'Fit Diagnostics'!$B$6*(((1-EXP(-A254/'Fit Diagnostics'!$B$8))/(A254/'Fit Diagnostics'!$B$8))-EXP(-A254/'Fit Diagnostics'!$B$8))+'Fit Diagnostics'!$B$7*(((1-EXP(-A254/'Fit Diagnostics'!$B$9))/(A254/'Fit Diagnostics'!$B$9))-EXP(-A254/'Fit Diagnostics'!$B$9))</f>
        <v>5.3916080619719586E-2</v>
      </c>
      <c r="C254" s="29">
        <f t="shared" si="3"/>
        <v>0.25561654214931379</v>
      </c>
    </row>
    <row r="255" spans="1:3" ht="15" customHeight="1" x14ac:dyDescent="0.25">
      <c r="A255" s="27">
        <v>25.4</v>
      </c>
      <c r="B255" s="28">
        <f>'Fit Diagnostics'!$B$4+'Fit Diagnostics'!$B$5*((1-EXP(-A255/'Fit Diagnostics'!$B$8))/(A255/'Fit Diagnostics'!$B$8))+'Fit Diagnostics'!$B$6*(((1-EXP(-A255/'Fit Diagnostics'!$B$8))/(A255/'Fit Diagnostics'!$B$8))-EXP(-A255/'Fit Diagnostics'!$B$8))+'Fit Diagnostics'!$B$7*(((1-EXP(-A255/'Fit Diagnostics'!$B$9))/(A255/'Fit Diagnostics'!$B$9))-EXP(-A255/'Fit Diagnostics'!$B$9))</f>
        <v>5.3899669043211154E-2</v>
      </c>
      <c r="C255" s="29">
        <f t="shared" si="3"/>
        <v>0.25434807051223723</v>
      </c>
    </row>
    <row r="256" spans="1:3" ht="15" customHeight="1" x14ac:dyDescent="0.25">
      <c r="A256" s="27">
        <v>25.5</v>
      </c>
      <c r="B256" s="28">
        <f>'Fit Diagnostics'!$B$4+'Fit Diagnostics'!$B$5*((1-EXP(-A256/'Fit Diagnostics'!$B$8))/(A256/'Fit Diagnostics'!$B$8))+'Fit Diagnostics'!$B$6*(((1-EXP(-A256/'Fit Diagnostics'!$B$8))/(A256/'Fit Diagnostics'!$B$8))-EXP(-A256/'Fit Diagnostics'!$B$8))+'Fit Diagnostics'!$B$7*(((1-EXP(-A256/'Fit Diagnostics'!$B$9))/(A256/'Fit Diagnostics'!$B$9))-EXP(-A256/'Fit Diagnostics'!$B$9))</f>
        <v>5.3882499601599777E-2</v>
      </c>
      <c r="C256" s="29">
        <f t="shared" si="3"/>
        <v>0.25309161533838193</v>
      </c>
    </row>
    <row r="257" spans="1:3" ht="15" customHeight="1" x14ac:dyDescent="0.25">
      <c r="A257" s="27">
        <v>25.6</v>
      </c>
      <c r="B257" s="28">
        <f>'Fit Diagnostics'!$B$4+'Fit Diagnostics'!$B$5*((1-EXP(-A257/'Fit Diagnostics'!$B$8))/(A257/'Fit Diagnostics'!$B$8))+'Fit Diagnostics'!$B$6*(((1-EXP(-A257/'Fit Diagnostics'!$B$8))/(A257/'Fit Diagnostics'!$B$8))-EXP(-A257/'Fit Diagnostics'!$B$8))+'Fit Diagnostics'!$B$7*(((1-EXP(-A257/'Fit Diagnostics'!$B$9))/(A257/'Fit Diagnostics'!$B$9))-EXP(-A257/'Fit Diagnostics'!$B$9))</f>
        <v>5.386457570189325E-2</v>
      </c>
      <c r="C257" s="29">
        <f t="shared" si="3"/>
        <v>0.25184709588956722</v>
      </c>
    </row>
    <row r="258" spans="1:3" ht="15" customHeight="1" x14ac:dyDescent="0.25">
      <c r="A258" s="27">
        <v>25.7</v>
      </c>
      <c r="B258" s="28">
        <f>'Fit Diagnostics'!$B$4+'Fit Diagnostics'!$B$5*((1-EXP(-A258/'Fit Diagnostics'!$B$8))/(A258/'Fit Diagnostics'!$B$8))+'Fit Diagnostics'!$B$6*(((1-EXP(-A258/'Fit Diagnostics'!$B$8))/(A258/'Fit Diagnostics'!$B$8))-EXP(-A258/'Fit Diagnostics'!$B$8))+'Fit Diagnostics'!$B$7*(((1-EXP(-A258/'Fit Diagnostics'!$B$9))/(A258/'Fit Diagnostics'!$B$9))-EXP(-A258/'Fit Diagnostics'!$B$9))</f>
        <v>5.3845900782425841E-2</v>
      </c>
      <c r="C258" s="29">
        <f t="shared" ref="C258:C301" si="4">EXP(-B258*A258)</f>
        <v>0.25061443157033053</v>
      </c>
    </row>
    <row r="259" spans="1:3" ht="15" customHeight="1" x14ac:dyDescent="0.25">
      <c r="A259" s="27">
        <v>25.8</v>
      </c>
      <c r="B259" s="28">
        <f>'Fit Diagnostics'!$B$4+'Fit Diagnostics'!$B$5*((1-EXP(-A259/'Fit Diagnostics'!$B$8))/(A259/'Fit Diagnostics'!$B$8))+'Fit Diagnostics'!$B$6*(((1-EXP(-A259/'Fit Diagnostics'!$B$8))/(A259/'Fit Diagnostics'!$B$8))-EXP(-A259/'Fit Diagnostics'!$B$8))+'Fit Diagnostics'!$B$7*(((1-EXP(-A259/'Fit Diagnostics'!$B$9))/(A259/'Fit Diagnostics'!$B$9))-EXP(-A259/'Fit Diagnostics'!$B$9))</f>
        <v>5.3826478311687825E-2</v>
      </c>
      <c r="C259" s="29">
        <f t="shared" si="4"/>
        <v>0.24939354194410207</v>
      </c>
    </row>
    <row r="260" spans="1:3" ht="15" customHeight="1" x14ac:dyDescent="0.25">
      <c r="A260" s="27">
        <v>25.9</v>
      </c>
      <c r="B260" s="28">
        <f>'Fit Diagnostics'!$B$4+'Fit Diagnostics'!$B$5*((1-EXP(-A260/'Fit Diagnostics'!$B$8))/(A260/'Fit Diagnostics'!$B$8))+'Fit Diagnostics'!$B$6*(((1-EXP(-A260/'Fit Diagnostics'!$B$8))/(A260/'Fit Diagnostics'!$B$8))-EXP(-A260/'Fit Diagnostics'!$B$8))+'Fit Diagnostics'!$B$7*(((1-EXP(-A260/'Fit Diagnostics'!$B$9))/(A260/'Fit Diagnostics'!$B$9))-EXP(-A260/'Fit Diagnostics'!$B$9))</f>
        <v>5.380631178717922E-2</v>
      </c>
      <c r="C260" s="29">
        <f t="shared" si="4"/>
        <v>0.24818434674888273</v>
      </c>
    </row>
    <row r="261" spans="1:3" ht="15" customHeight="1" x14ac:dyDescent="0.25">
      <c r="A261" s="27">
        <v>26</v>
      </c>
      <c r="B261" s="28">
        <f>'Fit Diagnostics'!$B$4+'Fit Diagnostics'!$B$5*((1-EXP(-A261/'Fit Diagnostics'!$B$8))/(A261/'Fit Diagnostics'!$B$8))+'Fit Diagnostics'!$B$6*(((1-EXP(-A261/'Fit Diagnostics'!$B$8))/(A261/'Fit Diagnostics'!$B$8))-EXP(-A261/'Fit Diagnostics'!$B$8))+'Fit Diagnostics'!$B$7*(((1-EXP(-A261/'Fit Diagnostics'!$B$9))/(A261/'Fit Diagnostics'!$B$9))-EXP(-A261/'Fit Diagnostics'!$B$9))</f>
        <v>5.3785404734287105E-2</v>
      </c>
      <c r="C261" s="29">
        <f t="shared" si="4"/>
        <v>0.24698676591243493</v>
      </c>
    </row>
    <row r="262" spans="1:3" ht="15" customHeight="1" x14ac:dyDescent="0.25">
      <c r="A262" s="27">
        <v>26.1</v>
      </c>
      <c r="B262" s="28">
        <f>'Fit Diagnostics'!$B$4+'Fit Diagnostics'!$B$5*((1-EXP(-A262/'Fit Diagnostics'!$B$8))/(A262/'Fit Diagnostics'!$B$8))+'Fit Diagnostics'!$B$6*(((1-EXP(-A262/'Fit Diagnostics'!$B$8))/(A262/'Fit Diagnostics'!$B$8))-EXP(-A262/'Fit Diagnostics'!$B$8))+'Fit Diagnostics'!$B$7*(((1-EXP(-A262/'Fit Diagnostics'!$B$9))/(A262/'Fit Diagnostics'!$B$9))-EXP(-A262/'Fit Diagnostics'!$B$9))</f>
        <v>5.3763760705186583E-2</v>
      </c>
      <c r="C262" s="29">
        <f t="shared" si="4"/>
        <v>0.24580071956699312</v>
      </c>
    </row>
    <row r="263" spans="1:3" ht="15" customHeight="1" x14ac:dyDescent="0.25">
      <c r="A263" s="27">
        <v>26.2</v>
      </c>
      <c r="B263" s="28">
        <f>'Fit Diagnostics'!$B$4+'Fit Diagnostics'!$B$5*((1-EXP(-A263/'Fit Diagnostics'!$B$8))/(A263/'Fit Diagnostics'!$B$8))+'Fit Diagnostics'!$B$6*(((1-EXP(-A263/'Fit Diagnostics'!$B$8))/(A263/'Fit Diagnostics'!$B$8))-EXP(-A263/'Fit Diagnostics'!$B$8))+'Fit Diagnostics'!$B$7*(((1-EXP(-A263/'Fit Diagnostics'!$B$9))/(A263/'Fit Diagnostics'!$B$9))-EXP(-A263/'Fit Diagnostics'!$B$9))</f>
        <v>5.3741383277764315E-2</v>
      </c>
      <c r="C263" s="29">
        <f t="shared" si="4"/>
        <v>0.24462612806350589</v>
      </c>
    </row>
    <row r="264" spans="1:3" ht="15" customHeight="1" x14ac:dyDescent="0.25">
      <c r="A264" s="27">
        <v>26.3</v>
      </c>
      <c r="B264" s="28">
        <f>'Fit Diagnostics'!$B$4+'Fit Diagnostics'!$B$5*((1-EXP(-A264/'Fit Diagnostics'!$B$8))/(A264/'Fit Diagnostics'!$B$8))+'Fit Diagnostics'!$B$6*(((1-EXP(-A264/'Fit Diagnostics'!$B$8))/(A264/'Fit Diagnostics'!$B$8))-EXP(-A264/'Fit Diagnostics'!$B$8))+'Fit Diagnostics'!$B$7*(((1-EXP(-A264/'Fit Diagnostics'!$B$9))/(A264/'Fit Diagnostics'!$B$9))-EXP(-A264/'Fit Diagnostics'!$B$9))</f>
        <v>5.3718276054564501E-2</v>
      </c>
      <c r="C264" s="29">
        <f t="shared" si="4"/>
        <v>0.24346291198541756</v>
      </c>
    </row>
    <row r="265" spans="1:3" ht="15" customHeight="1" x14ac:dyDescent="0.25">
      <c r="A265" s="27">
        <v>26.4</v>
      </c>
      <c r="B265" s="28">
        <f>'Fit Diagnostics'!$B$4+'Fit Diagnostics'!$B$5*((1-EXP(-A265/'Fit Diagnostics'!$B$8))/(A265/'Fit Diagnostics'!$B$8))+'Fit Diagnostics'!$B$6*(((1-EXP(-A265/'Fit Diagnostics'!$B$8))/(A265/'Fit Diagnostics'!$B$8))-EXP(-A265/'Fit Diagnostics'!$B$8))+'Fit Diagnostics'!$B$7*(((1-EXP(-A265/'Fit Diagnostics'!$B$9))/(A265/'Fit Diagnostics'!$B$9))-EXP(-A265/'Fit Diagnostics'!$B$9))</f>
        <v>5.3694442661757366E-2</v>
      </c>
      <c r="C265" s="29">
        <f t="shared" si="4"/>
        <v>0.24231099216199553</v>
      </c>
    </row>
    <row r="266" spans="1:3" ht="15" customHeight="1" x14ac:dyDescent="0.25">
      <c r="A266" s="27">
        <v>26.5</v>
      </c>
      <c r="B266" s="28">
        <f>'Fit Diagnostics'!$B$4+'Fit Diagnostics'!$B$5*((1-EXP(-A266/'Fit Diagnostics'!$B$8))/(A266/'Fit Diagnostics'!$B$8))+'Fit Diagnostics'!$B$6*(((1-EXP(-A266/'Fit Diagnostics'!$B$8))/(A266/'Fit Diagnostics'!$B$8))-EXP(-A266/'Fit Diagnostics'!$B$8))+'Fit Diagnostics'!$B$7*(((1-EXP(-A266/'Fit Diagnostics'!$B$9))/(A266/'Fit Diagnostics'!$B$9))-EXP(-A266/'Fit Diagnostics'!$B$9))</f>
        <v>5.3669886748129003E-2</v>
      </c>
      <c r="C266" s="29">
        <f t="shared" si="4"/>
        <v>0.24117028968121546</v>
      </c>
    </row>
    <row r="267" spans="1:3" ht="15" customHeight="1" x14ac:dyDescent="0.25">
      <c r="A267" s="27">
        <v>26.6</v>
      </c>
      <c r="B267" s="28">
        <f>'Fit Diagnostics'!$B$4+'Fit Diagnostics'!$B$5*((1-EXP(-A267/'Fit Diagnostics'!$B$8))/(A267/'Fit Diagnostics'!$B$8))+'Fit Diagnostics'!$B$6*(((1-EXP(-A267/'Fit Diagnostics'!$B$8))/(A267/'Fit Diagnostics'!$B$8))-EXP(-A267/'Fit Diagnostics'!$B$8))+'Fit Diagnostics'!$B$7*(((1-EXP(-A267/'Fit Diagnostics'!$B$9))/(A267/'Fit Diagnostics'!$B$9))-EXP(-A267/'Fit Diagnostics'!$B$9))</f>
        <v>5.3644611984092913E-2</v>
      </c>
      <c r="C267" s="29">
        <f t="shared" si="4"/>
        <v>0.24004072590220973</v>
      </c>
    </row>
    <row r="268" spans="1:3" ht="15" customHeight="1" x14ac:dyDescent="0.25">
      <c r="A268" s="27">
        <v>26.7</v>
      </c>
      <c r="B268" s="28">
        <f>'Fit Diagnostics'!$B$4+'Fit Diagnostics'!$B$5*((1-EXP(-A268/'Fit Diagnostics'!$B$8))/(A268/'Fit Diagnostics'!$B$8))+'Fit Diagnostics'!$B$6*(((1-EXP(-A268/'Fit Diagnostics'!$B$8))/(A268/'Fit Diagnostics'!$B$8))-EXP(-A268/'Fit Diagnostics'!$B$8))+'Fit Diagnostics'!$B$7*(((1-EXP(-A268/'Fit Diagnostics'!$B$9))/(A268/'Fit Diagnostics'!$B$9))-EXP(-A268/'Fit Diagnostics'!$B$9))</f>
        <v>5.3618622060722147E-2</v>
      </c>
      <c r="C268" s="29">
        <f t="shared" si="4"/>
        <v>0.23892222246729242</v>
      </c>
    </row>
    <row r="269" spans="1:3" ht="15" customHeight="1" x14ac:dyDescent="0.25">
      <c r="A269" s="27">
        <v>26.8</v>
      </c>
      <c r="B269" s="28">
        <f>'Fit Diagnostics'!$B$4+'Fit Diagnostics'!$B$5*((1-EXP(-A269/'Fit Diagnostics'!$B$8))/(A269/'Fit Diagnostics'!$B$8))+'Fit Diagnostics'!$B$6*(((1-EXP(-A269/'Fit Diagnostics'!$B$8))/(A269/'Fit Diagnostics'!$B$8))-EXP(-A269/'Fit Diagnostics'!$B$8))+'Fit Diagnostics'!$B$7*(((1-EXP(-A269/'Fit Diagnostics'!$B$9))/(A269/'Fit Diagnostics'!$B$9))-EXP(-A269/'Fit Diagnostics'!$B$9))</f>
        <v>5.3591920688802579E-2</v>
      </c>
      <c r="C269" s="29">
        <f t="shared" si="4"/>
        <v>0.2378147013135618</v>
      </c>
    </row>
    <row r="270" spans="1:3" ht="15" customHeight="1" x14ac:dyDescent="0.25">
      <c r="A270" s="27">
        <v>26.9</v>
      </c>
      <c r="B270" s="28">
        <f>'Fit Diagnostics'!$B$4+'Fit Diagnostics'!$B$5*((1-EXP(-A270/'Fit Diagnostics'!$B$8))/(A270/'Fit Diagnostics'!$B$8))+'Fit Diagnostics'!$B$6*(((1-EXP(-A270/'Fit Diagnostics'!$B$8))/(A270/'Fit Diagnostics'!$B$8))-EXP(-A270/'Fit Diagnostics'!$B$8))+'Fit Diagnostics'!$B$7*(((1-EXP(-A270/'Fit Diagnostics'!$B$9))/(A270/'Fit Diagnostics'!$B$9))-EXP(-A270/'Fit Diagnostics'!$B$9))</f>
        <v>5.3564511597906032E-2</v>
      </c>
      <c r="C270" s="29">
        <f t="shared" si="4"/>
        <v>0.23671808468409772</v>
      </c>
    </row>
    <row r="271" spans="1:3" ht="15" customHeight="1" x14ac:dyDescent="0.25">
      <c r="A271" s="27">
        <v>27</v>
      </c>
      <c r="B271" s="28">
        <f>'Fit Diagnostics'!$B$4+'Fit Diagnostics'!$B$5*((1-EXP(-A271/'Fit Diagnostics'!$B$8))/(A271/'Fit Diagnostics'!$B$8))+'Fit Diagnostics'!$B$6*(((1-EXP(-A271/'Fit Diagnostics'!$B$8))/(A271/'Fit Diagnostics'!$B$8))-EXP(-A271/'Fit Diagnostics'!$B$8))+'Fit Diagnostics'!$B$7*(((1-EXP(-A271/'Fit Diagnostics'!$B$9))/(A271/'Fit Diagnostics'!$B$9))-EXP(-A271/'Fit Diagnostics'!$B$9))</f>
        <v>5.3536398535483594E-2</v>
      </c>
      <c r="C271" s="29">
        <f t="shared" si="4"/>
        <v>0.23563229513875458</v>
      </c>
    </row>
    <row r="272" spans="1:3" ht="15" customHeight="1" x14ac:dyDescent="0.25">
      <c r="A272" s="27">
        <v>27.1</v>
      </c>
      <c r="B272" s="28">
        <f>'Fit Diagnostics'!$B$4+'Fit Diagnostics'!$B$5*((1-EXP(-A272/'Fit Diagnostics'!$B$8))/(A272/'Fit Diagnostics'!$B$8))+'Fit Diagnostics'!$B$6*(((1-EXP(-A272/'Fit Diagnostics'!$B$8))/(A272/'Fit Diagnostics'!$B$8))-EXP(-A272/'Fit Diagnostics'!$B$8))+'Fit Diagnostics'!$B$7*(((1-EXP(-A272/'Fit Diagnostics'!$B$9))/(A272/'Fit Diagnostics'!$B$9))-EXP(-A272/'Fit Diagnostics'!$B$9))</f>
        <v>5.3507585265978416E-2</v>
      </c>
      <c r="C272" s="29">
        <f t="shared" si="4"/>
        <v>0.23455725556456344</v>
      </c>
    </row>
    <row r="273" spans="1:3" ht="15" customHeight="1" x14ac:dyDescent="0.25">
      <c r="A273" s="27">
        <v>27.2</v>
      </c>
      <c r="B273" s="28">
        <f>'Fit Diagnostics'!$B$4+'Fit Diagnostics'!$B$5*((1-EXP(-A273/'Fit Diagnostics'!$B$8))/(A273/'Fit Diagnostics'!$B$8))+'Fit Diagnostics'!$B$6*(((1-EXP(-A273/'Fit Diagnostics'!$B$8))/(A273/'Fit Diagnostics'!$B$8))-EXP(-A273/'Fit Diagnostics'!$B$8))+'Fit Diagnostics'!$B$7*(((1-EXP(-A273/'Fit Diagnostics'!$B$9))/(A273/'Fit Diagnostics'!$B$9))-EXP(-A273/'Fit Diagnostics'!$B$9))</f>
        <v>5.347807556995781E-2</v>
      </c>
      <c r="C273" s="29">
        <f t="shared" si="4"/>
        <v>0.23349288918574829</v>
      </c>
    </row>
    <row r="274" spans="1:3" ht="15" customHeight="1" x14ac:dyDescent="0.25">
      <c r="A274" s="27">
        <v>27.3</v>
      </c>
      <c r="B274" s="28">
        <f>'Fit Diagnostics'!$B$4+'Fit Diagnostics'!$B$5*((1-EXP(-A274/'Fit Diagnostics'!$B$8))/(A274/'Fit Diagnostics'!$B$8))+'Fit Diagnostics'!$B$6*(((1-EXP(-A274/'Fit Diagnostics'!$B$8))/(A274/'Fit Diagnostics'!$B$8))-EXP(-A274/'Fit Diagnostics'!$B$8))+'Fit Diagnostics'!$B$7*(((1-EXP(-A274/'Fit Diagnostics'!$B$9))/(A274/'Fit Diagnostics'!$B$9))-EXP(-A274/'Fit Diagnostics'!$B$9))</f>
        <v>5.3447873243263819E-2</v>
      </c>
      <c r="C274" s="29">
        <f t="shared" si="4"/>
        <v>0.23243911957336857</v>
      </c>
    </row>
    <row r="275" spans="1:3" ht="15" customHeight="1" x14ac:dyDescent="0.25">
      <c r="A275" s="27">
        <v>27.4</v>
      </c>
      <c r="B275" s="28">
        <f>'Fit Diagnostics'!$B$4+'Fit Diagnostics'!$B$5*((1-EXP(-A275/'Fit Diagnostics'!$B$8))/(A275/'Fit Diagnostics'!$B$8))+'Fit Diagnostics'!$B$6*(((1-EXP(-A275/'Fit Diagnostics'!$B$8))/(A275/'Fit Diagnostics'!$B$8))-EXP(-A275/'Fit Diagnostics'!$B$8))+'Fit Diagnostics'!$B$7*(((1-EXP(-A275/'Fit Diagnostics'!$B$9))/(A275/'Fit Diagnostics'!$B$9))-EXP(-A275/'Fit Diagnostics'!$B$9))</f>
        <v>5.3416982096183223E-2</v>
      </c>
      <c r="C275" s="29">
        <f t="shared" si="4"/>
        <v>0.231395870654589</v>
      </c>
    </row>
    <row r="276" spans="1:3" ht="15" customHeight="1" x14ac:dyDescent="0.25">
      <c r="A276" s="27">
        <v>27.5</v>
      </c>
      <c r="B276" s="28">
        <f>'Fit Diagnostics'!$B$4+'Fit Diagnostics'!$B$5*((1-EXP(-A276/'Fit Diagnostics'!$B$8))/(A276/'Fit Diagnostics'!$B$8))+'Fit Diagnostics'!$B$6*(((1-EXP(-A276/'Fit Diagnostics'!$B$8))/(A276/'Fit Diagnostics'!$B$8))-EXP(-A276/'Fit Diagnostics'!$B$8))+'Fit Diagnostics'!$B$7*(((1-EXP(-A276/'Fit Diagnostics'!$B$9))/(A276/'Fit Diagnostics'!$B$9))-EXP(-A276/'Fit Diagnostics'!$B$9))</f>
        <v>5.3385405952634649E-2</v>
      </c>
      <c r="C276" s="29">
        <f t="shared" si="4"/>
        <v>0.23036306672159457</v>
      </c>
    </row>
    <row r="277" spans="1:3" ht="15" customHeight="1" x14ac:dyDescent="0.25">
      <c r="A277" s="27">
        <v>27.6</v>
      </c>
      <c r="B277" s="28">
        <f>'Fit Diagnostics'!$B$4+'Fit Diagnostics'!$B$5*((1-EXP(-A277/'Fit Diagnostics'!$B$8))/(A277/'Fit Diagnostics'!$B$8))+'Fit Diagnostics'!$B$6*(((1-EXP(-A277/'Fit Diagnostics'!$B$8))/(A277/'Fit Diagnostics'!$B$8))-EXP(-A277/'Fit Diagnostics'!$B$8))+'Fit Diagnostics'!$B$7*(((1-EXP(-A277/'Fit Diagnostics'!$B$9))/(A277/'Fit Diagnostics'!$B$9))-EXP(-A277/'Fit Diagnostics'!$B$9))</f>
        <v>5.3353148649374488E-2</v>
      </c>
      <c r="C277" s="29">
        <f t="shared" si="4"/>
        <v>0.22934063244014935</v>
      </c>
    </row>
    <row r="278" spans="1:3" ht="15" customHeight="1" x14ac:dyDescent="0.25">
      <c r="A278" s="27">
        <v>27.7</v>
      </c>
      <c r="B278" s="28">
        <f>'Fit Diagnostics'!$B$4+'Fit Diagnostics'!$B$5*((1-EXP(-A278/'Fit Diagnostics'!$B$8))/(A278/'Fit Diagnostics'!$B$8))+'Fit Diagnostics'!$B$6*(((1-EXP(-A278/'Fit Diagnostics'!$B$8))/(A278/'Fit Diagnostics'!$B$8))-EXP(-A278/'Fit Diagnostics'!$B$8))+'Fit Diagnostics'!$B$7*(((1-EXP(-A278/'Fit Diagnostics'!$B$9))/(A278/'Fit Diagnostics'!$B$9))-EXP(-A278/'Fit Diagnostics'!$B$9))</f>
        <v>5.3320214035220012E-2</v>
      </c>
      <c r="C278" s="29">
        <f t="shared" si="4"/>
        <v>0.22832849285781195</v>
      </c>
    </row>
    <row r="279" spans="1:3" ht="15" customHeight="1" x14ac:dyDescent="0.25">
      <c r="A279" s="27">
        <v>27.8</v>
      </c>
      <c r="B279" s="28">
        <f>'Fit Diagnostics'!$B$4+'Fit Diagnostics'!$B$5*((1-EXP(-A279/'Fit Diagnostics'!$B$8))/(A279/'Fit Diagnostics'!$B$8))+'Fit Diagnostics'!$B$6*(((1-EXP(-A279/'Fit Diagnostics'!$B$8))/(A279/'Fit Diagnostics'!$B$8))-EXP(-A279/'Fit Diagnostics'!$B$8))+'Fit Diagnostics'!$B$7*(((1-EXP(-A279/'Fit Diagnostics'!$B$9))/(A279/'Fit Diagnostics'!$B$9))-EXP(-A279/'Fit Diagnostics'!$B$9))</f>
        <v>5.3286605970289377E-2</v>
      </c>
      <c r="C279" s="29">
        <f t="shared" si="4"/>
        <v>0.22732657341181711</v>
      </c>
    </row>
    <row r="280" spans="1:3" ht="15" customHeight="1" x14ac:dyDescent="0.25">
      <c r="A280" s="27">
        <v>27.9</v>
      </c>
      <c r="B280" s="28">
        <f>'Fit Diagnostics'!$B$4+'Fit Diagnostics'!$B$5*((1-EXP(-A280/'Fit Diagnostics'!$B$8))/(A280/'Fit Diagnostics'!$B$8))+'Fit Diagnostics'!$B$6*(((1-EXP(-A280/'Fit Diagnostics'!$B$8))/(A280/'Fit Diagnostics'!$B$8))-EXP(-A280/'Fit Diagnostics'!$B$8))+'Fit Diagnostics'!$B$7*(((1-EXP(-A280/'Fit Diagnostics'!$B$9))/(A280/'Fit Diagnostics'!$B$9))-EXP(-A280/'Fit Diagnostics'!$B$9))</f>
        <v>5.3252328325259411E-2</v>
      </c>
      <c r="C280" s="29">
        <f t="shared" si="4"/>
        <v>0.2263347999366237</v>
      </c>
    </row>
    <row r="281" spans="1:3" ht="15" customHeight="1" x14ac:dyDescent="0.25">
      <c r="A281" s="27">
        <v>28</v>
      </c>
      <c r="B281" s="28">
        <f>'Fit Diagnostics'!$B$4+'Fit Diagnostics'!$B$5*((1-EXP(-A281/'Fit Diagnostics'!$B$8))/(A281/'Fit Diagnostics'!$B$8))+'Fit Diagnostics'!$B$6*(((1-EXP(-A281/'Fit Diagnostics'!$B$8))/(A281/'Fit Diagnostics'!$B$8))-EXP(-A281/'Fit Diagnostics'!$B$8))+'Fit Diagnostics'!$B$7*(((1-EXP(-A281/'Fit Diagnostics'!$B$9))/(A281/'Fit Diagnostics'!$B$9))-EXP(-A281/'Fit Diagnostics'!$B$9))</f>
        <v>5.3217384980638896E-2</v>
      </c>
      <c r="C281" s="29">
        <f t="shared" si="4"/>
        <v>0.22535309867114747</v>
      </c>
    </row>
    <row r="282" spans="1:3" ht="15" customHeight="1" x14ac:dyDescent="0.25">
      <c r="A282" s="27">
        <v>28.1</v>
      </c>
      <c r="B282" s="28">
        <f>'Fit Diagnostics'!$B$4+'Fit Diagnostics'!$B$5*((1-EXP(-A282/'Fit Diagnostics'!$B$8))/(A282/'Fit Diagnostics'!$B$8))+'Fit Diagnostics'!$B$6*(((1-EXP(-A282/'Fit Diagnostics'!$B$8))/(A282/'Fit Diagnostics'!$B$8))-EXP(-A282/'Fit Diagnostics'!$B$8))+'Fit Diagnostics'!$B$7*(((1-EXP(-A282/'Fit Diagnostics'!$B$9))/(A282/'Fit Diagnostics'!$B$9))-EXP(-A282/'Fit Diagnostics'!$B$9))</f>
        <v>5.3181779826059497E-2</v>
      </c>
      <c r="C282" s="29">
        <f t="shared" si="4"/>
        <v>0.22438139626567288</v>
      </c>
    </row>
    <row r="283" spans="1:3" ht="15" customHeight="1" x14ac:dyDescent="0.25">
      <c r="A283" s="27">
        <v>28.2</v>
      </c>
      <c r="B283" s="28">
        <f>'Fit Diagnostics'!$B$4+'Fit Diagnostics'!$B$5*((1-EXP(-A283/'Fit Diagnostics'!$B$8))/(A283/'Fit Diagnostics'!$B$8))+'Fit Diagnostics'!$B$6*(((1-EXP(-A283/'Fit Diagnostics'!$B$8))/(A283/'Fit Diagnostics'!$B$8))-EXP(-A283/'Fit Diagnostics'!$B$8))+'Fit Diagnostics'!$B$7*(((1-EXP(-A283/'Fit Diagnostics'!$B$9))/(A283/'Fit Diagnostics'!$B$9))-EXP(-A283/'Fit Diagnostics'!$B$9))</f>
        <v>5.3145516759581422E-2</v>
      </c>
      <c r="C283" s="29">
        <f t="shared" si="4"/>
        <v>0.22341961978846583</v>
      </c>
    </row>
    <row r="284" spans="1:3" ht="15" customHeight="1" x14ac:dyDescent="0.25">
      <c r="A284" s="27">
        <v>28.3</v>
      </c>
      <c r="B284" s="28">
        <f>'Fit Diagnostics'!$B$4+'Fit Diagnostics'!$B$5*((1-EXP(-A284/'Fit Diagnostics'!$B$8))/(A284/'Fit Diagnostics'!$B$8))+'Fit Diagnostics'!$B$6*(((1-EXP(-A284/'Fit Diagnostics'!$B$8))/(A284/'Fit Diagnostics'!$B$8))-EXP(-A284/'Fit Diagnostics'!$B$8))+'Fit Diagnostics'!$B$7*(((1-EXP(-A284/'Fit Diagnostics'!$B$9))/(A284/'Fit Diagnostics'!$B$9))-EXP(-A284/'Fit Diagnostics'!$B$9))</f>
        <v>5.3108599687015513E-2</v>
      </c>
      <c r="C284" s="29">
        <f t="shared" si="4"/>
        <v>0.22246769673208328</v>
      </c>
    </row>
    <row r="285" spans="1:3" ht="15" customHeight="1" x14ac:dyDescent="0.25">
      <c r="A285" s="27">
        <v>28.4</v>
      </c>
      <c r="B285" s="28">
        <f>'Fit Diagnostics'!$B$4+'Fit Diagnostics'!$B$5*((1-EXP(-A285/'Fit Diagnostics'!$B$8))/(A285/'Fit Diagnostics'!$B$8))+'Fit Diagnostics'!$B$6*(((1-EXP(-A285/'Fit Diagnostics'!$B$8))/(A285/'Fit Diagnostics'!$B$8))-EXP(-A285/'Fit Diagnostics'!$B$8))+'Fit Diagnostics'!$B$7*(((1-EXP(-A285/'Fit Diagnostics'!$B$9))/(A285/'Fit Diagnostics'!$B$9))-EXP(-A285/'Fit Diagnostics'!$B$9))</f>
        <v>5.3071032521260851E-2</v>
      </c>
      <c r="C285" s="29">
        <f t="shared" si="4"/>
        <v>0.2215255550193907</v>
      </c>
    </row>
    <row r="286" spans="1:3" ht="15" customHeight="1" x14ac:dyDescent="0.25">
      <c r="A286" s="27">
        <v>28.5</v>
      </c>
      <c r="B286" s="28">
        <f>'Fit Diagnostics'!$B$4+'Fit Diagnostics'!$B$5*((1-EXP(-A286/'Fit Diagnostics'!$B$8))/(A286/'Fit Diagnostics'!$B$8))+'Fit Diagnostics'!$B$6*(((1-EXP(-A286/'Fit Diagnostics'!$B$8))/(A286/'Fit Diagnostics'!$B$8))-EXP(-A286/'Fit Diagnostics'!$B$8))+'Fit Diagnostics'!$B$7*(((1-EXP(-A286/'Fit Diagnostics'!$B$9))/(A286/'Fit Diagnostics'!$B$9))-EXP(-A286/'Fit Diagnostics'!$B$9))</f>
        <v>5.3032819181656803E-2</v>
      </c>
      <c r="C286" s="29">
        <f t="shared" si="4"/>
        <v>0.22059312300929884</v>
      </c>
    </row>
    <row r="287" spans="1:3" ht="15" customHeight="1" x14ac:dyDescent="0.25">
      <c r="A287" s="27">
        <v>28.6</v>
      </c>
      <c r="B287" s="28">
        <f>'Fit Diagnostics'!$B$4+'Fit Diagnostics'!$B$5*((1-EXP(-A287/'Fit Diagnostics'!$B$8))/(A287/'Fit Diagnostics'!$B$8))+'Fit Diagnostics'!$B$6*(((1-EXP(-A287/'Fit Diagnostics'!$B$8))/(A287/'Fit Diagnostics'!$B$8))-EXP(-A287/'Fit Diagnostics'!$B$8))+'Fit Diagnostics'!$B$7*(((1-EXP(-A287/'Fit Diagnostics'!$B$9))/(A287/'Fit Diagnostics'!$B$9))-EXP(-A287/'Fit Diagnostics'!$B$9))</f>
        <v>5.2993963593350783E-2</v>
      </c>
      <c r="C287" s="29">
        <f t="shared" si="4"/>
        <v>0.2196703295022179</v>
      </c>
    </row>
    <row r="288" spans="1:3" ht="15" customHeight="1" x14ac:dyDescent="0.25">
      <c r="A288" s="27">
        <v>28.7</v>
      </c>
      <c r="B288" s="28">
        <f>'Fit Diagnostics'!$B$4+'Fit Diagnostics'!$B$5*((1-EXP(-A288/'Fit Diagnostics'!$B$8))/(A288/'Fit Diagnostics'!$B$8))+'Fit Diagnostics'!$B$6*(((1-EXP(-A288/'Fit Diagnostics'!$B$8))/(A288/'Fit Diagnostics'!$B$8))-EXP(-A288/'Fit Diagnostics'!$B$8))+'Fit Diagnostics'!$B$7*(((1-EXP(-A288/'Fit Diagnostics'!$B$9))/(A288/'Fit Diagnostics'!$B$9))-EXP(-A288/'Fit Diagnostics'!$B$9))</f>
        <v>5.2954469686679925E-2</v>
      </c>
      <c r="C288" s="29">
        <f t="shared" si="4"/>
        <v>0.21875710374524493</v>
      </c>
    </row>
    <row r="289" spans="1:3" ht="15" customHeight="1" x14ac:dyDescent="0.25">
      <c r="A289" s="27">
        <v>28.8</v>
      </c>
      <c r="B289" s="28">
        <f>'Fit Diagnostics'!$B$4+'Fit Diagnostics'!$B$5*((1-EXP(-A289/'Fit Diagnostics'!$B$8))/(A289/'Fit Diagnostics'!$B$8))+'Fit Diagnostics'!$B$6*(((1-EXP(-A289/'Fit Diagnostics'!$B$8))/(A289/'Fit Diagnostics'!$B$8))-EXP(-A289/'Fit Diagnostics'!$B$8))+'Fit Diagnostics'!$B$7*(((1-EXP(-A289/'Fit Diagnostics'!$B$9))/(A289/'Fit Diagnostics'!$B$9))-EXP(-A289/'Fit Diagnostics'!$B$9))</f>
        <v>5.2914341396567484E-2</v>
      </c>
      <c r="C289" s="29">
        <f t="shared" si="4"/>
        <v>0.21785337543708438</v>
      </c>
    </row>
    <row r="290" spans="1:3" ht="15" customHeight="1" x14ac:dyDescent="0.25">
      <c r="A290" s="27">
        <v>28.9</v>
      </c>
      <c r="B290" s="28">
        <f>'Fit Diagnostics'!$B$4+'Fit Diagnostics'!$B$5*((1-EXP(-A290/'Fit Diagnostics'!$B$8))/(A290/'Fit Diagnostics'!$B$8))+'Fit Diagnostics'!$B$6*(((1-EXP(-A290/'Fit Diagnostics'!$B$8))/(A290/'Fit Diagnostics'!$B$8))-EXP(-A290/'Fit Diagnostics'!$B$8))+'Fit Diagnostics'!$B$7*(((1-EXP(-A290/'Fit Diagnostics'!$B$9))/(A290/'Fit Diagnostics'!$B$9))-EXP(-A290/'Fit Diagnostics'!$B$9))</f>
        <v>5.2873582661932858E-2</v>
      </c>
      <c r="C290" s="29">
        <f t="shared" si="4"/>
        <v>0.21695907473271456</v>
      </c>
    </row>
    <row r="291" spans="1:3" ht="15" customHeight="1" x14ac:dyDescent="0.25">
      <c r="A291" s="27">
        <v>29</v>
      </c>
      <c r="B291" s="28">
        <f>'Fit Diagnostics'!$B$4+'Fit Diagnostics'!$B$5*((1-EXP(-A291/'Fit Diagnostics'!$B$8))/(A291/'Fit Diagnostics'!$B$8))+'Fit Diagnostics'!$B$6*(((1-EXP(-A291/'Fit Diagnostics'!$B$8))/(A291/'Fit Diagnostics'!$B$8))-EXP(-A291/'Fit Diagnostics'!$B$8))+'Fit Diagnostics'!$B$7*(((1-EXP(-A291/'Fit Diagnostics'!$B$9))/(A291/'Fit Diagnostics'!$B$9))-EXP(-A291/'Fit Diagnostics'!$B$9))</f>
        <v>5.2832197425115891E-2</v>
      </c>
      <c r="C291" s="29">
        <f t="shared" si="4"/>
        <v>0.21607413224779962</v>
      </c>
    </row>
    <row r="292" spans="1:3" ht="15" customHeight="1" x14ac:dyDescent="0.25">
      <c r="A292" s="27">
        <v>29.1</v>
      </c>
      <c r="B292" s="28">
        <f>'Fit Diagnostics'!$B$4+'Fit Diagnostics'!$B$5*((1-EXP(-A292/'Fit Diagnostics'!$B$8))/(A292/'Fit Diagnostics'!$B$8))+'Fit Diagnostics'!$B$6*(((1-EXP(-A292/'Fit Diagnostics'!$B$8))/(A292/'Fit Diagnostics'!$B$8))-EXP(-A292/'Fit Diagnostics'!$B$8))+'Fit Diagnostics'!$B$7*(((1-EXP(-A292/'Fit Diagnostics'!$B$9))/(A292/'Fit Diagnostics'!$B$9))-EXP(-A292/'Fit Diagnostics'!$B$9))</f>
        <v>5.2790189631314169E-2</v>
      </c>
      <c r="C292" s="29">
        <f t="shared" si="4"/>
        <v>0.21519847906286135</v>
      </c>
    </row>
    <row r="293" spans="1:3" ht="15" customHeight="1" x14ac:dyDescent="0.25">
      <c r="A293" s="27">
        <v>29.2</v>
      </c>
      <c r="B293" s="28">
        <f>'Fit Diagnostics'!$B$4+'Fit Diagnostics'!$B$5*((1-EXP(-A293/'Fit Diagnostics'!$B$8))/(A293/'Fit Diagnostics'!$B$8))+'Fit Diagnostics'!$B$6*(((1-EXP(-A293/'Fit Diagnostics'!$B$8))/(A293/'Fit Diagnostics'!$B$8))-EXP(-A293/'Fit Diagnostics'!$B$8))+'Fit Diagnostics'!$B$7*(((1-EXP(-A293/'Fit Diagnostics'!$B$9))/(A293/'Fit Diagnostics'!$B$9))-EXP(-A293/'Fit Diagnostics'!$B$9))</f>
        <v>5.2747563228033797E-2</v>
      </c>
      <c r="C293" s="29">
        <f t="shared" si="4"/>
        <v>0.21433204672721098</v>
      </c>
    </row>
    <row r="294" spans="1:3" ht="15" customHeight="1" x14ac:dyDescent="0.25">
      <c r="A294" s="27">
        <v>29.3</v>
      </c>
      <c r="B294" s="28">
        <f>'Fit Diagnostics'!$B$4+'Fit Diagnostics'!$B$5*((1-EXP(-A294/'Fit Diagnostics'!$B$8))/(A294/'Fit Diagnostics'!$B$8))+'Fit Diagnostics'!$B$6*(((1-EXP(-A294/'Fit Diagnostics'!$B$8))/(A294/'Fit Diagnostics'!$B$8))-EXP(-A294/'Fit Diagnostics'!$B$8))+'Fit Diagnostics'!$B$7*(((1-EXP(-A294/'Fit Diagnostics'!$B$9))/(A294/'Fit Diagnostics'!$B$9))-EXP(-A294/'Fit Diagnostics'!$B$9))</f>
        <v>5.2704322164553383E-2</v>
      </c>
      <c r="C294" s="29">
        <f t="shared" si="4"/>
        <v>0.2134747672626485</v>
      </c>
    </row>
    <row r="295" spans="1:3" ht="15" customHeight="1" x14ac:dyDescent="0.25">
      <c r="A295" s="27">
        <v>29.4</v>
      </c>
      <c r="B295" s="28">
        <f>'Fit Diagnostics'!$B$4+'Fit Diagnostics'!$B$5*((1-EXP(-A295/'Fit Diagnostics'!$B$8))/(A295/'Fit Diagnostics'!$B$8))+'Fit Diagnostics'!$B$6*(((1-EXP(-A295/'Fit Diagnostics'!$B$8))/(A295/'Fit Diagnostics'!$B$8))-EXP(-A295/'Fit Diagnostics'!$B$8))+'Fit Diagnostics'!$B$7*(((1-EXP(-A295/'Fit Diagnostics'!$B$9))/(A295/'Fit Diagnostics'!$B$9))-EXP(-A295/'Fit Diagnostics'!$B$9))</f>
        <v>5.2660470391400253E-2</v>
      </c>
      <c r="C295" s="29">
        <f t="shared" si="4"/>
        <v>0.21262657316694017</v>
      </c>
    </row>
    <row r="296" spans="1:3" ht="15" customHeight="1" x14ac:dyDescent="0.25">
      <c r="A296" s="27">
        <v>29.5</v>
      </c>
      <c r="B296" s="28">
        <f>'Fit Diagnostics'!$B$4+'Fit Diagnostics'!$B$5*((1-EXP(-A296/'Fit Diagnostics'!$B$8))/(A296/'Fit Diagnostics'!$B$8))+'Fit Diagnostics'!$B$6*(((1-EXP(-A296/'Fit Diagnostics'!$B$8))/(A296/'Fit Diagnostics'!$B$8))-EXP(-A296/'Fit Diagnostics'!$B$8))+'Fit Diagnostics'!$B$7*(((1-EXP(-A296/'Fit Diagnostics'!$B$9))/(A296/'Fit Diagnostics'!$B$9))-EXP(-A296/'Fit Diagnostics'!$B$9))</f>
        <v>5.2616011859839634E-2</v>
      </c>
      <c r="C296" s="29">
        <f t="shared" si="4"/>
        <v>0.21178739741707325</v>
      </c>
    </row>
    <row r="297" spans="1:3" ht="15" customHeight="1" x14ac:dyDescent="0.25">
      <c r="A297" s="27">
        <v>29.6</v>
      </c>
      <c r="B297" s="28">
        <f>'Fit Diagnostics'!$B$4+'Fit Diagnostics'!$B$5*((1-EXP(-A297/'Fit Diagnostics'!$B$8))/(A297/'Fit Diagnostics'!$B$8))+'Fit Diagnostics'!$B$6*(((1-EXP(-A297/'Fit Diagnostics'!$B$8))/(A297/'Fit Diagnostics'!$B$8))-EXP(-A297/'Fit Diagnostics'!$B$8))+'Fit Diagnostics'!$B$7*(((1-EXP(-A297/'Fit Diagnostics'!$B$9))/(A297/'Fit Diagnostics'!$B$9))-EXP(-A297/'Fit Diagnostics'!$B$9))</f>
        <v>5.2570950521375899E-2</v>
      </c>
      <c r="C297" s="29">
        <f t="shared" si="4"/>
        <v>0.21095717347229948</v>
      </c>
    </row>
    <row r="298" spans="1:3" ht="15" customHeight="1" x14ac:dyDescent="0.25">
      <c r="A298" s="27">
        <v>29.7</v>
      </c>
      <c r="B298" s="28">
        <f>'Fit Diagnostics'!$B$4+'Fit Diagnostics'!$B$5*((1-EXP(-A298/'Fit Diagnostics'!$B$8))/(A298/'Fit Diagnostics'!$B$8))+'Fit Diagnostics'!$B$6*(((1-EXP(-A298/'Fit Diagnostics'!$B$8))/(A298/'Fit Diagnostics'!$B$8))-EXP(-A298/'Fit Diagnostics'!$B$8))+'Fit Diagnostics'!$B$7*(((1-EXP(-A298/'Fit Diagnostics'!$B$9))/(A298/'Fit Diagnostics'!$B$9))-EXP(-A298/'Fit Diagnostics'!$B$9))</f>
        <v>5.2525290327265869E-2</v>
      </c>
      <c r="C298" s="29">
        <f t="shared" si="4"/>
        <v>0.21013583527697013</v>
      </c>
    </row>
    <row r="299" spans="1:3" ht="15" customHeight="1" x14ac:dyDescent="0.25">
      <c r="A299" s="27">
        <v>29.8</v>
      </c>
      <c r="B299" s="28">
        <f>'Fit Diagnostics'!$B$4+'Fit Diagnostics'!$B$5*((1-EXP(-A299/'Fit Diagnostics'!$B$8))/(A299/'Fit Diagnostics'!$B$8))+'Fit Diagnostics'!$B$6*(((1-EXP(-A299/'Fit Diagnostics'!$B$8))/(A299/'Fit Diagnostics'!$B$8))-EXP(-A299/'Fit Diagnostics'!$B$8))+'Fit Diagnostics'!$B$7*(((1-EXP(-A299/'Fit Diagnostics'!$B$9))/(A299/'Fit Diagnostics'!$B$9))-EXP(-A299/'Fit Diagnostics'!$B$9))</f>
        <v>5.2479035228043744E-2</v>
      </c>
      <c r="C299" s="29">
        <f t="shared" si="4"/>
        <v>0.20932331726317088</v>
      </c>
    </row>
    <row r="300" spans="1:3" ht="15" customHeight="1" x14ac:dyDescent="0.25">
      <c r="A300" s="27">
        <v>29.9</v>
      </c>
      <c r="B300" s="28">
        <f>'Fit Diagnostics'!$B$4+'Fit Diagnostics'!$B$5*((1-EXP(-A300/'Fit Diagnostics'!$B$8))/(A300/'Fit Diagnostics'!$B$8))+'Fit Diagnostics'!$B$6*(((1-EXP(-A300/'Fit Diagnostics'!$B$8))/(A300/'Fit Diagnostics'!$B$8))-EXP(-A300/'Fit Diagnostics'!$B$8))+'Fit Diagnostics'!$B$7*(((1-EXP(-A300/'Fit Diagnostics'!$B$9))/(A300/'Fit Diagnostics'!$B$9))-EXP(-A300/'Fit Diagnostics'!$B$9))</f>
        <v>5.2432189173057885E-2</v>
      </c>
      <c r="C300" s="29">
        <f t="shared" si="4"/>
        <v>0.20851955435315891</v>
      </c>
    </row>
    <row r="301" spans="1:3" ht="15" customHeight="1" x14ac:dyDescent="0.25">
      <c r="A301" s="27">
        <v>30</v>
      </c>
      <c r="B301" s="28">
        <f>'Fit Diagnostics'!$B$4+'Fit Diagnostics'!$B$5*((1-EXP(-A301/'Fit Diagnostics'!$B$8))/(A301/'Fit Diagnostics'!$B$8))+'Fit Diagnostics'!$B$6*(((1-EXP(-A301/'Fit Diagnostics'!$B$8))/(A301/'Fit Diagnostics'!$B$8))-EXP(-A301/'Fit Diagnostics'!$B$8))+'Fit Diagnostics'!$B$7*(((1-EXP(-A301/'Fit Diagnostics'!$B$9))/(A301/'Fit Diagnostics'!$B$9))-EXP(-A301/'Fit Diagnostics'!$B$9))</f>
        <v>5.2384756110018832E-2</v>
      </c>
      <c r="C301" s="29">
        <f t="shared" si="4"/>
        <v>0.20772448196160967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tabSelected="1" workbookViewId="0">
      <selection activeCell="AO28" sqref="AO28"/>
    </sheetView>
  </sheetViews>
  <sheetFormatPr defaultColWidth="8.7109375" defaultRowHeight="15" x14ac:dyDescent="0.25"/>
  <sheetData/>
  <pageMargins left="0.5" right="0.5" top="0.5" bottom="0.5" header="0.2" footer="0.2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workbookViewId="0">
      <selection activeCell="E4" sqref="E4"/>
    </sheetView>
  </sheetViews>
  <sheetFormatPr defaultRowHeight="15" x14ac:dyDescent="0.25"/>
  <cols>
    <col min="1" max="1" width="18" customWidth="1"/>
    <col min="2" max="2" width="16" customWidth="1"/>
    <col min="3" max="3" width="28" customWidth="1"/>
    <col min="4" max="4" width="4" customWidth="1"/>
    <col min="5" max="5" width="30" customWidth="1"/>
    <col min="6" max="6" width="16" customWidth="1"/>
    <col min="7" max="7" width="12" customWidth="1"/>
    <col min="8" max="8" width="255.5703125" customWidth="1"/>
  </cols>
  <sheetData>
    <row r="1" spans="1:8" ht="26.1" customHeight="1" x14ac:dyDescent="0.25">
      <c r="A1" s="40" t="s">
        <v>32</v>
      </c>
      <c r="B1" s="41"/>
      <c r="C1" s="41"/>
      <c r="D1" s="41"/>
      <c r="E1" s="41"/>
      <c r="F1" s="41"/>
      <c r="G1" s="41"/>
      <c r="H1" s="41"/>
    </row>
    <row r="3" spans="1:8" x14ac:dyDescent="0.25">
      <c r="A3" s="1" t="s">
        <v>33</v>
      </c>
      <c r="B3" s="1" t="s">
        <v>34</v>
      </c>
      <c r="C3" s="1" t="s">
        <v>35</v>
      </c>
      <c r="E3" s="1" t="s">
        <v>36</v>
      </c>
      <c r="F3" s="1" t="s">
        <v>37</v>
      </c>
    </row>
    <row r="4" spans="1:8" x14ac:dyDescent="0.25">
      <c r="A4" t="s">
        <v>38</v>
      </c>
      <c r="B4" s="2">
        <v>-7.3402707220420263E-2</v>
      </c>
      <c r="C4" t="s">
        <v>39</v>
      </c>
      <c r="E4" t="s">
        <v>40</v>
      </c>
      <c r="F4" s="4">
        <f>SQRT(SUMPRODUCT('Input Data'!M2:M354,'Input Data'!M2:M354)/COUNT('Input Data'!M2:M354))</f>
        <v>0.14751439267318475</v>
      </c>
    </row>
    <row r="5" spans="1:8" x14ac:dyDescent="0.25">
      <c r="A5" t="s">
        <v>41</v>
      </c>
      <c r="B5" s="2">
        <v>0.11083478837958451</v>
      </c>
      <c r="C5" t="s">
        <v>42</v>
      </c>
      <c r="E5" t="s">
        <v>43</v>
      </c>
      <c r="F5" s="4">
        <f>AVERAGE('Input Data'!N2:N354)</f>
        <v>8.8659024782061155E-2</v>
      </c>
    </row>
    <row r="6" spans="1:8" x14ac:dyDescent="0.25">
      <c r="A6" t="s">
        <v>44</v>
      </c>
      <c r="B6" s="2">
        <v>8.2040701542624869E-2</v>
      </c>
      <c r="C6" t="s">
        <v>45</v>
      </c>
      <c r="E6" t="s">
        <v>46</v>
      </c>
      <c r="F6" s="4">
        <f>MAX('Input Data'!N2:N354)</f>
        <v>0.94838904489168385</v>
      </c>
    </row>
    <row r="7" spans="1:8" x14ac:dyDescent="0.25">
      <c r="A7" t="s">
        <v>47</v>
      </c>
      <c r="B7" s="2">
        <v>0.36280713614664672</v>
      </c>
      <c r="C7" t="s">
        <v>48</v>
      </c>
      <c r="E7" t="s">
        <v>49</v>
      </c>
      <c r="F7" s="5">
        <f>COUNTIF('Input Data'!P2:P354,"Yes")/COUNTA('Input Data'!P2:P354)</f>
        <v>0.18696883852691218</v>
      </c>
    </row>
    <row r="8" spans="1:8" x14ac:dyDescent="0.25">
      <c r="A8" t="s">
        <v>50</v>
      </c>
      <c r="B8" s="3">
        <v>2.73445091566867</v>
      </c>
      <c r="C8" t="s">
        <v>51</v>
      </c>
      <c r="E8" t="s">
        <v>52</v>
      </c>
      <c r="F8" s="6">
        <f>COUNT('Input Data'!A2:A354)</f>
        <v>353</v>
      </c>
    </row>
    <row r="9" spans="1:8" x14ac:dyDescent="0.25">
      <c r="A9" t="s">
        <v>53</v>
      </c>
      <c r="B9" s="3">
        <v>17.379327545047701</v>
      </c>
      <c r="C9" t="s">
        <v>54</v>
      </c>
    </row>
    <row r="11" spans="1:8" ht="27.75" customHeight="1" x14ac:dyDescent="0.25">
      <c r="A11" s="42" t="s">
        <v>55</v>
      </c>
      <c r="B11" s="41"/>
      <c r="C11" s="41"/>
      <c r="D11" s="41"/>
      <c r="E11" s="41"/>
      <c r="F11" s="41"/>
      <c r="G11" s="41"/>
      <c r="H11" s="41"/>
    </row>
    <row r="12" spans="1:8" ht="21" customHeight="1" x14ac:dyDescent="0.25">
      <c r="A12" s="38" t="s">
        <v>56</v>
      </c>
      <c r="B12" s="39"/>
      <c r="C12" s="39"/>
      <c r="D12" s="39"/>
      <c r="E12" s="39"/>
      <c r="F12" s="39"/>
      <c r="G12" s="39"/>
      <c r="H12" s="39"/>
    </row>
    <row r="13" spans="1:8" ht="24.75" customHeight="1" x14ac:dyDescent="0.25">
      <c r="A13" s="38" t="s">
        <v>57</v>
      </c>
      <c r="B13" s="39"/>
      <c r="C13" s="39"/>
      <c r="D13" s="39"/>
      <c r="E13" s="39"/>
      <c r="F13" s="39"/>
      <c r="G13" s="39"/>
      <c r="H13" s="39"/>
    </row>
    <row r="14" spans="1:8" ht="33.950000000000003" customHeight="1" x14ac:dyDescent="0.25">
      <c r="A14" s="38" t="s">
        <v>58</v>
      </c>
      <c r="B14" s="39"/>
      <c r="C14" s="39"/>
      <c r="D14" s="39"/>
      <c r="E14" s="39"/>
      <c r="F14" s="39"/>
      <c r="G14" s="39"/>
      <c r="H14" s="39"/>
    </row>
    <row r="15" spans="1:8" ht="37.5" customHeight="1" x14ac:dyDescent="0.25">
      <c r="A15" s="36" t="s">
        <v>59</v>
      </c>
      <c r="B15" s="37"/>
      <c r="C15" s="37"/>
      <c r="D15" s="37"/>
      <c r="E15" s="37"/>
      <c r="F15" s="37"/>
      <c r="G15" s="37"/>
      <c r="H15" s="37"/>
    </row>
    <row r="16" spans="1:8" ht="18.75" customHeight="1" x14ac:dyDescent="0.25">
      <c r="A16" t="s">
        <v>60</v>
      </c>
    </row>
    <row r="17" spans="1:8" x14ac:dyDescent="0.25">
      <c r="A17" s="42" t="s">
        <v>61</v>
      </c>
      <c r="B17" s="41"/>
      <c r="C17" s="41"/>
      <c r="D17" s="41"/>
      <c r="E17" s="41"/>
      <c r="F17" s="41"/>
      <c r="G17" s="41"/>
      <c r="H17" s="41"/>
    </row>
    <row r="18" spans="1:8" x14ac:dyDescent="0.25">
      <c r="A18" s="36" t="s">
        <v>62</v>
      </c>
      <c r="B18" s="37"/>
      <c r="C18" s="37"/>
      <c r="D18" s="37"/>
      <c r="E18" s="37"/>
      <c r="F18" s="37"/>
      <c r="G18" s="37"/>
      <c r="H18" s="37"/>
    </row>
    <row r="19" spans="1:8" ht="8.25" customHeight="1" x14ac:dyDescent="0.25">
      <c r="A19" s="37"/>
      <c r="B19" s="37"/>
      <c r="C19" s="37"/>
      <c r="D19" s="37"/>
      <c r="E19" s="37"/>
      <c r="F19" s="37"/>
      <c r="G19" s="37"/>
      <c r="H19" s="37"/>
    </row>
  </sheetData>
  <mergeCells count="8">
    <mergeCell ref="A18:H19"/>
    <mergeCell ref="A14:H14"/>
    <mergeCell ref="A1:H1"/>
    <mergeCell ref="A17:H17"/>
    <mergeCell ref="A12:H12"/>
    <mergeCell ref="A15:H15"/>
    <mergeCell ref="A13:H13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Methodology</vt:lpstr>
      <vt:lpstr>Input Data</vt:lpstr>
      <vt:lpstr>Cash Flows</vt:lpstr>
      <vt:lpstr>ZCB Curve - Payment Dates</vt:lpstr>
      <vt:lpstr>ZCB Curve - Smooth Grid</vt:lpstr>
      <vt:lpstr>Curve Chart</vt:lpstr>
      <vt:lpstr>Fit Diagnostics</vt:lpstr>
      <vt:lpstr>'Curve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2026-09-22T01:10:49Z</dcterms:created>
  <dcterms:modified xsi:type="dcterms:W3CDTF">2026-09-22T03:57:16Z</dcterms:modified>
</cp:coreProperties>
</file>